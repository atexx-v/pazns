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наліз" sheetId="1" r:id="rId1"/>
    <sheet name="Примітки" sheetId="2" r:id="rId2"/>
    <sheet name="CSV" sheetId="3" r:id="rId3"/>
  </sheets>
  <definedNames>
    <definedName name="_xlnm.Print_Area" localSheetId="0">Аналіз!$A$1:$D$101</definedName>
  </definedNames>
  <calcPr calcId="124519" fullCalcOnLoad="1"/>
</workbook>
</file>

<file path=xl/sharedStrings.xml><?xml version="1.0" encoding="utf-8"?>
<sst xmlns="http://schemas.openxmlformats.org/spreadsheetml/2006/main" count="41058" uniqueCount="875">
  <si>
    <t>Timestamp</t>
  </si>
  <si>
    <t>roll</t>
  </si>
  <si>
    <t>pitch</t>
  </si>
  <si>
    <t>heading</t>
  </si>
  <si>
    <t>rollRate</t>
  </si>
  <si>
    <t>pitchRate</t>
  </si>
  <si>
    <t>yawRate</t>
  </si>
  <si>
    <t>groundSpeed</t>
  </si>
  <si>
    <t>airSpeed</t>
  </si>
  <si>
    <t>airSpeedSetpoint</t>
  </si>
  <si>
    <t>climbRate</t>
  </si>
  <si>
    <t>altitudeRelative</t>
  </si>
  <si>
    <t>altitudeAMSL</t>
  </si>
  <si>
    <t>altitudeAboveTerr</t>
  </si>
  <si>
    <t>altitudeTuning</t>
  </si>
  <si>
    <t>altitudeTuningSetpoint</t>
  </si>
  <si>
    <t>xTrackError</t>
  </si>
  <si>
    <t>rangeFinderDist</t>
  </si>
  <si>
    <t>flightDistance</t>
  </si>
  <si>
    <t>flightTime</t>
  </si>
  <si>
    <t>distanceToHome</t>
  </si>
  <si>
    <t>timeToHome</t>
  </si>
  <si>
    <t>missionItemIndex</t>
  </si>
  <si>
    <t>headingToNextWP</t>
  </si>
  <si>
    <t>distanceToNextWP</t>
  </si>
  <si>
    <t>headingToHome</t>
  </si>
  <si>
    <t>headingFromHome</t>
  </si>
  <si>
    <t>headingFromGCS</t>
  </si>
  <si>
    <t>distanceToGCS</t>
  </si>
  <si>
    <t>hobbs</t>
  </si>
  <si>
    <t>throttlePct</t>
  </si>
  <si>
    <t>imuTemp</t>
  </si>
  <si>
    <t>rcRSSI</t>
  </si>
  <si>
    <t>battery0.id</t>
  </si>
  <si>
    <t>battery0.batteryFunction</t>
  </si>
  <si>
    <t>battery0.batteryType</t>
  </si>
  <si>
    <t>battery0.voltage</t>
  </si>
  <si>
    <t>battery0.current</t>
  </si>
  <si>
    <t>battery0.mahConsumed</t>
  </si>
  <si>
    <t>battery0.temperature</t>
  </si>
  <si>
    <t>battery0.percentRemaining</t>
  </si>
  <si>
    <t>battery0.timeRemaining</t>
  </si>
  <si>
    <t>battery0.timeRemainingStr</t>
  </si>
  <si>
    <t>battery0.chargeState</t>
  </si>
  <si>
    <t>battery0.instantPower</t>
  </si>
  <si>
    <t>clock.currentTime</t>
  </si>
  <si>
    <t>clock.currentUTCTime</t>
  </si>
  <si>
    <t>clock.currentDate</t>
  </si>
  <si>
    <t>distanceSensor.rotationNone</t>
  </si>
  <si>
    <t>distanceSensor.rotationYaw45</t>
  </si>
  <si>
    <t>distanceSensor.rotationYaw90</t>
  </si>
  <si>
    <t>distanceSensor.rotationYaw135</t>
  </si>
  <si>
    <t>distanceSensor.rotationYaw180</t>
  </si>
  <si>
    <t>distanceSensor.rotationYaw225</t>
  </si>
  <si>
    <t>distanceSensor.rotationYaw270</t>
  </si>
  <si>
    <t>distanceSensor.rotationYaw315</t>
  </si>
  <si>
    <t>distanceSensor.rotationPitch90</t>
  </si>
  <si>
    <t>distanceSensor.rotationPitch270</t>
  </si>
  <si>
    <t>distanceSensor.minDistance</t>
  </si>
  <si>
    <t>distanceSensor.maxDistance</t>
  </si>
  <si>
    <t>efi.health</t>
  </si>
  <si>
    <t>efi.ecuIndex</t>
  </si>
  <si>
    <t>efi.rpm</t>
  </si>
  <si>
    <t>efi.fuelConsumed</t>
  </si>
  <si>
    <t>efi.fuelFlow</t>
  </si>
  <si>
    <t>efi.engineLoad</t>
  </si>
  <si>
    <t>efi.sparkTime</t>
  </si>
  <si>
    <t>efi.throttlePos</t>
  </si>
  <si>
    <t>efi.baroPress</t>
  </si>
  <si>
    <t>efi.intakePress</t>
  </si>
  <si>
    <t>efi.intakeTemp</t>
  </si>
  <si>
    <t>efi.cylinderTemp</t>
  </si>
  <si>
    <t>efi.ignTime</t>
  </si>
  <si>
    <t>efi.exGasTemp</t>
  </si>
  <si>
    <t>efi.injTime</t>
  </si>
  <si>
    <t>efi.throttleOut</t>
  </si>
  <si>
    <t>efi.ptComp</t>
  </si>
  <si>
    <t>efi.ignVoltage</t>
  </si>
  <si>
    <t>efi.fuelPressure</t>
  </si>
  <si>
    <t>estimatorStatus.goodAttitudeEsimate</t>
  </si>
  <si>
    <t>estimatorStatus.goodHorizVelEstimate</t>
  </si>
  <si>
    <t>estimatorStatus.goodVertVelEstimate</t>
  </si>
  <si>
    <t>estimatorStatus.goodHorizPosRelEstimate</t>
  </si>
  <si>
    <t>estimatorStatus.goodHorizPosAbsEstimate</t>
  </si>
  <si>
    <t>estimatorStatus.goodVertPosAbsEstimate</t>
  </si>
  <si>
    <t>estimatorStatus.goodVertPosAGLEstimate</t>
  </si>
  <si>
    <t>estimatorStatus.goodConstPosModeEstimate</t>
  </si>
  <si>
    <t>estimatorStatus.goodPredHorizPosRelEstimate</t>
  </si>
  <si>
    <t>estimatorStatus.goodPredHorizPosAbsEstimate</t>
  </si>
  <si>
    <t>estimatorStatus.gpsGlitch</t>
  </si>
  <si>
    <t>estimatorStatus.accelError</t>
  </si>
  <si>
    <t>estimatorStatus.velRatio</t>
  </si>
  <si>
    <t>estimatorStatus.horizPosRatio</t>
  </si>
  <si>
    <t>estimatorStatus.vertPosRatio</t>
  </si>
  <si>
    <t>estimatorStatus.magRatio</t>
  </si>
  <si>
    <t>estimatorStatus.haglRatio</t>
  </si>
  <si>
    <t>estimatorStatus.tasRatio</t>
  </si>
  <si>
    <t>estimatorStatus.horizPosAccuracy</t>
  </si>
  <si>
    <t>estimatorStatus.vertPosAccuracy</t>
  </si>
  <si>
    <t>generator.status</t>
  </si>
  <si>
    <t>generator.genSpeed</t>
  </si>
  <si>
    <t>generator.batteryCurrent</t>
  </si>
  <si>
    <t>generator.loadCurrent</t>
  </si>
  <si>
    <t>generator.powerGenerated</t>
  </si>
  <si>
    <t>generator.busVoltage</t>
  </si>
  <si>
    <t>generator.batCurrentSetpoint</t>
  </si>
  <si>
    <t>generator.rectifierTemp</t>
  </si>
  <si>
    <t>generator.genTemp</t>
  </si>
  <si>
    <t>generator.runtime</t>
  </si>
  <si>
    <t>generator.timeMaintenance</t>
  </si>
  <si>
    <t>gps.lat</t>
  </si>
  <si>
    <t>gps.lon</t>
  </si>
  <si>
    <t>gps.mgrs</t>
  </si>
  <si>
    <t>gps.hdop</t>
  </si>
  <si>
    <t>gps.vdop</t>
  </si>
  <si>
    <t>gps.courseOverGround</t>
  </si>
  <si>
    <t>gps.yaw</t>
  </si>
  <si>
    <t>gps.lock</t>
  </si>
  <si>
    <t>gps.count</t>
  </si>
  <si>
    <t>gps.systemErrors</t>
  </si>
  <si>
    <t>gps.spoofingState</t>
  </si>
  <si>
    <t>gps.jammingState</t>
  </si>
  <si>
    <t>gps.authenticationState</t>
  </si>
  <si>
    <t>gps.correctionsQuality</t>
  </si>
  <si>
    <t>gps.systemQuality</t>
  </si>
  <si>
    <t>gps.gnssSignalQuality</t>
  </si>
  <si>
    <t>gps.postProcessingQuality</t>
  </si>
  <si>
    <t>gps2.lat</t>
  </si>
  <si>
    <t>gps2.lon</t>
  </si>
  <si>
    <t>gps2.mgrs</t>
  </si>
  <si>
    <t>gps2.hdop</t>
  </si>
  <si>
    <t>gps2.vdop</t>
  </si>
  <si>
    <t>gps2.courseOverGround</t>
  </si>
  <si>
    <t>gps2.yaw</t>
  </si>
  <si>
    <t>gps2.lock</t>
  </si>
  <si>
    <t>gps2.count</t>
  </si>
  <si>
    <t>gps2.systemErrors</t>
  </si>
  <si>
    <t>gps2.spoofingState</t>
  </si>
  <si>
    <t>gps2.jammingState</t>
  </si>
  <si>
    <t>gps2.authenticationState</t>
  </si>
  <si>
    <t>gps2.correctionsQuality</t>
  </si>
  <si>
    <t>gps2.systemQuality</t>
  </si>
  <si>
    <t>gps2.gnssSignalQuality</t>
  </si>
  <si>
    <t>gps2.postProcessingQuality</t>
  </si>
  <si>
    <t>gpsAggregate.spoofingState</t>
  </si>
  <si>
    <t>gpsAggregate.jammingState</t>
  </si>
  <si>
    <t>gpsAggregate.authenticationState</t>
  </si>
  <si>
    <t>gpsAggregate.isStale</t>
  </si>
  <si>
    <t>hygrometer.temperature</t>
  </si>
  <si>
    <t>hygrometer.humidity</t>
  </si>
  <si>
    <t>hygrometer.hygrometerid</t>
  </si>
  <si>
    <t>localPosition.x</t>
  </si>
  <si>
    <t>localPosition.y</t>
  </si>
  <si>
    <t>localPosition.z</t>
  </si>
  <si>
    <t>localPosition.vx</t>
  </si>
  <si>
    <t>localPosition.vy</t>
  </si>
  <si>
    <t>localPosition.vz</t>
  </si>
  <si>
    <t>localPositionSetpoint.x</t>
  </si>
  <si>
    <t>localPositionSetpoint.y</t>
  </si>
  <si>
    <t>localPositionSetpoint.z</t>
  </si>
  <si>
    <t>localPositionSetpoint.vx</t>
  </si>
  <si>
    <t>localPositionSetpoint.vy</t>
  </si>
  <si>
    <t>localPositionSetpoint.vz</t>
  </si>
  <si>
    <t>radioStatus.lrssi</t>
  </si>
  <si>
    <t>radioStatus.rrssi</t>
  </si>
  <si>
    <t>radioStatus.rxErrors</t>
  </si>
  <si>
    <t>radioStatus.fixed</t>
  </si>
  <si>
    <t>radioStatus.txBuffer</t>
  </si>
  <si>
    <t>radioStatus.lNoise</t>
  </si>
  <si>
    <t>radioStatus.rNoise</t>
  </si>
  <si>
    <t>rpm.rpm1</t>
  </si>
  <si>
    <t>rpm.rpm2</t>
  </si>
  <si>
    <t>rpm.rpm3</t>
  </si>
  <si>
    <t>rpm.rpm4</t>
  </si>
  <si>
    <t>rpm.rpmSensor1</t>
  </si>
  <si>
    <t>rpm.rpmSensor2</t>
  </si>
  <si>
    <t>setpoint.roll</t>
  </si>
  <si>
    <t>setpoint.pitch</t>
  </si>
  <si>
    <t>setpoint.yaw</t>
  </si>
  <si>
    <t>setpoint.rollRate</t>
  </si>
  <si>
    <t>setpoint.pitchRate</t>
  </si>
  <si>
    <t>setpoint.yawRate</t>
  </si>
  <si>
    <t>temperature.temperature1</t>
  </si>
  <si>
    <t>temperature.temperature2</t>
  </si>
  <si>
    <t>temperature.temperature3</t>
  </si>
  <si>
    <t>terrain.blocksPending</t>
  </si>
  <si>
    <t>terrain.blocksLoaded</t>
  </si>
  <si>
    <t>vibration.xAxis</t>
  </si>
  <si>
    <t>vibration.yAxis</t>
  </si>
  <si>
    <t>vibration.zAxis</t>
  </si>
  <si>
    <t>vibration.clipCount1</t>
  </si>
  <si>
    <t>vibration.clipCount2</t>
  </si>
  <si>
    <t>vibration.clipCount3</t>
  </si>
  <si>
    <t>wind.direction</t>
  </si>
  <si>
    <t>wind.speed</t>
  </si>
  <si>
    <t>wind.verticalSpeed</t>
  </si>
  <si>
    <t>00:00:00</t>
  </si>
  <si>
    <t>–</t>
  </si>
  <si>
    <t>–.–</t>
  </si>
  <si>
    <t>0000:00:00</t>
  </si>
  <si>
    <t>––:––:––</t>
  </si>
  <si>
    <t>21:41:37</t>
  </si>
  <si>
    <t>21.10.26</t>
  </si>
  <si>
    <t>–.––</t>
  </si>
  <si>
    <t>false</t>
  </si>
  <si>
    <t>55HFA 96719 84519</t>
  </si>
  <si>
    <t>–.–––––––</t>
  </si>
  <si>
    <t/>
  </si>
  <si>
    <t>true</t>
  </si>
  <si>
    <t>–.–––</t>
  </si>
  <si>
    <t>00:00:01</t>
  </si>
  <si>
    <t>21:41:38</t>
  </si>
  <si>
    <t>00:00:02</t>
  </si>
  <si>
    <t>21:41:39</t>
  </si>
  <si>
    <t>00:00:03</t>
  </si>
  <si>
    <t>21:41:40</t>
  </si>
  <si>
    <t>00:00:04</t>
  </si>
  <si>
    <t>21:41:41</t>
  </si>
  <si>
    <t>00:00:05</t>
  </si>
  <si>
    <t>21:41:42</t>
  </si>
  <si>
    <t>00:00:06</t>
  </si>
  <si>
    <t>21:41:43</t>
  </si>
  <si>
    <t>00:00:07</t>
  </si>
  <si>
    <t>21:41:44</t>
  </si>
  <si>
    <t>00:00:08</t>
  </si>
  <si>
    <t>21:41:45</t>
  </si>
  <si>
    <t>00:00:09</t>
  </si>
  <si>
    <t>21:41:46</t>
  </si>
  <si>
    <t>21:41:47</t>
  </si>
  <si>
    <t>21:41:48</t>
  </si>
  <si>
    <t>21:41:49</t>
  </si>
  <si>
    <t>21:41:50</t>
  </si>
  <si>
    <t>21:41:51</t>
  </si>
  <si>
    <t>21:41:52</t>
  </si>
  <si>
    <t>21:41:53</t>
  </si>
  <si>
    <t>21:41:54</t>
  </si>
  <si>
    <t>21:41:55</t>
  </si>
  <si>
    <t>21:41:56</t>
  </si>
  <si>
    <t>21:41:57</t>
  </si>
  <si>
    <t>21:41:58</t>
  </si>
  <si>
    <t>21:41:59</t>
  </si>
  <si>
    <t>21:42:00</t>
  </si>
  <si>
    <t>21:42:01</t>
  </si>
  <si>
    <t>21:42:02</t>
  </si>
  <si>
    <t>21:42:03</t>
  </si>
  <si>
    <t>21:42:04</t>
  </si>
  <si>
    <t>21:42:05</t>
  </si>
  <si>
    <t>21:42:06</t>
  </si>
  <si>
    <t>21:42:07</t>
  </si>
  <si>
    <t>21:42:08</t>
  </si>
  <si>
    <t>21:42:09</t>
  </si>
  <si>
    <t>21:42:10</t>
  </si>
  <si>
    <t>00:00:10</t>
  </si>
  <si>
    <t>21:42:11</t>
  </si>
  <si>
    <t>00:00:11</t>
  </si>
  <si>
    <t>21:42:12</t>
  </si>
  <si>
    <t>00:00:12</t>
  </si>
  <si>
    <t>21:42:13</t>
  </si>
  <si>
    <t>00:00:13</t>
  </si>
  <si>
    <t>21:42:14</t>
  </si>
  <si>
    <t>00:00:14</t>
  </si>
  <si>
    <t>21:42:15</t>
  </si>
  <si>
    <t>00:00:15</t>
  </si>
  <si>
    <t>21:42:16</t>
  </si>
  <si>
    <t>00:00:16</t>
  </si>
  <si>
    <t>21:42:17</t>
  </si>
  <si>
    <t>00:00:17</t>
  </si>
  <si>
    <t>21:42:18</t>
  </si>
  <si>
    <t>00:00:18</t>
  </si>
  <si>
    <t>21:42:19</t>
  </si>
  <si>
    <t>00:00:19</t>
  </si>
  <si>
    <t>21:42:20</t>
  </si>
  <si>
    <t>00:00:20</t>
  </si>
  <si>
    <t>21:42:21</t>
  </si>
  <si>
    <t>00:00:21</t>
  </si>
  <si>
    <t>21:42:22</t>
  </si>
  <si>
    <t>00:00:22</t>
  </si>
  <si>
    <t>21:42:23</t>
  </si>
  <si>
    <t>00:00:23</t>
  </si>
  <si>
    <t>21:42:24</t>
  </si>
  <si>
    <t>00:00:24</t>
  </si>
  <si>
    <t>21:42:25</t>
  </si>
  <si>
    <t>00:00:25</t>
  </si>
  <si>
    <t>21:42:26</t>
  </si>
  <si>
    <t>00:00:26</t>
  </si>
  <si>
    <t>21:42:27</t>
  </si>
  <si>
    <t>00:00:27</t>
  </si>
  <si>
    <t>21:42:28</t>
  </si>
  <si>
    <t>55HFA 96717 84519</t>
  </si>
  <si>
    <t>00:00:28</t>
  </si>
  <si>
    <t>21:42:29</t>
  </si>
  <si>
    <t>55HFA 96713 84520</t>
  </si>
  <si>
    <t>00:00:29</t>
  </si>
  <si>
    <t>21:42:30</t>
  </si>
  <si>
    <t>55HFA 96708 84521</t>
  </si>
  <si>
    <t>00:00:30</t>
  </si>
  <si>
    <t>21:42:31</t>
  </si>
  <si>
    <t>55HFA 96704 84522</t>
  </si>
  <si>
    <t>00:00:31</t>
  </si>
  <si>
    <t>21:42:32</t>
  </si>
  <si>
    <t>55HFA 96699 84522</t>
  </si>
  <si>
    <t>00:00:32</t>
  </si>
  <si>
    <t>21:42:33</t>
  </si>
  <si>
    <t>55HFA 96695 84523</t>
  </si>
  <si>
    <t>00:00:33</t>
  </si>
  <si>
    <t>21:42:34</t>
  </si>
  <si>
    <t>55HFA 96690 84524</t>
  </si>
  <si>
    <t>00:00:34</t>
  </si>
  <si>
    <t>21:42:35</t>
  </si>
  <si>
    <t>55HFA 96685 84525</t>
  </si>
  <si>
    <t>00:00:35</t>
  </si>
  <si>
    <t>21:42:36</t>
  </si>
  <si>
    <t>55HFA 96680 84525</t>
  </si>
  <si>
    <t>00:00:36</t>
  </si>
  <si>
    <t>21:42:37</t>
  </si>
  <si>
    <t>55HFA 96675 84526</t>
  </si>
  <si>
    <t>00:00:37</t>
  </si>
  <si>
    <t>21:42:38</t>
  </si>
  <si>
    <t>55HFA 96670 84527</t>
  </si>
  <si>
    <t>00:00:38</t>
  </si>
  <si>
    <t>21:42:39</t>
  </si>
  <si>
    <t>55HFA 96665 84528</t>
  </si>
  <si>
    <t>00:00:39</t>
  </si>
  <si>
    <t>21:42:40</t>
  </si>
  <si>
    <t>55HFA 96661 84529</t>
  </si>
  <si>
    <t>00:00:40</t>
  </si>
  <si>
    <t>21:42:41</t>
  </si>
  <si>
    <t>55HFA 96656 84529</t>
  </si>
  <si>
    <t>00:00:41</t>
  </si>
  <si>
    <t>21:42:42</t>
  </si>
  <si>
    <t>55HFA 96651 84530</t>
  </si>
  <si>
    <t>00:00:42</t>
  </si>
  <si>
    <t>21:42:43</t>
  </si>
  <si>
    <t>55HFA 96646 84531</t>
  </si>
  <si>
    <t>00:00:43</t>
  </si>
  <si>
    <t>21:42:44</t>
  </si>
  <si>
    <t>55HFA 96641 84532</t>
  </si>
  <si>
    <t>00:00:44</t>
  </si>
  <si>
    <t>21:42:45</t>
  </si>
  <si>
    <t>55HFA 96636 84533</t>
  </si>
  <si>
    <t>00:00:45</t>
  </si>
  <si>
    <t>21:42:46</t>
  </si>
  <si>
    <t>55HFA 96631 84533</t>
  </si>
  <si>
    <t>00:00:46</t>
  </si>
  <si>
    <t>21:42:47</t>
  </si>
  <si>
    <t>55HFA 96626 84534</t>
  </si>
  <si>
    <t>00:00:47</t>
  </si>
  <si>
    <t>21:42:48</t>
  </si>
  <si>
    <t>55HFA 96621 84535</t>
  </si>
  <si>
    <t>00:00:48</t>
  </si>
  <si>
    <t>21:42:49</t>
  </si>
  <si>
    <t>55HFA 96616 84536</t>
  </si>
  <si>
    <t>00:00:49</t>
  </si>
  <si>
    <t>21:42:50</t>
  </si>
  <si>
    <t>55HFA 96611 84537</t>
  </si>
  <si>
    <t>00:00:50</t>
  </si>
  <si>
    <t>21:42:51</t>
  </si>
  <si>
    <t>55HFA 96607 84537</t>
  </si>
  <si>
    <t>00:00:51</t>
  </si>
  <si>
    <t>21:42:52</t>
  </si>
  <si>
    <t>55HFA 96605 84538</t>
  </si>
  <si>
    <t>00:00:52</t>
  </si>
  <si>
    <t>21:42:53</t>
  </si>
  <si>
    <t>00:00:53</t>
  </si>
  <si>
    <t>21:42:54</t>
  </si>
  <si>
    <t>00:00:54</t>
  </si>
  <si>
    <t>21:42:55</t>
  </si>
  <si>
    <t>00:00:55</t>
  </si>
  <si>
    <t>21:42:56</t>
  </si>
  <si>
    <t>00:00:56</t>
  </si>
  <si>
    <t>21:42:57</t>
  </si>
  <si>
    <t>00:00:57</t>
  </si>
  <si>
    <t>21:42:58</t>
  </si>
  <si>
    <t>00:00:58</t>
  </si>
  <si>
    <t>21:42:59</t>
  </si>
  <si>
    <t>00:00:59</t>
  </si>
  <si>
    <t>21:43:00</t>
  </si>
  <si>
    <t>00:01:00</t>
  </si>
  <si>
    <t>21:43:01</t>
  </si>
  <si>
    <t>00:01:01</t>
  </si>
  <si>
    <t>21:43:02</t>
  </si>
  <si>
    <t>00:01:02</t>
  </si>
  <si>
    <t>21:43:03</t>
  </si>
  <si>
    <t>00:01:03</t>
  </si>
  <si>
    <t>21:43:04</t>
  </si>
  <si>
    <t>00:01:04</t>
  </si>
  <si>
    <t>21:43:05</t>
  </si>
  <si>
    <t>00:01:05</t>
  </si>
  <si>
    <t>21:43:06</t>
  </si>
  <si>
    <t>00:01:06</t>
  </si>
  <si>
    <t>21:43:07</t>
  </si>
  <si>
    <t>00:01:07</t>
  </si>
  <si>
    <t>21:43:08</t>
  </si>
  <si>
    <t>00:01:08</t>
  </si>
  <si>
    <t>21:43:09</t>
  </si>
  <si>
    <t>00:01:09</t>
  </si>
  <si>
    <t>21:43:10</t>
  </si>
  <si>
    <t>00:01:10</t>
  </si>
  <si>
    <t>21:43:11</t>
  </si>
  <si>
    <t>00:01:11</t>
  </si>
  <si>
    <t>21:43:12</t>
  </si>
  <si>
    <t>00:01:12</t>
  </si>
  <si>
    <t>21:43:13</t>
  </si>
  <si>
    <t>00:01:13</t>
  </si>
  <si>
    <t>21:43:14</t>
  </si>
  <si>
    <t>00:01:14</t>
  </si>
  <si>
    <t>21:43:15</t>
  </si>
  <si>
    <t>00:01:15</t>
  </si>
  <si>
    <t>21:43:16</t>
  </si>
  <si>
    <t>00:01:16</t>
  </si>
  <si>
    <t>21:43:17</t>
  </si>
  <si>
    <t>00:01:17</t>
  </si>
  <si>
    <t>21:43:18</t>
  </si>
  <si>
    <t>00:01:18</t>
  </si>
  <si>
    <t>21:43:19</t>
  </si>
  <si>
    <t>00:01:19</t>
  </si>
  <si>
    <t>21:43:20</t>
  </si>
  <si>
    <t>00:01:20</t>
  </si>
  <si>
    <t>21:43:21</t>
  </si>
  <si>
    <t>00:01:21</t>
  </si>
  <si>
    <t>21:43:22</t>
  </si>
  <si>
    <t>00:01:22</t>
  </si>
  <si>
    <t>21:43:23</t>
  </si>
  <si>
    <t>00:01:23</t>
  </si>
  <si>
    <t>21:43:24</t>
  </si>
  <si>
    <t>00:01:24</t>
  </si>
  <si>
    <t>21:43:25</t>
  </si>
  <si>
    <t>00:01:25</t>
  </si>
  <si>
    <t>21:43:26</t>
  </si>
  <si>
    <t>00:01:26</t>
  </si>
  <si>
    <t>21:43:27</t>
  </si>
  <si>
    <t>00:01:27</t>
  </si>
  <si>
    <t>21:43:28</t>
  </si>
  <si>
    <t>00:01:28</t>
  </si>
  <si>
    <t>21:43:29</t>
  </si>
  <si>
    <t>00:01:29</t>
  </si>
  <si>
    <t>21:43:30</t>
  </si>
  <si>
    <t>00:01:30</t>
  </si>
  <si>
    <t>21:43:31</t>
  </si>
  <si>
    <t>00:01:31</t>
  </si>
  <si>
    <t>21:43:32</t>
  </si>
  <si>
    <t>00:01:32</t>
  </si>
  <si>
    <t>21:43:33</t>
  </si>
  <si>
    <t>00:01:33</t>
  </si>
  <si>
    <t>21:43:34</t>
  </si>
  <si>
    <t>00:01:34</t>
  </si>
  <si>
    <t>21:43:35</t>
  </si>
  <si>
    <t>00:01:35</t>
  </si>
  <si>
    <t>21:43:36</t>
  </si>
  <si>
    <t>00:01:36</t>
  </si>
  <si>
    <t>21:43:37</t>
  </si>
  <si>
    <t>00:01:37</t>
  </si>
  <si>
    <t>21:43:38</t>
  </si>
  <si>
    <t>00:01:38</t>
  </si>
  <si>
    <t>21:43:39</t>
  </si>
  <si>
    <t>00:01:39</t>
  </si>
  <si>
    <t>21:43:40</t>
  </si>
  <si>
    <t>00:01:40</t>
  </si>
  <si>
    <t>21:43:41</t>
  </si>
  <si>
    <t>00:01:41</t>
  </si>
  <si>
    <t>21:43:42</t>
  </si>
  <si>
    <t>00:01:42</t>
  </si>
  <si>
    <t>21:43:43</t>
  </si>
  <si>
    <t>00:01:43</t>
  </si>
  <si>
    <t>21:43:44</t>
  </si>
  <si>
    <t>00:01:44</t>
  </si>
  <si>
    <t>21:43:45</t>
  </si>
  <si>
    <t>00:01:45</t>
  </si>
  <si>
    <t>21:43:46</t>
  </si>
  <si>
    <t>00:01:46</t>
  </si>
  <si>
    <t>21:43:47</t>
  </si>
  <si>
    <t>00:01:47</t>
  </si>
  <si>
    <t>21:43:48</t>
  </si>
  <si>
    <t>00:01:48</t>
  </si>
  <si>
    <t>21:43:49</t>
  </si>
  <si>
    <t>00:01:49</t>
  </si>
  <si>
    <t>21:43:50</t>
  </si>
  <si>
    <t>00:01:50</t>
  </si>
  <si>
    <t>21:43:51</t>
  </si>
  <si>
    <t>00:01:51</t>
  </si>
  <si>
    <t>21:43:52</t>
  </si>
  <si>
    <t>00:01:52</t>
  </si>
  <si>
    <t>21:43:53</t>
  </si>
  <si>
    <t>00:01:53</t>
  </si>
  <si>
    <t>21:43:54</t>
  </si>
  <si>
    <t>00:01:54</t>
  </si>
  <si>
    <t>21:43:55</t>
  </si>
  <si>
    <t>21:43:56</t>
  </si>
  <si>
    <t>21:43:57</t>
  </si>
  <si>
    <t>21:43:58</t>
  </si>
  <si>
    <t>21:43:59</t>
  </si>
  <si>
    <t>21:44:00</t>
  </si>
  <si>
    <t>21:44:01</t>
  </si>
  <si>
    <t>21:44:02</t>
  </si>
  <si>
    <t>21:44:03</t>
  </si>
  <si>
    <t>21:44:04</t>
  </si>
  <si>
    <t>21:44:05</t>
  </si>
  <si>
    <t>21:44:06</t>
  </si>
  <si>
    <t>21:44:07</t>
  </si>
  <si>
    <t>21:44:08</t>
  </si>
  <si>
    <t>21:44:09</t>
  </si>
  <si>
    <t>21:44:10</t>
  </si>
  <si>
    <t>21:44:11</t>
  </si>
  <si>
    <t>21:44:12</t>
  </si>
  <si>
    <t>21:44:13</t>
  </si>
  <si>
    <t>21:44:14</t>
  </si>
  <si>
    <t>21:44:15</t>
  </si>
  <si>
    <t>21:44:16</t>
  </si>
  <si>
    <t>21:44:17</t>
  </si>
  <si>
    <t>21:44:18</t>
  </si>
  <si>
    <t>21:44:19</t>
  </si>
  <si>
    <t>21:44:20</t>
  </si>
  <si>
    <t>21:44:21</t>
  </si>
  <si>
    <t>21:44:22</t>
  </si>
  <si>
    <t>21:44:23</t>
  </si>
  <si>
    <t>21:44:24</t>
  </si>
  <si>
    <t>21:44:25</t>
  </si>
  <si>
    <t>21:44:26</t>
  </si>
  <si>
    <t>21:44:27</t>
  </si>
  <si>
    <t>21:44:28</t>
  </si>
  <si>
    <t>21:44:29</t>
  </si>
  <si>
    <t>21:44:30</t>
  </si>
  <si>
    <t>21:44:31</t>
  </si>
  <si>
    <t>21:44:32</t>
  </si>
  <si>
    <t>21:44:33</t>
  </si>
  <si>
    <t>21:44:34</t>
  </si>
  <si>
    <t>21:44:35</t>
  </si>
  <si>
    <t>21:44:36</t>
  </si>
  <si>
    <t>21:44:37</t>
  </si>
  <si>
    <t>21:44:38</t>
  </si>
  <si>
    <t>21:44:39</t>
  </si>
  <si>
    <t>21:44:40</t>
  </si>
  <si>
    <t>21:44:41</t>
  </si>
  <si>
    <t>21:44:42</t>
  </si>
  <si>
    <t>21:44:43</t>
  </si>
  <si>
    <t>21:44:44</t>
  </si>
  <si>
    <t>21:44:45</t>
  </si>
  <si>
    <t>21:44:46</t>
  </si>
  <si>
    <t>21:44:47</t>
  </si>
  <si>
    <t>21:44:48</t>
  </si>
  <si>
    <t>21:44:49</t>
  </si>
  <si>
    <t>21:44:50</t>
  </si>
  <si>
    <t>21:44:51</t>
  </si>
  <si>
    <t>21:44:52</t>
  </si>
  <si>
    <t>21:44:53</t>
  </si>
  <si>
    <t>21:44:54</t>
  </si>
  <si>
    <t>21:44:55</t>
  </si>
  <si>
    <t>21:44:56</t>
  </si>
  <si>
    <t>21:44:57</t>
  </si>
  <si>
    <t>21:44:58</t>
  </si>
  <si>
    <t>21:44:59</t>
  </si>
  <si>
    <t>21:45:00</t>
  </si>
  <si>
    <t>21:45:01</t>
  </si>
  <si>
    <t>21:45:02</t>
  </si>
  <si>
    <t>21:45:03</t>
  </si>
  <si>
    <t>21:45:04</t>
  </si>
  <si>
    <t>21:45:05</t>
  </si>
  <si>
    <t>21:45:06</t>
  </si>
  <si>
    <t>21:45:07</t>
  </si>
  <si>
    <t>21:45:08</t>
  </si>
  <si>
    <t>21:45:09</t>
  </si>
  <si>
    <t>21:45:10</t>
  </si>
  <si>
    <t>21:45:11</t>
  </si>
  <si>
    <t>21:45:12</t>
  </si>
  <si>
    <t>21:45:13</t>
  </si>
  <si>
    <t>21:45:14</t>
  </si>
  <si>
    <t>21:45:15</t>
  </si>
  <si>
    <t>21:45:16</t>
  </si>
  <si>
    <t>21:45:17</t>
  </si>
  <si>
    <t>21:45:18</t>
  </si>
  <si>
    <t>21:45:19</t>
  </si>
  <si>
    <t>21:45:20</t>
  </si>
  <si>
    <t>21:45:21</t>
  </si>
  <si>
    <t>21:45:22</t>
  </si>
  <si>
    <t>21:45:23</t>
  </si>
  <si>
    <t>21:45:24</t>
  </si>
  <si>
    <t>21:45:25</t>
  </si>
  <si>
    <t>21:45:26</t>
  </si>
  <si>
    <t>21:45:27</t>
  </si>
  <si>
    <t>21:45:28</t>
  </si>
  <si>
    <t>21:45:29</t>
  </si>
  <si>
    <t>21:45:30</t>
  </si>
  <si>
    <t>21:45:31</t>
  </si>
  <si>
    <t>21:45:32</t>
  </si>
  <si>
    <t>21:45:33</t>
  </si>
  <si>
    <t>21:45:34</t>
  </si>
  <si>
    <t>21:45:35</t>
  </si>
  <si>
    <t>21:45:36</t>
  </si>
  <si>
    <t>21:45:37</t>
  </si>
  <si>
    <t>21:45:38</t>
  </si>
  <si>
    <t>21:45:39</t>
  </si>
  <si>
    <t>21:45:40</t>
  </si>
  <si>
    <t>21:45:41</t>
  </si>
  <si>
    <t>21:45:42</t>
  </si>
  <si>
    <t>21:45:43</t>
  </si>
  <si>
    <t>21:45:44</t>
  </si>
  <si>
    <t>21:45:45</t>
  </si>
  <si>
    <t>21:45:46</t>
  </si>
  <si>
    <t>21:45:47</t>
  </si>
  <si>
    <t>21:45:48</t>
  </si>
  <si>
    <t>21:45:49</t>
  </si>
  <si>
    <t>21:45:50</t>
  </si>
  <si>
    <t>21:45:51</t>
  </si>
  <si>
    <t>21:45:52</t>
  </si>
  <si>
    <t>21:45:53</t>
  </si>
  <si>
    <t>21:45:54</t>
  </si>
  <si>
    <t>21:45:55</t>
  </si>
  <si>
    <t>21:45:56</t>
  </si>
  <si>
    <t>21:45:57</t>
  </si>
  <si>
    <t>21:45:58</t>
  </si>
  <si>
    <t>21:45:59</t>
  </si>
  <si>
    <t>21:46:00</t>
  </si>
  <si>
    <t>21:46:01</t>
  </si>
  <si>
    <t>21:46:02</t>
  </si>
  <si>
    <t>21:46:03</t>
  </si>
  <si>
    <t>21:46:04</t>
  </si>
  <si>
    <t>21:46:05</t>
  </si>
  <si>
    <t>21:46:06</t>
  </si>
  <si>
    <t>21:46:07</t>
  </si>
  <si>
    <t>21:46:08</t>
  </si>
  <si>
    <t>21:46:09</t>
  </si>
  <si>
    <t>21:46:10</t>
  </si>
  <si>
    <t>21:46:11</t>
  </si>
  <si>
    <t>21:46:12</t>
  </si>
  <si>
    <t>21:46:13</t>
  </si>
  <si>
    <t>21:46:14</t>
  </si>
  <si>
    <t>21:46:15</t>
  </si>
  <si>
    <t>21:46:16</t>
  </si>
  <si>
    <t>21:46:17</t>
  </si>
  <si>
    <t>21:46:18</t>
  </si>
  <si>
    <t>21:46:19</t>
  </si>
  <si>
    <t>21:46:20</t>
  </si>
  <si>
    <t>21:46:21</t>
  </si>
  <si>
    <t>21:46:22</t>
  </si>
  <si>
    <t>21:46:23</t>
  </si>
  <si>
    <t>21:46:24</t>
  </si>
  <si>
    <t>21:46:25</t>
  </si>
  <si>
    <t>21:46:26</t>
  </si>
  <si>
    <t>21:46:27</t>
  </si>
  <si>
    <t>21:46:28</t>
  </si>
  <si>
    <t>21:46:29</t>
  </si>
  <si>
    <t>21:46:30</t>
  </si>
  <si>
    <t>21:46:31</t>
  </si>
  <si>
    <t>21:46:32</t>
  </si>
  <si>
    <t>21:46:33</t>
  </si>
  <si>
    <t>21:46:34</t>
  </si>
  <si>
    <t>21:46:35</t>
  </si>
  <si>
    <t>21:46:36</t>
  </si>
  <si>
    <t>21:46:37</t>
  </si>
  <si>
    <t>21:46:38</t>
  </si>
  <si>
    <t>21:46:39</t>
  </si>
  <si>
    <t>21:46:40</t>
  </si>
  <si>
    <t>21:46:41</t>
  </si>
  <si>
    <t>21:46:42</t>
  </si>
  <si>
    <t>21:46:43</t>
  </si>
  <si>
    <t>21:46:44</t>
  </si>
  <si>
    <t>21:46:45</t>
  </si>
  <si>
    <t>21:46:46</t>
  </si>
  <si>
    <t>21:46:47</t>
  </si>
  <si>
    <t>21:46:48</t>
  </si>
  <si>
    <t>21:46:49</t>
  </si>
  <si>
    <t>21:46:50</t>
  </si>
  <si>
    <t>21:46:51</t>
  </si>
  <si>
    <t>21:46:52</t>
  </si>
  <si>
    <t>21:46:53</t>
  </si>
  <si>
    <t>21:46:54</t>
  </si>
  <si>
    <t>21:46:55</t>
  </si>
  <si>
    <t>21:46:56</t>
  </si>
  <si>
    <t>21:46:57</t>
  </si>
  <si>
    <t>21:46:58</t>
  </si>
  <si>
    <t>21:46:59</t>
  </si>
  <si>
    <t>21:47:00</t>
  </si>
  <si>
    <t>21:47:01</t>
  </si>
  <si>
    <t>21:47:02</t>
  </si>
  <si>
    <t>21:47:03</t>
  </si>
  <si>
    <t>21:47:04</t>
  </si>
  <si>
    <t>21:47:05</t>
  </si>
  <si>
    <t>21:47:06</t>
  </si>
  <si>
    <t>21:47:07</t>
  </si>
  <si>
    <t>21:47:08</t>
  </si>
  <si>
    <t>21:47:09</t>
  </si>
  <si>
    <t>21:47:10</t>
  </si>
  <si>
    <t>21:47:11</t>
  </si>
  <si>
    <t>21:47:12</t>
  </si>
  <si>
    <t>21:47:13</t>
  </si>
  <si>
    <t>21:47:14</t>
  </si>
  <si>
    <t>21:47:15</t>
  </si>
  <si>
    <t>21:47:16</t>
  </si>
  <si>
    <t>21:47:17</t>
  </si>
  <si>
    <t>21:47:18</t>
  </si>
  <si>
    <t>21:47:19</t>
  </si>
  <si>
    <t>21:47:20</t>
  </si>
  <si>
    <t>21:47:21</t>
  </si>
  <si>
    <t>21:47:22</t>
  </si>
  <si>
    <t>21:47:23</t>
  </si>
  <si>
    <t>21:47:24</t>
  </si>
  <si>
    <t>21:47:25</t>
  </si>
  <si>
    <t>21:47:26</t>
  </si>
  <si>
    <t>21:47:27</t>
  </si>
  <si>
    <t>21:47:28</t>
  </si>
  <si>
    <t>21:47:29</t>
  </si>
  <si>
    <t>21:47:30</t>
  </si>
  <si>
    <t>21:47:31</t>
  </si>
  <si>
    <t>21:47:32</t>
  </si>
  <si>
    <t>21:47:33</t>
  </si>
  <si>
    <t>21:47:34</t>
  </si>
  <si>
    <t>21:47:35</t>
  </si>
  <si>
    <t>21:47:36</t>
  </si>
  <si>
    <t>21:47:37</t>
  </si>
  <si>
    <t>21:47:38</t>
  </si>
  <si>
    <t>21:47:39</t>
  </si>
  <si>
    <t>21:47:40</t>
  </si>
  <si>
    <t>21:47:41</t>
  </si>
  <si>
    <t>21:47:42</t>
  </si>
  <si>
    <t>21:47:43</t>
  </si>
  <si>
    <t>21:47:44</t>
  </si>
  <si>
    <t>21:47:45</t>
  </si>
  <si>
    <t>21:47:46</t>
  </si>
  <si>
    <t>21:47:47</t>
  </si>
  <si>
    <t>21:47:48</t>
  </si>
  <si>
    <t>21:47:49</t>
  </si>
  <si>
    <t>21:47:50</t>
  </si>
  <si>
    <t>21:47:51</t>
  </si>
  <si>
    <t>21:47:52</t>
  </si>
  <si>
    <t>21:47:53</t>
  </si>
  <si>
    <t>21:47:54</t>
  </si>
  <si>
    <t>21:47:55</t>
  </si>
  <si>
    <t>21:47:56</t>
  </si>
  <si>
    <t>21:47:57</t>
  </si>
  <si>
    <t>21:47:58</t>
  </si>
  <si>
    <t>21:47:59</t>
  </si>
  <si>
    <t>21:48:00</t>
  </si>
  <si>
    <t>21:48:01</t>
  </si>
  <si>
    <t>21:48:02</t>
  </si>
  <si>
    <t>21:48:03</t>
  </si>
  <si>
    <t>21:48:04</t>
  </si>
  <si>
    <t>21:48:05</t>
  </si>
  <si>
    <t>21:48:06</t>
  </si>
  <si>
    <t>21:48:07</t>
  </si>
  <si>
    <t>21:48:08</t>
  </si>
  <si>
    <t>21:48:09</t>
  </si>
  <si>
    <t>21:48:10</t>
  </si>
  <si>
    <t>21:48:11</t>
  </si>
  <si>
    <t>21:48:12</t>
  </si>
  <si>
    <t>21:48:13</t>
  </si>
  <si>
    <t>21:48:14</t>
  </si>
  <si>
    <t>21:48:15</t>
  </si>
  <si>
    <t>21:48:16</t>
  </si>
  <si>
    <t>21:48:17</t>
  </si>
  <si>
    <t>21:48:18</t>
  </si>
  <si>
    <t>21:48:19</t>
  </si>
  <si>
    <t>21:48:20</t>
  </si>
  <si>
    <t>21:48:21</t>
  </si>
  <si>
    <t>21:48:22</t>
  </si>
  <si>
    <t>21:48:23</t>
  </si>
  <si>
    <t>21:48:24</t>
  </si>
  <si>
    <t>21:48:25</t>
  </si>
  <si>
    <t>21:48:26</t>
  </si>
  <si>
    <t>21:48:27</t>
  </si>
  <si>
    <t>21:48:28</t>
  </si>
  <si>
    <t>21:48:29</t>
  </si>
  <si>
    <t>21:48:30</t>
  </si>
  <si>
    <t>21:48:31</t>
  </si>
  <si>
    <t>21:48:32</t>
  </si>
  <si>
    <t>21:48:33</t>
  </si>
  <si>
    <t>21:48:34</t>
  </si>
  <si>
    <t>21:48:35</t>
  </si>
  <si>
    <t>21:48:36</t>
  </si>
  <si>
    <t>21:48:37</t>
  </si>
  <si>
    <t>21:48:38</t>
  </si>
  <si>
    <t>21:48:39</t>
  </si>
  <si>
    <t>21:48:40</t>
  </si>
  <si>
    <t>21:48:41</t>
  </si>
  <si>
    <t>21:48:42</t>
  </si>
  <si>
    <t>21:48:43</t>
  </si>
  <si>
    <t>21:48:44</t>
  </si>
  <si>
    <t>Лабораторна робота №7, варіант 5. Аналіз телеметрії QGroundControl</t>
  </si>
  <si>
    <t>Дані польоту – у стовпцях F:U, вихідний файл QGroundControl – на аркуші «CSV», пояснення вибору колонки часу – на аркуші «Примітки».</t>
  </si>
  <si>
    <t>Параметри варіанта</t>
  </si>
  <si>
    <t>Параметр</t>
  </si>
  <si>
    <t>Значення</t>
  </si>
  <si>
    <t>Одиниця</t>
  </si>
  <si>
    <t>Джерело значення</t>
  </si>
  <si>
    <t>Висота зльоту H</t>
  </si>
  <si>
    <t>м</t>
  </si>
  <si>
    <t>Таблиця 7.6 методички, варіант 5</t>
  </si>
  <si>
    <t>Горизонтальна швидкість V</t>
  </si>
  <si>
    <t>м/с</t>
  </si>
  <si>
    <t>Цільова точка, широта</t>
  </si>
  <si>
    <t>°</t>
  </si>
  <si>
    <t>Цільова точка, довгота</t>
  </si>
  <si>
    <t>WPNAV_SPEED = 100 · V</t>
  </si>
  <si>
    <t>см/с</t>
  </si>
  <si>
    <t>Формула методички; у ArduCopter V4.8.0-dev такого параметра немає</t>
  </si>
  <si>
    <t>WP_SPD (замінник WPNAV_SPEED)</t>
  </si>
  <si>
    <t>Параметр, який задано в QGroundControl</t>
  </si>
  <si>
    <t>Межі етапів польоту</t>
  </si>
  <si>
    <t>Етап</t>
  </si>
  <si>
    <t>Час від початку польоту</t>
  </si>
  <si>
    <t>Як визначено</t>
  </si>
  <si>
    <t>Кінець зльоту</t>
  </si>
  <si>
    <t>с</t>
  </si>
  <si>
    <t>перший момент, коли altitudeRelative ≥ 0,99·H</t>
  </si>
  <si>
    <t>Початок горизонтального польоту</t>
  </si>
  <si>
    <t>groundSpeed ≥ 0,5 м/с на висоті ≥ 0,95·H</t>
  </si>
  <si>
    <t>Кінець горизонтального польоту</t>
  </si>
  <si>
    <t>остання секунда з groundSpeed ≥ 0,5 м/с на висоті</t>
  </si>
  <si>
    <t>Кінець польоту (disarm)</t>
  </si>
  <si>
    <t>остання секунда польоту, flightTime припиняє зростати</t>
  </si>
  <si>
    <t>Таблиця 7.4 – Результати аналізу телеметрії</t>
  </si>
  <si>
    <t>Показник</t>
  </si>
  <si>
    <t>Джерело значення (стовпець CSV або повідомлення MAVLink)</t>
  </si>
  <si>
    <t>Час зльоту (arm, початок набору висоти)</t>
  </si>
  <si>
    <t>UTC</t>
  </si>
  <si>
    <t>Timestamp, перший рядок польоту</t>
  </si>
  <si>
    <t>Тривалість набору висоти H</t>
  </si>
  <si>
    <t>Timestamp, altitudeRelative ≥ 0,99·H</t>
  </si>
  <si>
    <t>Найбільша висота</t>
  </si>
  <si>
    <t>Найбільша швидкість (наземна)</t>
  </si>
  <si>
    <t>Найбільша швидкість (повітряна)</t>
  </si>
  <si>
    <t>airSpeed (оцінка автопілота)</t>
  </si>
  <si>
    <t>Час польоту</t>
  </si>
  <si>
    <t>flightTime (лічильник QGroundControl, останнє значення)</t>
  </si>
  <si>
    <t>Початкова координата</t>
  </si>
  <si>
    <t>-35.3632621; 149.1652374</t>
  </si>
  <si>
    <t>gps.lat, gps.lon (перший рядок польоту, клітинки M5 і N5)</t>
  </si>
  <si>
    <t>Кінцева координата</t>
  </si>
  <si>
    <t>-35.3631166; 149.1639735</t>
  </si>
  <si>
    <t>gps.lat, gps.lon (останній рядок польоту, клітинки M120 і N120)</t>
  </si>
  <si>
    <t>Максимальний roll</t>
  </si>
  <si>
    <t>град</t>
  </si>
  <si>
    <t>Режими польоту</t>
  </si>
  <si>
    <t>Stabilize → Guided → Auto</t>
  </si>
  <si>
    <t>.tlog: HEARTBEAT, custom_mode (0 → 4 → 3); у CSV такого стовпця немає</t>
  </si>
  <si>
    <t>Стан arm до та після місії</t>
  </si>
  <si>
    <t>disarmed → armed → disarmed</t>
  </si>
  <si>
    <t>.tlog: HEARTBEAT, base_mode, біт 128 (armed)</t>
  </si>
  <si>
    <t>Порівняння заданого з фактичним</t>
  </si>
  <si>
    <t>Задано</t>
  </si>
  <si>
    <t>Фактично</t>
  </si>
  <si>
    <t>Відхилення</t>
  </si>
  <si>
    <t>Висота, м</t>
  </si>
  <si>
    <t>Швидкість, м/с</t>
  </si>
  <si>
    <t>Відстань до цільової точки, м</t>
  </si>
  <si>
    <t>Відстань від точки старту до цілі, м</t>
  </si>
  <si>
    <t>Пройдена відстань за flightDistance, м</t>
  </si>
  <si>
    <t>Дані польоту (значення скопійовано з аркуша «CSV», рядки 25–140)</t>
  </si>
  <si>
    <t>Рядок CSV</t>
  </si>
  <si>
    <t>altitudeRelative, м</t>
  </si>
  <si>
    <t>groundSpeed, м/с</t>
  </si>
  <si>
    <t>airSpeed, м/с</t>
  </si>
  <si>
    <t>roll, град</t>
  </si>
  <si>
    <t>climbRate, м/с</t>
  </si>
  <si>
    <t>distanceToHome, м</t>
  </si>
  <si>
    <t>flightDistance, м</t>
  </si>
  <si>
    <t>t, с</t>
  </si>
  <si>
    <t>t: висота ≥ 0,99·H</t>
  </si>
  <si>
    <t>t: горизонтальний</t>
  </si>
  <si>
    <t>Етап польоту</t>
  </si>
  <si>
    <t>Висота від часу</t>
  </si>
  <si>
    <t>Повітряна швидкість від часу</t>
  </si>
  <si>
    <t>Наземна швидкість від часу</t>
  </si>
  <si>
    <t>Примітки до розрахунку</t>
  </si>
  <si>
    <t>Звідки значення</t>
  </si>
  <si>
    <t>Усі показники таблиці 7.4 обчислено формулами за стовпцями аркуша «Аналіз» (F:U). Значення цих стовпців скопійовано з аркуша «CSV» (вихідний файл QGroundControl) без змін, номер рядка CSV вказано в стовпці F. Для кожного показника в таблиці 7.4 є колонка «Джерело значення».</t>
  </si>
  <si>
    <t>Яку колонку часу взято</t>
  </si>
  <si>
    <t>У CSV є кілька стовпців, пов'язаних із часом: Timestamp (час запису рядка, безперервний ряд із дробовою секундою), flightTime (лічильник польоту QGroundControl у форматі год:хв:с, крок 1 с, скидається при кожному arm і зупиняється після disarm), clock.currentTime і clock.currentUTCTime (годинник апарата), hobbs, timeToHome (оцінка часу повернення). Вісь часу на графіках t = Timestamp − Timestamp першого рядка польоту; «Час польоту» у таблиці 7.4 взято зі стовпця flightTime.</t>
  </si>
  <si>
    <t>Як виділено політ</t>
  </si>
  <si>
    <t>CSV QGroundControl пишеться безперервно з моменту підключення, тому містить рядки до і після польоту. Початок польоту – останнє скидання flightTime (початок останнього arm), кінець – рядок, у якому flightTime зупиняється після disarm. Етапи визначено за даними: зліт – до досягнення 99 % заданої висоти, горизонтальний політ – поки groundSpeed ≥ 0,5 м/с на висоті не нижче 95 % заданої, посадка – від зупинки над ціллю до дотику.</t>
  </si>
  <si>
    <t>Повітряна швидкість</t>
  </si>
  <si>
    <t>ArduCopter без датчика швидкості повітря дає в airSpeed оцінку автопілота. У симуляції немає вітру, тому вона майже збігається з groundSpeed.</t>
  </si>
  <si>
    <t>Режими і стан arm</t>
  </si>
  <si>
    <t>У CSV QGroundControl немає режиму польоту й стану arm. Ці показники взято з журналу .tlog: повідомлення HEARTBEAT (custom_mode: 0 – Stabilize, 4 – Guided, 3 – Auto; base_mode, біт 128 – armed).</t>
  </si>
  <si>
    <t>Швидкість у параметрі автопілота</t>
  </si>
  <si>
    <t>За методичкою WPNAV_SPEED = 100 · V (см/с). У ArduCopter V4.8.0-dev такого параметра немає, швидкість місії задає WP_SPD у м/с, тому встановлено WP_SPD = V.</t>
  </si>
</sst>
</file>

<file path=xl/styles.xml><?xml version="1.0" encoding="utf-8"?>
<styleSheet xmlns="http://schemas.openxmlformats.org/spreadsheetml/2006/main">
  <numFmts count="6">
    <numFmt numFmtId="164" formatCode="yyyy-mm-dd hh:mm:ss.000"/>
    <numFmt numFmtId="165" formatCode="[h]:mm:ss"/>
    <numFmt numFmtId="166" formatCode="0.0"/>
    <numFmt numFmtId="167" formatCode="0.00"/>
    <numFmt numFmtId="168" formatCode="0.0000000"/>
    <numFmt numFmtId="169" formatCode="hh:mm:ss"/>
  </numFmts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40404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9" fontId="5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3</xdr:col>
      <xdr:colOff>1108572</xdr:colOff>
      <xdr:row>58</xdr:row>
      <xdr:rowOff>79254</xdr:rowOff>
    </xdr:to>
    <xdr:pic>
      <xdr:nvPicPr>
        <xdr:cNvPr id="2" name="Picture 1" descr="plot_altitu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0"/>
          <a:ext cx="7118847" cy="31272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3</xdr:col>
      <xdr:colOff>1108572</xdr:colOff>
      <xdr:row>77</xdr:row>
      <xdr:rowOff>79254</xdr:rowOff>
    </xdr:to>
    <xdr:pic>
      <xdr:nvPicPr>
        <xdr:cNvPr id="3" name="Picture 2" descr="plot_airspe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20500"/>
          <a:ext cx="7118847" cy="31272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1108572</xdr:colOff>
      <xdr:row>96</xdr:row>
      <xdr:rowOff>79254</xdr:rowOff>
    </xdr:to>
    <xdr:pic>
      <xdr:nvPicPr>
        <xdr:cNvPr id="4" name="Picture 3" descr="plot_groundspe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40000"/>
          <a:ext cx="7118847" cy="3127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20"/>
  <sheetViews>
    <sheetView showGridLines="0" tabSelected="1" workbookViewId="0"/>
  </sheetViews>
  <sheetFormatPr defaultRowHeight="15"/>
  <cols>
    <col min="1" max="1" width="46.7109375" customWidth="1"/>
    <col min="2" max="2" width="30.7109375" customWidth="1"/>
    <col min="3" max="3" width="12.7109375" customWidth="1"/>
    <col min="4" max="4" width="74.7109375" customWidth="1"/>
    <col min="5" max="5" width="3.7109375" customWidth="1"/>
    <col min="6" max="6" width="10.7109375" customWidth="1"/>
    <col min="7" max="7" width="24.7109375" customWidth="1"/>
    <col min="8" max="8" width="12.7109375" customWidth="1"/>
    <col min="9" max="9" width="20.7109375" customWidth="1"/>
    <col min="10" max="10" width="17.7109375" customWidth="1"/>
    <col min="11" max="11" width="14.7109375" customWidth="1"/>
    <col min="12" max="12" width="11.7109375" customWidth="1"/>
    <col min="13" max="14" width="13.7109375" customWidth="1"/>
    <col min="15" max="15" width="15.7109375" customWidth="1"/>
    <col min="16" max="17" width="18.7109375" customWidth="1"/>
    <col min="18" max="18" width="8.7109375" customWidth="1"/>
    <col min="19" max="20" width="18.7109375" customWidth="1"/>
    <col min="21" max="21" width="22.7109375" customWidth="1"/>
    <col min="22" max="22" width="3.7109375" customWidth="1"/>
    <col min="23" max="24" width="10.7109375" customWidth="1"/>
    <col min="25" max="25" width="42.7109375" customWidth="1"/>
  </cols>
  <sheetData>
    <row r="1" spans="1:21">
      <c r="A1" s="1" t="s">
        <v>776</v>
      </c>
    </row>
    <row r="2" spans="1:21">
      <c r="A2" s="2" t="s">
        <v>777</v>
      </c>
    </row>
    <row r="3" spans="1:21">
      <c r="F3" s="3" t="s">
        <v>846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3" t="s">
        <v>778</v>
      </c>
      <c r="B4" s="3"/>
      <c r="C4" s="3"/>
      <c r="D4" s="3"/>
      <c r="F4" s="4" t="s">
        <v>847</v>
      </c>
      <c r="G4" s="4" t="s">
        <v>0</v>
      </c>
      <c r="H4" s="4" t="s">
        <v>19</v>
      </c>
      <c r="I4" s="4" t="s">
        <v>848</v>
      </c>
      <c r="J4" s="4" t="s">
        <v>849</v>
      </c>
      <c r="K4" s="4" t="s">
        <v>850</v>
      </c>
      <c r="L4" s="4" t="s">
        <v>851</v>
      </c>
      <c r="M4" s="4" t="s">
        <v>110</v>
      </c>
      <c r="N4" s="4" t="s">
        <v>111</v>
      </c>
      <c r="O4" s="4" t="s">
        <v>852</v>
      </c>
      <c r="P4" s="4" t="s">
        <v>853</v>
      </c>
      <c r="Q4" s="4" t="s">
        <v>854</v>
      </c>
      <c r="R4" s="4" t="s">
        <v>855</v>
      </c>
      <c r="S4" s="4" t="s">
        <v>856</v>
      </c>
      <c r="T4" s="4" t="s">
        <v>857</v>
      </c>
      <c r="U4" s="4" t="s">
        <v>858</v>
      </c>
    </row>
    <row r="5" spans="1:21">
      <c r="A5" s="5" t="s">
        <v>779</v>
      </c>
      <c r="B5" s="4" t="s">
        <v>780</v>
      </c>
      <c r="C5" s="4" t="s">
        <v>781</v>
      </c>
      <c r="D5" s="5" t="s">
        <v>782</v>
      </c>
      <c r="F5" s="6">
        <v>25</v>
      </c>
      <c r="G5" s="7">
        <v>46316.90417063658</v>
      </c>
      <c r="H5" s="8">
        <v>0</v>
      </c>
      <c r="I5" s="9">
        <v>0</v>
      </c>
      <c r="J5" s="9">
        <v>0</v>
      </c>
      <c r="K5" s="9">
        <v>0</v>
      </c>
      <c r="L5" s="10">
        <v>0</v>
      </c>
      <c r="M5" s="11">
        <v>-35.3632621</v>
      </c>
      <c r="N5" s="11">
        <v>149.1652374</v>
      </c>
      <c r="O5" s="9">
        <v>0</v>
      </c>
      <c r="P5" s="9">
        <v>0</v>
      </c>
      <c r="Q5" s="9">
        <v>0</v>
      </c>
      <c r="R5" s="9">
        <f>(G5-$G$5)*86400</f>
        <v>0.0</v>
      </c>
      <c r="S5" s="9">
        <f>IF(I5&gt;=0.99*$B$6,R5,"")</f>
        <v/>
      </c>
      <c r="T5" s="9">
        <f>IF(AND(J5&gt;=0.5,I5&gt;=0.95*$B$6),R5,"")</f>
        <v/>
      </c>
      <c r="U5" s="12" t="str">
        <f>IF(R5&lt;=$B$15,"Зліт",IF(R5&lt;$B$16,"Перехід",IF(R5&lt;$B$17,"Горизонтальний політ","Посадка")))</f>
        <v>Зліт</v>
      </c>
    </row>
    <row r="6" spans="1:21">
      <c r="A6" s="12" t="s">
        <v>783</v>
      </c>
      <c r="B6" s="9">
        <v>50</v>
      </c>
      <c r="C6" s="13" t="s">
        <v>784</v>
      </c>
      <c r="D6" s="14" t="s">
        <v>785</v>
      </c>
      <c r="F6" s="6">
        <v>26</v>
      </c>
      <c r="G6" s="7">
        <v>46316.90418221064</v>
      </c>
      <c r="H6" s="8">
        <v>0</v>
      </c>
      <c r="I6" s="9">
        <v>0</v>
      </c>
      <c r="J6" s="9">
        <v>0</v>
      </c>
      <c r="K6" s="9">
        <v>0</v>
      </c>
      <c r="L6" s="10">
        <v>0</v>
      </c>
      <c r="M6" s="11">
        <v>-35.3632621</v>
      </c>
      <c r="N6" s="11">
        <v>149.1652374</v>
      </c>
      <c r="O6" s="9">
        <v>0</v>
      </c>
      <c r="P6" s="9">
        <v>0</v>
      </c>
      <c r="Q6" s="9">
        <v>0</v>
      </c>
      <c r="R6" s="9">
        <f>(G6-$G$5)*86400</f>
        <v>1.0</v>
      </c>
      <c r="S6" s="9">
        <f>IF(I6&gt;=0.99*$B$6,R6,"")</f>
        <v/>
      </c>
      <c r="T6" s="9">
        <f>IF(AND(J6&gt;=0.5,I6&gt;=0.95*$B$6),R6,"")</f>
        <v/>
      </c>
      <c r="U6" s="12" t="str">
        <f>IF(R6&lt;=$B$15,"Зліт",IF(R6&lt;$B$16,"Перехід",IF(R6&lt;$B$17,"Горизонтальний політ","Посадка")))</f>
        <v>Зліт</v>
      </c>
    </row>
    <row r="7" spans="1:21">
      <c r="A7" s="12" t="s">
        <v>786</v>
      </c>
      <c r="B7" s="9">
        <v>5</v>
      </c>
      <c r="C7" s="13" t="s">
        <v>787</v>
      </c>
      <c r="D7" s="14" t="s">
        <v>785</v>
      </c>
      <c r="F7" s="6">
        <v>27</v>
      </c>
      <c r="G7" s="7">
        <v>46316.90419377315</v>
      </c>
      <c r="H7" s="8">
        <v>1.157407407407407E-05</v>
      </c>
      <c r="I7" s="9">
        <v>0</v>
      </c>
      <c r="J7" s="9">
        <v>0</v>
      </c>
      <c r="K7" s="9">
        <v>0</v>
      </c>
      <c r="L7" s="10">
        <v>0</v>
      </c>
      <c r="M7" s="11">
        <v>-35.3632621</v>
      </c>
      <c r="N7" s="11">
        <v>149.1652374</v>
      </c>
      <c r="O7" s="9">
        <v>0</v>
      </c>
      <c r="P7" s="9">
        <v>0</v>
      </c>
      <c r="Q7" s="9">
        <v>0</v>
      </c>
      <c r="R7" s="9">
        <f>(G7-$G$5)*86400</f>
        <v>1.999</v>
      </c>
      <c r="S7" s="9">
        <f>IF(I7&gt;=0.99*$B$6,R7,"")</f>
        <v/>
      </c>
      <c r="T7" s="9">
        <f>IF(AND(J7&gt;=0.5,I7&gt;=0.95*$B$6),R7,"")</f>
        <v/>
      </c>
      <c r="U7" s="12" t="str">
        <f>IF(R7&lt;=$B$15,"Зліт",IF(R7&lt;$B$16,"Перехід",IF(R7&lt;$B$17,"Горизонтальний політ","Посадка")))</f>
        <v>Зліт</v>
      </c>
    </row>
    <row r="8" spans="1:21">
      <c r="A8" s="12" t="s">
        <v>788</v>
      </c>
      <c r="B8" s="11">
        <v>-35.3631166</v>
      </c>
      <c r="C8" s="13" t="s">
        <v>789</v>
      </c>
      <c r="D8" s="14" t="s">
        <v>785</v>
      </c>
      <c r="F8" s="6">
        <v>28</v>
      </c>
      <c r="G8" s="7">
        <v>46316.9042053588</v>
      </c>
      <c r="H8" s="8">
        <v>2.314814814814815E-05</v>
      </c>
      <c r="I8" s="9">
        <v>0.1</v>
      </c>
      <c r="J8" s="9">
        <v>0</v>
      </c>
      <c r="K8" s="9">
        <v>0</v>
      </c>
      <c r="L8" s="10">
        <v>0</v>
      </c>
      <c r="M8" s="11">
        <v>-35.3632621</v>
      </c>
      <c r="N8" s="11">
        <v>149.1652374</v>
      </c>
      <c r="O8" s="9">
        <v>0.4</v>
      </c>
      <c r="P8" s="9">
        <v>0</v>
      </c>
      <c r="Q8" s="9">
        <v>0</v>
      </c>
      <c r="R8" s="9">
        <f>(G8-$G$5)*86400</f>
        <v>3.0</v>
      </c>
      <c r="S8" s="9">
        <f>IF(I8&gt;=0.99*$B$6,R8,"")</f>
        <v/>
      </c>
      <c r="T8" s="9">
        <f>IF(AND(J8&gt;=0.5,I8&gt;=0.95*$B$6),R8,"")</f>
        <v/>
      </c>
      <c r="U8" s="12" t="str">
        <f>IF(R8&lt;=$B$15,"Зліт",IF(R8&lt;$B$16,"Перехід",IF(R8&lt;$B$17,"Горизонтальний політ","Посадка")))</f>
        <v>Зліт</v>
      </c>
    </row>
    <row r="9" spans="1:21">
      <c r="A9" s="12" t="s">
        <v>790</v>
      </c>
      <c r="B9" s="11">
        <v>149.1639735</v>
      </c>
      <c r="C9" s="13" t="s">
        <v>789</v>
      </c>
      <c r="D9" s="14" t="s">
        <v>785</v>
      </c>
      <c r="F9" s="6">
        <v>29</v>
      </c>
      <c r="G9" s="7">
        <v>46316.90421693287</v>
      </c>
      <c r="H9" s="8">
        <v>3.472222222222222E-05</v>
      </c>
      <c r="I9" s="9">
        <v>1</v>
      </c>
      <c r="J9" s="9">
        <v>0</v>
      </c>
      <c r="K9" s="9">
        <v>0</v>
      </c>
      <c r="L9" s="10">
        <v>0.1</v>
      </c>
      <c r="M9" s="11">
        <v>-35.3632621</v>
      </c>
      <c r="N9" s="11">
        <v>149.1652374</v>
      </c>
      <c r="O9" s="9">
        <v>1.4</v>
      </c>
      <c r="P9" s="9">
        <v>0</v>
      </c>
      <c r="Q9" s="9">
        <v>0</v>
      </c>
      <c r="R9" s="9">
        <f>(G9-$G$5)*86400</f>
        <v>4.0</v>
      </c>
      <c r="S9" s="9">
        <f>IF(I9&gt;=0.99*$B$6,R9,"")</f>
        <v/>
      </c>
      <c r="T9" s="9">
        <f>IF(AND(J9&gt;=0.5,I9&gt;=0.95*$B$6),R9,"")</f>
        <v/>
      </c>
      <c r="U9" s="12" t="str">
        <f>IF(R9&lt;=$B$15,"Зліт",IF(R9&lt;$B$16,"Перехід",IF(R9&lt;$B$17,"Горизонтальний політ","Посадка")))</f>
        <v>Зліт</v>
      </c>
    </row>
    <row r="10" spans="1:21">
      <c r="A10" s="12" t="s">
        <v>791</v>
      </c>
      <c r="B10" s="6">
        <f>100*B7</f>
        <v>500.0</v>
      </c>
      <c r="C10" s="13" t="s">
        <v>792</v>
      </c>
      <c r="D10" s="14" t="s">
        <v>793</v>
      </c>
      <c r="F10" s="6">
        <v>30</v>
      </c>
      <c r="G10" s="7">
        <v>46316.90422850694</v>
      </c>
      <c r="H10" s="8">
        <v>4.629629629629629E-05</v>
      </c>
      <c r="I10" s="9">
        <v>2.9</v>
      </c>
      <c r="J10" s="9">
        <v>0</v>
      </c>
      <c r="K10" s="9">
        <v>0</v>
      </c>
      <c r="L10" s="10">
        <v>0.2</v>
      </c>
      <c r="M10" s="11">
        <v>-35.3632621</v>
      </c>
      <c r="N10" s="11">
        <v>149.1652374</v>
      </c>
      <c r="O10" s="9">
        <v>2.4</v>
      </c>
      <c r="P10" s="9">
        <v>0</v>
      </c>
      <c r="Q10" s="9">
        <v>0</v>
      </c>
      <c r="R10" s="9">
        <f>(G10-$G$5)*86400</f>
        <v>5.0</v>
      </c>
      <c r="S10" s="9">
        <f>IF(I10&gt;=0.99*$B$6,R10,"")</f>
        <v/>
      </c>
      <c r="T10" s="9">
        <f>IF(AND(J10&gt;=0.5,I10&gt;=0.95*$B$6),R10,"")</f>
        <v/>
      </c>
      <c r="U10" s="12" t="str">
        <f>IF(R10&lt;=$B$15,"Зліт",IF(R10&lt;$B$16,"Перехід",IF(R10&lt;$B$17,"Горизонтальний політ","Посадка")))</f>
        <v>Зліт</v>
      </c>
    </row>
    <row r="11" spans="1:21">
      <c r="A11" s="12" t="s">
        <v>794</v>
      </c>
      <c r="B11" s="9">
        <f>B7</f>
        <v>5.0</v>
      </c>
      <c r="C11" s="13" t="s">
        <v>787</v>
      </c>
      <c r="D11" s="14" t="s">
        <v>795</v>
      </c>
      <c r="F11" s="6">
        <v>31</v>
      </c>
      <c r="G11" s="7">
        <v>46316.90424008102</v>
      </c>
      <c r="H11" s="8">
        <v>5.787037037037037E-05</v>
      </c>
      <c r="I11" s="9">
        <v>5.5</v>
      </c>
      <c r="J11" s="9">
        <v>0</v>
      </c>
      <c r="K11" s="9">
        <v>0</v>
      </c>
      <c r="L11" s="10">
        <v>0.2</v>
      </c>
      <c r="M11" s="11">
        <v>-35.3632621</v>
      </c>
      <c r="N11" s="11">
        <v>149.1652374</v>
      </c>
      <c r="O11" s="9">
        <v>2.5</v>
      </c>
      <c r="P11" s="9">
        <v>0</v>
      </c>
      <c r="Q11" s="9">
        <v>0</v>
      </c>
      <c r="R11" s="9">
        <f>(G11-$G$5)*86400</f>
        <v>6.0</v>
      </c>
      <c r="S11" s="9">
        <f>IF(I11&gt;=0.99*$B$6,R11,"")</f>
        <v/>
      </c>
      <c r="T11" s="9">
        <f>IF(AND(J11&gt;=0.5,I11&gt;=0.95*$B$6),R11,"")</f>
        <v/>
      </c>
      <c r="U11" s="12" t="str">
        <f>IF(R11&lt;=$B$15,"Зліт",IF(R11&lt;$B$16,"Перехід",IF(R11&lt;$B$17,"Горизонтальний політ","Посадка")))</f>
        <v>Зліт</v>
      </c>
    </row>
    <row r="12" spans="1:21">
      <c r="F12" s="6">
        <v>32</v>
      </c>
      <c r="G12" s="7">
        <v>46316.90425165509</v>
      </c>
      <c r="H12" s="8">
        <v>6.944444444444444E-05</v>
      </c>
      <c r="I12" s="9">
        <v>8</v>
      </c>
      <c r="J12" s="9">
        <v>0</v>
      </c>
      <c r="K12" s="9">
        <v>0</v>
      </c>
      <c r="L12" s="10">
        <v>-0.2</v>
      </c>
      <c r="M12" s="11">
        <v>-35.3632621</v>
      </c>
      <c r="N12" s="11">
        <v>149.1652374</v>
      </c>
      <c r="O12" s="9">
        <v>2.5</v>
      </c>
      <c r="P12" s="9">
        <v>0</v>
      </c>
      <c r="Q12" s="9">
        <v>0</v>
      </c>
      <c r="R12" s="9">
        <f>(G12-$G$5)*86400</f>
        <v>7.0</v>
      </c>
      <c r="S12" s="9">
        <f>IF(I12&gt;=0.99*$B$6,R12,"")</f>
        <v/>
      </c>
      <c r="T12" s="9">
        <f>IF(AND(J12&gt;=0.5,I12&gt;=0.95*$B$6),R12,"")</f>
        <v/>
      </c>
      <c r="U12" s="12" t="str">
        <f>IF(R12&lt;=$B$15,"Зліт",IF(R12&lt;$B$16,"Перехід",IF(R12&lt;$B$17,"Горизонтальний політ","Посадка")))</f>
        <v>Зліт</v>
      </c>
    </row>
    <row r="13" spans="1:21">
      <c r="A13" s="3" t="s">
        <v>796</v>
      </c>
      <c r="B13" s="3"/>
      <c r="C13" s="3"/>
      <c r="D13" s="3"/>
      <c r="F13" s="6">
        <v>33</v>
      </c>
      <c r="G13" s="7">
        <v>46316.90426322917</v>
      </c>
      <c r="H13" s="8">
        <v>8.101851851851852E-05</v>
      </c>
      <c r="I13" s="9">
        <v>10.5</v>
      </c>
      <c r="J13" s="9">
        <v>0</v>
      </c>
      <c r="K13" s="9">
        <v>0</v>
      </c>
      <c r="L13" s="10">
        <v>-0.2</v>
      </c>
      <c r="M13" s="11">
        <v>-35.3632621</v>
      </c>
      <c r="N13" s="11">
        <v>149.1652374</v>
      </c>
      <c r="O13" s="9">
        <v>2.5</v>
      </c>
      <c r="P13" s="9">
        <v>0</v>
      </c>
      <c r="Q13" s="9">
        <v>0</v>
      </c>
      <c r="R13" s="9">
        <f>(G13-$G$5)*86400</f>
        <v>8.0</v>
      </c>
      <c r="S13" s="9">
        <f>IF(I13&gt;=0.99*$B$6,R13,"")</f>
        <v/>
      </c>
      <c r="T13" s="9">
        <f>IF(AND(J13&gt;=0.5,I13&gt;=0.95*$B$6),R13,"")</f>
        <v/>
      </c>
      <c r="U13" s="12" t="str">
        <f>IF(R13&lt;=$B$15,"Зліт",IF(R13&lt;$B$16,"Перехід",IF(R13&lt;$B$17,"Горизонтальний політ","Посадка")))</f>
        <v>Зліт</v>
      </c>
    </row>
    <row r="14" spans="1:21">
      <c r="A14" s="5" t="s">
        <v>797</v>
      </c>
      <c r="B14" s="4" t="s">
        <v>798</v>
      </c>
      <c r="C14" s="4" t="s">
        <v>781</v>
      </c>
      <c r="D14" s="5" t="s">
        <v>799</v>
      </c>
      <c r="F14" s="6">
        <v>34</v>
      </c>
      <c r="G14" s="7">
        <v>46316.90427480324</v>
      </c>
      <c r="H14" s="8">
        <v>9.259259259259259E-05</v>
      </c>
      <c r="I14" s="9">
        <v>13</v>
      </c>
      <c r="J14" s="9">
        <v>0</v>
      </c>
      <c r="K14" s="9">
        <v>0</v>
      </c>
      <c r="L14" s="10">
        <v>0.2</v>
      </c>
      <c r="M14" s="11">
        <v>-35.3632621</v>
      </c>
      <c r="N14" s="11">
        <v>149.1652373</v>
      </c>
      <c r="O14" s="9">
        <v>2.5</v>
      </c>
      <c r="P14" s="9">
        <v>0</v>
      </c>
      <c r="Q14" s="9">
        <v>0</v>
      </c>
      <c r="R14" s="9">
        <f>(G14-$G$5)*86400</f>
        <v>9.0</v>
      </c>
      <c r="S14" s="9">
        <f>IF(I14&gt;=0.99*$B$6,R14,"")</f>
        <v/>
      </c>
      <c r="T14" s="9">
        <f>IF(AND(J14&gt;=0.5,I14&gt;=0.95*$B$6),R14,"")</f>
        <v/>
      </c>
      <c r="U14" s="12" t="str">
        <f>IF(R14&lt;=$B$15,"Зліт",IF(R14&lt;$B$16,"Перехід",IF(R14&lt;$B$17,"Горизонтальний політ","Посадка")))</f>
        <v>Зліт</v>
      </c>
    </row>
    <row r="15" spans="1:21">
      <c r="A15" s="12" t="s">
        <v>800</v>
      </c>
      <c r="B15" s="9">
        <f>MIN($S$5:$S$120)</f>
        <v>24.0</v>
      </c>
      <c r="C15" s="13" t="s">
        <v>801</v>
      </c>
      <c r="D15" s="14" t="s">
        <v>802</v>
      </c>
      <c r="F15" s="6">
        <v>35</v>
      </c>
      <c r="G15" s="7">
        <v>46316.90428637731</v>
      </c>
      <c r="H15" s="8">
        <v>0.0001041666666666667</v>
      </c>
      <c r="I15" s="9">
        <v>15.5</v>
      </c>
      <c r="J15" s="9">
        <v>0</v>
      </c>
      <c r="K15" s="9">
        <v>0</v>
      </c>
      <c r="L15" s="10">
        <v>0.2</v>
      </c>
      <c r="M15" s="11">
        <v>-35.3632621</v>
      </c>
      <c r="N15" s="11">
        <v>149.1652374</v>
      </c>
      <c r="O15" s="9">
        <v>2.5</v>
      </c>
      <c r="P15" s="9">
        <v>0</v>
      </c>
      <c r="Q15" s="9">
        <v>0</v>
      </c>
      <c r="R15" s="9">
        <f>(G15-$G$5)*86400</f>
        <v>10.0</v>
      </c>
      <c r="S15" s="9">
        <f>IF(I15&gt;=0.99*$B$6,R15,"")</f>
        <v/>
      </c>
      <c r="T15" s="9">
        <f>IF(AND(J15&gt;=0.5,I15&gt;=0.95*$B$6),R15,"")</f>
        <v/>
      </c>
      <c r="U15" s="12" t="str">
        <f>IF(R15&lt;=$B$15,"Зліт",IF(R15&lt;$B$16,"Перехід",IF(R15&lt;$B$17,"Горизонтальний політ","Посадка")))</f>
        <v>Зліт</v>
      </c>
    </row>
    <row r="16" spans="1:21">
      <c r="A16" s="12" t="s">
        <v>803</v>
      </c>
      <c r="B16" s="9">
        <f>MIN($T$5:$T$120)</f>
        <v>27.0</v>
      </c>
      <c r="C16" s="13" t="s">
        <v>801</v>
      </c>
      <c r="D16" s="14" t="s">
        <v>804</v>
      </c>
      <c r="F16" s="6">
        <v>36</v>
      </c>
      <c r="G16" s="7">
        <v>46316.90429795139</v>
      </c>
      <c r="H16" s="8">
        <v>0.0001157407407407407</v>
      </c>
      <c r="I16" s="9">
        <v>18</v>
      </c>
      <c r="J16" s="9">
        <v>0</v>
      </c>
      <c r="K16" s="9">
        <v>0</v>
      </c>
      <c r="L16" s="10">
        <v>0</v>
      </c>
      <c r="M16" s="11">
        <v>-35.3632621</v>
      </c>
      <c r="N16" s="11">
        <v>149.1652374</v>
      </c>
      <c r="O16" s="9">
        <v>2.5</v>
      </c>
      <c r="P16" s="9">
        <v>0</v>
      </c>
      <c r="Q16" s="9">
        <v>0</v>
      </c>
      <c r="R16" s="9">
        <f>(G16-$G$5)*86400</f>
        <v>11.0</v>
      </c>
      <c r="S16" s="9">
        <f>IF(I16&gt;=0.99*$B$6,R16,"")</f>
        <v/>
      </c>
      <c r="T16" s="9">
        <f>IF(AND(J16&gt;=0.5,I16&gt;=0.95*$B$6),R16,"")</f>
        <v/>
      </c>
      <c r="U16" s="12" t="str">
        <f>IF(R16&lt;=$B$15,"Зліт",IF(R16&lt;$B$16,"Перехід",IF(R16&lt;$B$17,"Горизонтальний політ","Посадка")))</f>
        <v>Зліт</v>
      </c>
    </row>
    <row r="17" spans="1:21">
      <c r="A17" s="12" t="s">
        <v>805</v>
      </c>
      <c r="B17" s="9">
        <f>MAX($T$5:$T$120)+1</f>
        <v>52.999</v>
      </c>
      <c r="C17" s="13" t="s">
        <v>801</v>
      </c>
      <c r="D17" s="14" t="s">
        <v>806</v>
      </c>
      <c r="F17" s="6">
        <v>37</v>
      </c>
      <c r="G17" s="7">
        <v>46316.90430952546</v>
      </c>
      <c r="H17" s="8">
        <v>0.0001273148148148148</v>
      </c>
      <c r="I17" s="9">
        <v>20.5</v>
      </c>
      <c r="J17" s="9">
        <v>0</v>
      </c>
      <c r="K17" s="9">
        <v>0</v>
      </c>
      <c r="L17" s="10">
        <v>-0.1</v>
      </c>
      <c r="M17" s="11">
        <v>-35.3632621</v>
      </c>
      <c r="N17" s="11">
        <v>149.1652374</v>
      </c>
      <c r="O17" s="9">
        <v>2.5</v>
      </c>
      <c r="P17" s="9">
        <v>0</v>
      </c>
      <c r="Q17" s="9">
        <v>0</v>
      </c>
      <c r="R17" s="9">
        <f>(G17-$G$5)*86400</f>
        <v>12.0</v>
      </c>
      <c r="S17" s="9">
        <f>IF(I17&gt;=0.99*$B$6,R17,"")</f>
        <v/>
      </c>
      <c r="T17" s="9">
        <f>IF(AND(J17&gt;=0.5,I17&gt;=0.95*$B$6),R17,"")</f>
        <v/>
      </c>
      <c r="U17" s="12" t="str">
        <f>IF(R17&lt;=$B$15,"Зліт",IF(R17&lt;$B$16,"Перехід",IF(R17&lt;$B$17,"Горизонтальний політ","Посадка")))</f>
        <v>Зліт</v>
      </c>
    </row>
    <row r="18" spans="1:21">
      <c r="A18" s="12" t="s">
        <v>807</v>
      </c>
      <c r="B18" s="9">
        <f>MAX($R$5:$R$120)</f>
        <v>115.0</v>
      </c>
      <c r="C18" s="13" t="s">
        <v>801</v>
      </c>
      <c r="D18" s="14" t="s">
        <v>808</v>
      </c>
      <c r="F18" s="6">
        <v>38</v>
      </c>
      <c r="G18" s="7">
        <v>46316.90432109954</v>
      </c>
      <c r="H18" s="8">
        <v>0.0001388888888888889</v>
      </c>
      <c r="I18" s="9">
        <v>23</v>
      </c>
      <c r="J18" s="9">
        <v>0</v>
      </c>
      <c r="K18" s="9">
        <v>0</v>
      </c>
      <c r="L18" s="10">
        <v>-0.1</v>
      </c>
      <c r="M18" s="11">
        <v>-35.3632621</v>
      </c>
      <c r="N18" s="11">
        <v>149.1652374</v>
      </c>
      <c r="O18" s="9">
        <v>2.5</v>
      </c>
      <c r="P18" s="9">
        <v>0</v>
      </c>
      <c r="Q18" s="9">
        <v>0</v>
      </c>
      <c r="R18" s="9">
        <f>(G18-$G$5)*86400</f>
        <v>13.0</v>
      </c>
      <c r="S18" s="9">
        <f>IF(I18&gt;=0.99*$B$6,R18,"")</f>
        <v/>
      </c>
      <c r="T18" s="9">
        <f>IF(AND(J18&gt;=0.5,I18&gt;=0.95*$B$6),R18,"")</f>
        <v/>
      </c>
      <c r="U18" s="12" t="str">
        <f>IF(R18&lt;=$B$15,"Зліт",IF(R18&lt;$B$16,"Перехід",IF(R18&lt;$B$17,"Горизонтальний політ","Посадка")))</f>
        <v>Зліт</v>
      </c>
    </row>
    <row r="19" spans="1:21">
      <c r="F19" s="6">
        <v>39</v>
      </c>
      <c r="G19" s="7">
        <v>46316.90433266204</v>
      </c>
      <c r="H19" s="8">
        <v>0.000150462962962963</v>
      </c>
      <c r="I19" s="9">
        <v>25.5</v>
      </c>
      <c r="J19" s="9">
        <v>0</v>
      </c>
      <c r="K19" s="9">
        <v>0</v>
      </c>
      <c r="L19" s="10">
        <v>0.1</v>
      </c>
      <c r="M19" s="11">
        <v>-35.3632621</v>
      </c>
      <c r="N19" s="11">
        <v>149.1652374</v>
      </c>
      <c r="O19" s="9">
        <v>2.5</v>
      </c>
      <c r="P19" s="9">
        <v>0</v>
      </c>
      <c r="Q19" s="9">
        <v>0</v>
      </c>
      <c r="R19" s="9">
        <f>(G19-$G$5)*86400</f>
        <v>13.999</v>
      </c>
      <c r="S19" s="9">
        <f>IF(I19&gt;=0.99*$B$6,R19,"")</f>
        <v/>
      </c>
      <c r="T19" s="9">
        <f>IF(AND(J19&gt;=0.5,I19&gt;=0.95*$B$6),R19,"")</f>
        <v/>
      </c>
      <c r="U19" s="12" t="str">
        <f>IF(R19&lt;=$B$15,"Зліт",IF(R19&lt;$B$16,"Перехід",IF(R19&lt;$B$17,"Горизонтальний політ","Посадка")))</f>
        <v>Зліт</v>
      </c>
    </row>
    <row r="20" spans="1:21">
      <c r="A20" s="3" t="s">
        <v>809</v>
      </c>
      <c r="B20" s="3"/>
      <c r="C20" s="3"/>
      <c r="D20" s="3"/>
      <c r="F20" s="6">
        <v>40</v>
      </c>
      <c r="G20" s="7">
        <v>46316.90434424768</v>
      </c>
      <c r="H20" s="8">
        <v>0.000162037037037037</v>
      </c>
      <c r="I20" s="9">
        <v>28</v>
      </c>
      <c r="J20" s="9">
        <v>0</v>
      </c>
      <c r="K20" s="9">
        <v>0</v>
      </c>
      <c r="L20" s="10">
        <v>0.1</v>
      </c>
      <c r="M20" s="11">
        <v>-35.3632621</v>
      </c>
      <c r="N20" s="11">
        <v>149.1652374</v>
      </c>
      <c r="O20" s="9">
        <v>2.5</v>
      </c>
      <c r="P20" s="9">
        <v>0</v>
      </c>
      <c r="Q20" s="9">
        <v>0</v>
      </c>
      <c r="R20" s="9">
        <f>(G20-$G$5)*86400</f>
        <v>15.0</v>
      </c>
      <c r="S20" s="9">
        <f>IF(I20&gt;=0.99*$B$6,R20,"")</f>
        <v/>
      </c>
      <c r="T20" s="9">
        <f>IF(AND(J20&gt;=0.5,I20&gt;=0.95*$B$6),R20,"")</f>
        <v/>
      </c>
      <c r="U20" s="12" t="str">
        <f>IF(R20&lt;=$B$15,"Зліт",IF(R20&lt;$B$16,"Перехід",IF(R20&lt;$B$17,"Горизонтальний політ","Посадка")))</f>
        <v>Зліт</v>
      </c>
    </row>
    <row r="21" spans="1:21">
      <c r="A21" s="5" t="s">
        <v>810</v>
      </c>
      <c r="B21" s="4" t="s">
        <v>780</v>
      </c>
      <c r="C21" s="4" t="s">
        <v>781</v>
      </c>
      <c r="D21" s="5" t="s">
        <v>811</v>
      </c>
      <c r="F21" s="6">
        <v>41</v>
      </c>
      <c r="G21" s="7">
        <v>46316.90435582176</v>
      </c>
      <c r="H21" s="8">
        <v>0.0001736111111111111</v>
      </c>
      <c r="I21" s="9">
        <v>30.5</v>
      </c>
      <c r="J21" s="9">
        <v>0</v>
      </c>
      <c r="K21" s="9">
        <v>0</v>
      </c>
      <c r="L21" s="10">
        <v>0</v>
      </c>
      <c r="M21" s="11">
        <v>-35.3632621</v>
      </c>
      <c r="N21" s="11">
        <v>149.1652374</v>
      </c>
      <c r="O21" s="9">
        <v>2.5</v>
      </c>
      <c r="P21" s="9">
        <v>0</v>
      </c>
      <c r="Q21" s="9">
        <v>0</v>
      </c>
      <c r="R21" s="9">
        <f>(G21-$G$5)*86400</f>
        <v>16.0</v>
      </c>
      <c r="S21" s="9">
        <f>IF(I21&gt;=0.99*$B$6,R21,"")</f>
        <v/>
      </c>
      <c r="T21" s="9">
        <f>IF(AND(J21&gt;=0.5,I21&gt;=0.95*$B$6),R21,"")</f>
        <v/>
      </c>
      <c r="U21" s="12" t="str">
        <f>IF(R21&lt;=$B$15,"Зліт",IF(R21&lt;$B$16,"Перехід",IF(R21&lt;$B$17,"Горизонтальний політ","Посадка")))</f>
        <v>Зліт</v>
      </c>
    </row>
    <row r="22" spans="1:21">
      <c r="A22" s="12" t="s">
        <v>812</v>
      </c>
      <c r="B22" s="15">
        <f>G5</f>
        <v>46316.904170636575</v>
      </c>
      <c r="C22" s="13" t="s">
        <v>813</v>
      </c>
      <c r="D22" s="14" t="s">
        <v>814</v>
      </c>
      <c r="F22" s="6">
        <v>42</v>
      </c>
      <c r="G22" s="7">
        <v>46316.90436739584</v>
      </c>
      <c r="H22" s="8">
        <v>0.0001851851851851852</v>
      </c>
      <c r="I22" s="9">
        <v>33</v>
      </c>
      <c r="J22" s="9">
        <v>0</v>
      </c>
      <c r="K22" s="9">
        <v>0</v>
      </c>
      <c r="L22" s="10">
        <v>-0.2</v>
      </c>
      <c r="M22" s="11">
        <v>-35.3632621</v>
      </c>
      <c r="N22" s="11">
        <v>149.1652374</v>
      </c>
      <c r="O22" s="9">
        <v>2.5</v>
      </c>
      <c r="P22" s="9">
        <v>0</v>
      </c>
      <c r="Q22" s="9">
        <v>0</v>
      </c>
      <c r="R22" s="9">
        <f>(G22-$G$5)*86400</f>
        <v>17.0</v>
      </c>
      <c r="S22" s="9">
        <f>IF(I22&gt;=0.99*$B$6,R22,"")</f>
        <v/>
      </c>
      <c r="T22" s="9">
        <f>IF(AND(J22&gt;=0.5,I22&gt;=0.95*$B$6),R22,"")</f>
        <v/>
      </c>
      <c r="U22" s="12" t="str">
        <f>IF(R22&lt;=$B$15,"Зліт",IF(R22&lt;$B$16,"Перехід",IF(R22&lt;$B$17,"Горизонтальний політ","Посадка")))</f>
        <v>Зліт</v>
      </c>
    </row>
    <row r="23" spans="1:21">
      <c r="A23" s="12" t="s">
        <v>815</v>
      </c>
      <c r="B23" s="6">
        <f>B15</f>
        <v>24.0</v>
      </c>
      <c r="C23" s="13" t="s">
        <v>801</v>
      </c>
      <c r="D23" s="14" t="s">
        <v>816</v>
      </c>
      <c r="F23" s="6">
        <v>43</v>
      </c>
      <c r="G23" s="7">
        <v>46316.90437896991</v>
      </c>
      <c r="H23" s="8">
        <v>0.0001967592592592593</v>
      </c>
      <c r="I23" s="9">
        <v>35.5</v>
      </c>
      <c r="J23" s="9">
        <v>0</v>
      </c>
      <c r="K23" s="9">
        <v>0</v>
      </c>
      <c r="L23" s="10">
        <v>-0.1</v>
      </c>
      <c r="M23" s="11">
        <v>-35.3632621</v>
      </c>
      <c r="N23" s="11">
        <v>149.1652374</v>
      </c>
      <c r="O23" s="9">
        <v>2.5</v>
      </c>
      <c r="P23" s="9">
        <v>0</v>
      </c>
      <c r="Q23" s="9">
        <v>0</v>
      </c>
      <c r="R23" s="9">
        <f>(G23-$G$5)*86400</f>
        <v>18.0</v>
      </c>
      <c r="S23" s="9">
        <f>IF(I23&gt;=0.99*$B$6,R23,"")</f>
        <v/>
      </c>
      <c r="T23" s="9">
        <f>IF(AND(J23&gt;=0.5,I23&gt;=0.95*$B$6),R23,"")</f>
        <v/>
      </c>
      <c r="U23" s="12" t="str">
        <f>IF(R23&lt;=$B$15,"Зліт",IF(R23&lt;$B$16,"Перехід",IF(R23&lt;$B$17,"Горизонтальний політ","Посадка")))</f>
        <v>Зліт</v>
      </c>
    </row>
    <row r="24" spans="1:21">
      <c r="A24" s="12" t="s">
        <v>817</v>
      </c>
      <c r="B24" s="9">
        <f>MAX($I$5:$I$120)</f>
        <v>50.0</v>
      </c>
      <c r="C24" s="13" t="s">
        <v>784</v>
      </c>
      <c r="D24" s="14" t="s">
        <v>11</v>
      </c>
      <c r="F24" s="6">
        <v>44</v>
      </c>
      <c r="G24" s="7">
        <v>46316.90439054398</v>
      </c>
      <c r="H24" s="8">
        <v>0.0002083333333333333</v>
      </c>
      <c r="I24" s="9">
        <v>38</v>
      </c>
      <c r="J24" s="9">
        <v>0</v>
      </c>
      <c r="K24" s="9">
        <v>0</v>
      </c>
      <c r="L24" s="10">
        <v>0.1</v>
      </c>
      <c r="M24" s="11">
        <v>-35.3632621</v>
      </c>
      <c r="N24" s="11">
        <v>149.1652374</v>
      </c>
      <c r="O24" s="9">
        <v>2.5</v>
      </c>
      <c r="P24" s="9">
        <v>0</v>
      </c>
      <c r="Q24" s="9">
        <v>0</v>
      </c>
      <c r="R24" s="9">
        <f>(G24-$G$5)*86400</f>
        <v>19.0</v>
      </c>
      <c r="S24" s="9">
        <f>IF(I24&gt;=0.99*$B$6,R24,"")</f>
        <v/>
      </c>
      <c r="T24" s="9">
        <f>IF(AND(J24&gt;=0.5,I24&gt;=0.95*$B$6),R24,"")</f>
        <v/>
      </c>
      <c r="U24" s="12" t="str">
        <f>IF(R24&lt;=$B$15,"Зліт",IF(R24&lt;$B$16,"Перехід",IF(R24&lt;$B$17,"Горизонтальний політ","Посадка")))</f>
        <v>Зліт</v>
      </c>
    </row>
    <row r="25" spans="1:21">
      <c r="A25" s="12" t="s">
        <v>818</v>
      </c>
      <c r="B25" s="9">
        <f>MAX($J$5:$J$120)</f>
        <v>5.0</v>
      </c>
      <c r="C25" s="13" t="s">
        <v>787</v>
      </c>
      <c r="D25" s="14" t="s">
        <v>7</v>
      </c>
      <c r="F25" s="6">
        <v>45</v>
      </c>
      <c r="G25" s="7">
        <v>46316.90440210648</v>
      </c>
      <c r="H25" s="8">
        <v>0.0002199074074074074</v>
      </c>
      <c r="I25" s="9">
        <v>40.5</v>
      </c>
      <c r="J25" s="9">
        <v>0</v>
      </c>
      <c r="K25" s="9">
        <v>0</v>
      </c>
      <c r="L25" s="10">
        <v>0.2</v>
      </c>
      <c r="M25" s="11">
        <v>-35.3632621</v>
      </c>
      <c r="N25" s="11">
        <v>149.1652374</v>
      </c>
      <c r="O25" s="9">
        <v>2.5</v>
      </c>
      <c r="P25" s="9">
        <v>0</v>
      </c>
      <c r="Q25" s="9">
        <v>0</v>
      </c>
      <c r="R25" s="9">
        <f>(G25-$G$5)*86400</f>
        <v>19.999</v>
      </c>
      <c r="S25" s="9">
        <f>IF(I25&gt;=0.99*$B$6,R25,"")</f>
        <v/>
      </c>
      <c r="T25" s="9">
        <f>IF(AND(J25&gt;=0.5,I25&gt;=0.95*$B$6),R25,"")</f>
        <v/>
      </c>
      <c r="U25" s="12" t="str">
        <f>IF(R25&lt;=$B$15,"Зліт",IF(R25&lt;$B$16,"Перехід",IF(R25&lt;$B$17,"Горизонтальний політ","Посадка")))</f>
        <v>Зліт</v>
      </c>
    </row>
    <row r="26" spans="1:21">
      <c r="A26" s="12" t="s">
        <v>819</v>
      </c>
      <c r="B26" s="9">
        <f>MAX($K$5:$K$120)</f>
        <v>5.0</v>
      </c>
      <c r="C26" s="13" t="s">
        <v>787</v>
      </c>
      <c r="D26" s="14" t="s">
        <v>820</v>
      </c>
      <c r="F26" s="6">
        <v>46</v>
      </c>
      <c r="G26" s="7">
        <v>46316.90441369213</v>
      </c>
      <c r="H26" s="8">
        <v>0.0002314814814814815</v>
      </c>
      <c r="I26" s="9">
        <v>43</v>
      </c>
      <c r="J26" s="9">
        <v>0</v>
      </c>
      <c r="K26" s="9">
        <v>0</v>
      </c>
      <c r="L26" s="10">
        <v>0</v>
      </c>
      <c r="M26" s="11">
        <v>-35.3632621</v>
      </c>
      <c r="N26" s="11">
        <v>149.1652374</v>
      </c>
      <c r="O26" s="9">
        <v>2.5</v>
      </c>
      <c r="P26" s="9">
        <v>0</v>
      </c>
      <c r="Q26" s="9">
        <v>0</v>
      </c>
      <c r="R26" s="9">
        <f>(G26-$G$5)*86400</f>
        <v>21.0</v>
      </c>
      <c r="S26" s="9">
        <f>IF(I26&gt;=0.99*$B$6,R26,"")</f>
        <v/>
      </c>
      <c r="T26" s="9">
        <f>IF(AND(J26&gt;=0.5,I26&gt;=0.95*$B$6),R26,"")</f>
        <v/>
      </c>
      <c r="U26" s="12" t="str">
        <f>IF(R26&lt;=$B$15,"Зліт",IF(R26&lt;$B$16,"Перехід",IF(R26&lt;$B$17,"Горизонтальний політ","Посадка")))</f>
        <v>Зліт</v>
      </c>
    </row>
    <row r="27" spans="1:21">
      <c r="A27" s="12" t="s">
        <v>821</v>
      </c>
      <c r="B27" s="6">
        <f>ROUND(H120*86400,0)</f>
        <v>114</v>
      </c>
      <c r="C27" s="13" t="s">
        <v>801</v>
      </c>
      <c r="D27" s="14" t="s">
        <v>822</v>
      </c>
      <c r="F27" s="6">
        <v>47</v>
      </c>
      <c r="G27" s="7">
        <v>46316.90442526621</v>
      </c>
      <c r="H27" s="8">
        <v>0.0002430555555555555</v>
      </c>
      <c r="I27" s="9">
        <v>45.5</v>
      </c>
      <c r="J27" s="9">
        <v>0</v>
      </c>
      <c r="K27" s="9">
        <v>0</v>
      </c>
      <c r="L27" s="10">
        <v>-0.2</v>
      </c>
      <c r="M27" s="11">
        <v>-35.3632621</v>
      </c>
      <c r="N27" s="11">
        <v>149.1652374</v>
      </c>
      <c r="O27" s="9">
        <v>2.5</v>
      </c>
      <c r="P27" s="9">
        <v>0</v>
      </c>
      <c r="Q27" s="9">
        <v>0</v>
      </c>
      <c r="R27" s="9">
        <f>(G27-$G$5)*86400</f>
        <v>22.0</v>
      </c>
      <c r="S27" s="9">
        <f>IF(I27&gt;=0.99*$B$6,R27,"")</f>
        <v/>
      </c>
      <c r="T27" s="9">
        <f>IF(AND(J27&gt;=0.5,I27&gt;=0.95*$B$6),R27,"")</f>
        <v/>
      </c>
      <c r="U27" s="12" t="str">
        <f>IF(R27&lt;=$B$15,"Зліт",IF(R27&lt;$B$16,"Перехід",IF(R27&lt;$B$17,"Горизонтальний політ","Посадка")))</f>
        <v>Зліт</v>
      </c>
    </row>
    <row r="28" spans="1:21">
      <c r="A28" s="12" t="s">
        <v>823</v>
      </c>
      <c r="B28" s="13" t="s">
        <v>824</v>
      </c>
      <c r="C28" s="13" t="s">
        <v>789</v>
      </c>
      <c r="D28" s="14" t="s">
        <v>825</v>
      </c>
      <c r="F28" s="6">
        <v>48</v>
      </c>
      <c r="G28" s="7">
        <v>46316.90443684028</v>
      </c>
      <c r="H28" s="8">
        <v>0.0002546296296296296</v>
      </c>
      <c r="I28" s="9">
        <v>47.9</v>
      </c>
      <c r="J28" s="9">
        <v>0</v>
      </c>
      <c r="K28" s="9">
        <v>0</v>
      </c>
      <c r="L28" s="10">
        <v>-0.1</v>
      </c>
      <c r="M28" s="11">
        <v>-35.3632621</v>
      </c>
      <c r="N28" s="11">
        <v>149.1652374</v>
      </c>
      <c r="O28" s="9">
        <v>2.1</v>
      </c>
      <c r="P28" s="9">
        <v>0</v>
      </c>
      <c r="Q28" s="9">
        <v>0</v>
      </c>
      <c r="R28" s="9">
        <f>(G28-$G$5)*86400</f>
        <v>23.0</v>
      </c>
      <c r="S28" s="9">
        <f>IF(I28&gt;=0.99*$B$6,R28,"")</f>
        <v/>
      </c>
      <c r="T28" s="9">
        <f>IF(AND(J28&gt;=0.5,I28&gt;=0.95*$B$6),R28,"")</f>
        <v/>
      </c>
      <c r="U28" s="12" t="str">
        <f>IF(R28&lt;=$B$15,"Зліт",IF(R28&lt;$B$16,"Перехід",IF(R28&lt;$B$17,"Горизонтальний політ","Посадка")))</f>
        <v>Зліт</v>
      </c>
    </row>
    <row r="29" spans="1:21">
      <c r="A29" s="12" t="s">
        <v>826</v>
      </c>
      <c r="B29" s="13" t="s">
        <v>827</v>
      </c>
      <c r="C29" s="13" t="s">
        <v>789</v>
      </c>
      <c r="D29" s="14" t="s">
        <v>828</v>
      </c>
      <c r="F29" s="6">
        <v>49</v>
      </c>
      <c r="G29" s="7">
        <v>46316.90444841435</v>
      </c>
      <c r="H29" s="8">
        <v>0.0002662037037037037</v>
      </c>
      <c r="I29" s="9">
        <v>49.5</v>
      </c>
      <c r="J29" s="9">
        <v>0</v>
      </c>
      <c r="K29" s="9">
        <v>0</v>
      </c>
      <c r="L29" s="10">
        <v>-0.1</v>
      </c>
      <c r="M29" s="11">
        <v>-35.3632621</v>
      </c>
      <c r="N29" s="11">
        <v>149.1652374</v>
      </c>
      <c r="O29" s="9">
        <v>1.1</v>
      </c>
      <c r="P29" s="9">
        <v>0</v>
      </c>
      <c r="Q29" s="9">
        <v>0</v>
      </c>
      <c r="R29" s="9">
        <f>(G29-$G$5)*86400</f>
        <v>24.0</v>
      </c>
      <c r="S29" s="9">
        <f>IF(I29&gt;=0.99*$B$6,R29,"")</f>
        <v>24.0</v>
      </c>
      <c r="T29" s="9">
        <f>IF(AND(J29&gt;=0.5,I29&gt;=0.95*$B$6),R29,"")</f>
        <v/>
      </c>
      <c r="U29" s="12" t="str">
        <f>IF(R29&lt;=$B$15,"Зліт",IF(R29&lt;$B$16,"Перехід",IF(R29&lt;$B$17,"Горизонтальний політ","Посадка")))</f>
        <v>Зліт</v>
      </c>
    </row>
    <row r="30" spans="1:21">
      <c r="A30" s="12" t="s">
        <v>829</v>
      </c>
      <c r="B30" s="9">
        <f>MAX(MAX($L$5:$L$120),-MIN($L$5:$L$120))</f>
        <v>5.0</v>
      </c>
      <c r="C30" s="13" t="s">
        <v>830</v>
      </c>
      <c r="D30" s="14" t="s">
        <v>1</v>
      </c>
      <c r="F30" s="6">
        <v>50</v>
      </c>
      <c r="G30" s="7">
        <v>46316.90445998843</v>
      </c>
      <c r="H30" s="8">
        <v>0.0002777777777777778</v>
      </c>
      <c r="I30" s="9">
        <v>50</v>
      </c>
      <c r="J30" s="9">
        <v>0</v>
      </c>
      <c r="K30" s="9">
        <v>0</v>
      </c>
      <c r="L30" s="10">
        <v>0</v>
      </c>
      <c r="M30" s="11">
        <v>-35.3632621</v>
      </c>
      <c r="N30" s="11">
        <v>149.1652374</v>
      </c>
      <c r="O30" s="9">
        <v>0.1</v>
      </c>
      <c r="P30" s="9">
        <v>0</v>
      </c>
      <c r="Q30" s="9">
        <v>0</v>
      </c>
      <c r="R30" s="9">
        <f>(G30-$G$5)*86400</f>
        <v>25.0</v>
      </c>
      <c r="S30" s="9">
        <f>IF(I30&gt;=0.99*$B$6,R30,"")</f>
        <v>25.0</v>
      </c>
      <c r="T30" s="9">
        <f>IF(AND(J30&gt;=0.5,I30&gt;=0.95*$B$6),R30,"")</f>
        <v/>
      </c>
      <c r="U30" s="12" t="str">
        <f>IF(R30&lt;=$B$15,"Зліт",IF(R30&lt;$B$16,"Перехід",IF(R30&lt;$B$17,"Горизонтальний політ","Посадка")))</f>
        <v>Перехід</v>
      </c>
    </row>
    <row r="31" spans="1:21">
      <c r="A31" s="12" t="s">
        <v>831</v>
      </c>
      <c r="B31" s="13" t="s">
        <v>832</v>
      </c>
      <c r="C31" s="13"/>
      <c r="D31" s="14" t="s">
        <v>833</v>
      </c>
      <c r="F31" s="6">
        <v>51</v>
      </c>
      <c r="G31" s="7">
        <v>46316.9044715625</v>
      </c>
      <c r="H31" s="8">
        <v>0.0002893518518518518</v>
      </c>
      <c r="I31" s="9">
        <v>50</v>
      </c>
      <c r="J31" s="9">
        <v>0.4</v>
      </c>
      <c r="K31" s="9">
        <v>0.2</v>
      </c>
      <c r="L31" s="10">
        <v>-5</v>
      </c>
      <c r="M31" s="11">
        <v>-35.363262</v>
      </c>
      <c r="N31" s="11">
        <v>149.1652368</v>
      </c>
      <c r="O31" s="9">
        <v>0</v>
      </c>
      <c r="P31" s="9">
        <v>0.1</v>
      </c>
      <c r="Q31" s="9">
        <v>0</v>
      </c>
      <c r="R31" s="9">
        <f>(G31-$G$5)*86400</f>
        <v>26.0</v>
      </c>
      <c r="S31" s="9">
        <f>IF(I31&gt;=0.99*$B$6,R31,"")</f>
        <v>26.0</v>
      </c>
      <c r="T31" s="9">
        <f>IF(AND(J31&gt;=0.5,I31&gt;=0.95*$B$6),R31,"")</f>
        <v/>
      </c>
      <c r="U31" s="12" t="str">
        <f>IF(R31&lt;=$B$15,"Зліт",IF(R31&lt;$B$16,"Перехід",IF(R31&lt;$B$17,"Горизонтальний політ","Посадка")))</f>
        <v>Перехід</v>
      </c>
    </row>
    <row r="32" spans="1:21">
      <c r="A32" s="12" t="s">
        <v>834</v>
      </c>
      <c r="B32" s="13" t="s">
        <v>835</v>
      </c>
      <c r="C32" s="13"/>
      <c r="D32" s="14" t="s">
        <v>836</v>
      </c>
      <c r="F32" s="6">
        <v>52</v>
      </c>
      <c r="G32" s="7">
        <v>46316.90448313658</v>
      </c>
      <c r="H32" s="8">
        <v>0.0003009259259259259</v>
      </c>
      <c r="I32" s="9">
        <v>50</v>
      </c>
      <c r="J32" s="9">
        <v>1.5</v>
      </c>
      <c r="K32" s="9">
        <v>1.3</v>
      </c>
      <c r="L32" s="10">
        <v>-2.8</v>
      </c>
      <c r="M32" s="11">
        <v>-35.3632611</v>
      </c>
      <c r="N32" s="11">
        <v>149.1652293</v>
      </c>
      <c r="O32" s="9">
        <v>0</v>
      </c>
      <c r="P32" s="9">
        <v>1</v>
      </c>
      <c r="Q32" s="9">
        <v>0</v>
      </c>
      <c r="R32" s="9">
        <f>(G32-$G$5)*86400</f>
        <v>27.0</v>
      </c>
      <c r="S32" s="9">
        <f>IF(I32&gt;=0.99*$B$6,R32,"")</f>
        <v>27.0</v>
      </c>
      <c r="T32" s="9">
        <f>IF(AND(J32&gt;=0.5,I32&gt;=0.95*$B$6),R32,"")</f>
        <v>27.0</v>
      </c>
      <c r="U32" s="12" t="str">
        <f>IF(R32&lt;=$B$15,"Зліт",IF(R32&lt;$B$16,"Перехід",IF(R32&lt;$B$17,"Горизонтальний політ","Посадка")))</f>
        <v>Горизонтальний політ</v>
      </c>
    </row>
    <row r="33" spans="1:21">
      <c r="F33" s="6">
        <v>53</v>
      </c>
      <c r="G33" s="7">
        <v>46316.90449471064</v>
      </c>
      <c r="H33" s="8">
        <v>0.0003125</v>
      </c>
      <c r="I33" s="9">
        <v>50</v>
      </c>
      <c r="J33" s="9">
        <v>3.4</v>
      </c>
      <c r="K33" s="9">
        <v>3</v>
      </c>
      <c r="L33" s="10">
        <v>0</v>
      </c>
      <c r="M33" s="11">
        <v>-35.3632586</v>
      </c>
      <c r="N33" s="11">
        <v>149.1652065</v>
      </c>
      <c r="O33" s="9">
        <v>0</v>
      </c>
      <c r="P33" s="9">
        <v>3.4</v>
      </c>
      <c r="Q33" s="9">
        <v>2.6</v>
      </c>
      <c r="R33" s="9">
        <f>(G33-$G$5)*86400</f>
        <v>28.0</v>
      </c>
      <c r="S33" s="9">
        <f>IF(I33&gt;=0.99*$B$6,R33,"")</f>
        <v>28.0</v>
      </c>
      <c r="T33" s="9">
        <f>IF(AND(J33&gt;=0.5,I33&gt;=0.95*$B$6),R33,"")</f>
        <v>28.0</v>
      </c>
      <c r="U33" s="12" t="str">
        <f>IF(R33&lt;=$B$15,"Зліт",IF(R33&lt;$B$16,"Перехід",IF(R33&lt;$B$17,"Горизонтальний політ","Посадка")))</f>
        <v>Горизонтальний політ</v>
      </c>
    </row>
    <row r="34" spans="1:21">
      <c r="A34" s="3" t="s">
        <v>837</v>
      </c>
      <c r="B34" s="3"/>
      <c r="C34" s="3"/>
      <c r="D34" s="3"/>
      <c r="F34" s="6">
        <v>54</v>
      </c>
      <c r="G34" s="7">
        <v>46316.90450628472</v>
      </c>
      <c r="H34" s="8">
        <v>0.0003240740740740741</v>
      </c>
      <c r="I34" s="9">
        <v>50</v>
      </c>
      <c r="J34" s="9">
        <v>4.4</v>
      </c>
      <c r="K34" s="9">
        <v>4.3</v>
      </c>
      <c r="L34" s="10">
        <v>0.5</v>
      </c>
      <c r="M34" s="11">
        <v>-35.363254</v>
      </c>
      <c r="N34" s="11">
        <v>149.1651656</v>
      </c>
      <c r="O34" s="9">
        <v>0</v>
      </c>
      <c r="P34" s="9">
        <v>7.4</v>
      </c>
      <c r="Q34" s="9">
        <v>7.4</v>
      </c>
      <c r="R34" s="9">
        <f>(G34-$G$5)*86400</f>
        <v>29.0</v>
      </c>
      <c r="S34" s="9">
        <f>IF(I34&gt;=0.99*$B$6,R34,"")</f>
        <v>29.0</v>
      </c>
      <c r="T34" s="9">
        <f>IF(AND(J34&gt;=0.5,I34&gt;=0.95*$B$6),R34,"")</f>
        <v>29.0</v>
      </c>
      <c r="U34" s="12" t="str">
        <f>IF(R34&lt;=$B$15,"Зліт",IF(R34&lt;$B$16,"Перехід",IF(R34&lt;$B$17,"Горизонтальний політ","Посадка")))</f>
        <v>Горизонтальний політ</v>
      </c>
    </row>
    <row r="35" spans="1:21">
      <c r="A35" s="5" t="s">
        <v>779</v>
      </c>
      <c r="B35" s="4" t="s">
        <v>838</v>
      </c>
      <c r="C35" s="4" t="s">
        <v>839</v>
      </c>
      <c r="D35" s="5" t="s">
        <v>840</v>
      </c>
      <c r="F35" s="6">
        <v>55</v>
      </c>
      <c r="G35" s="7">
        <v>46316.9045178588</v>
      </c>
      <c r="H35" s="8">
        <v>0.0003356481481481481</v>
      </c>
      <c r="I35" s="9">
        <v>50</v>
      </c>
      <c r="J35" s="9">
        <v>4.7</v>
      </c>
      <c r="K35" s="9">
        <v>4.7</v>
      </c>
      <c r="L35" s="10">
        <v>-0.4</v>
      </c>
      <c r="M35" s="11">
        <v>-35.3632482</v>
      </c>
      <c r="N35" s="11">
        <v>149.1651157</v>
      </c>
      <c r="O35" s="9">
        <v>0</v>
      </c>
      <c r="P35" s="9">
        <v>12</v>
      </c>
      <c r="Q35" s="9">
        <v>12</v>
      </c>
      <c r="R35" s="9">
        <f>(G35-$G$5)*86400</f>
        <v>30.0</v>
      </c>
      <c r="S35" s="9">
        <f>IF(I35&gt;=0.99*$B$6,R35,"")</f>
        <v>30.0</v>
      </c>
      <c r="T35" s="9">
        <f>IF(AND(J35&gt;=0.5,I35&gt;=0.95*$B$6),R35,"")</f>
        <v>30.0</v>
      </c>
      <c r="U35" s="12" t="str">
        <f>IF(R35&lt;=$B$15,"Зліт",IF(R35&lt;$B$16,"Перехід",IF(R35&lt;$B$17,"Горизонтальний політ","Посадка")))</f>
        <v>Горизонтальний політ</v>
      </c>
    </row>
    <row r="36" spans="1:21">
      <c r="A36" s="12" t="s">
        <v>841</v>
      </c>
      <c r="B36" s="10">
        <f>B6</f>
        <v>50.0</v>
      </c>
      <c r="C36" s="10">
        <f>B24</f>
        <v>50.0</v>
      </c>
      <c r="D36" s="10">
        <f>C36-B36</f>
        <v>0.0</v>
      </c>
      <c r="F36" s="6">
        <v>56</v>
      </c>
      <c r="G36" s="7">
        <v>46316.90452943287</v>
      </c>
      <c r="H36" s="8">
        <v>0.0003472222222222222</v>
      </c>
      <c r="I36" s="9">
        <v>50</v>
      </c>
      <c r="J36" s="9">
        <v>4.8</v>
      </c>
      <c r="K36" s="9">
        <v>4.8</v>
      </c>
      <c r="L36" s="10">
        <v>0.3</v>
      </c>
      <c r="M36" s="11">
        <v>-35.3632421</v>
      </c>
      <c r="N36" s="11">
        <v>149.1650642</v>
      </c>
      <c r="O36" s="9">
        <v>0</v>
      </c>
      <c r="P36" s="9">
        <v>16.8</v>
      </c>
      <c r="Q36" s="9">
        <v>16.8</v>
      </c>
      <c r="R36" s="9">
        <f>(G36-$G$5)*86400</f>
        <v>31.0</v>
      </c>
      <c r="S36" s="9">
        <f>IF(I36&gt;=0.99*$B$6,R36,"")</f>
        <v>31.0</v>
      </c>
      <c r="T36" s="9">
        <f>IF(AND(J36&gt;=0.5,I36&gt;=0.95*$B$6),R36,"")</f>
        <v>31.0</v>
      </c>
      <c r="U36" s="12" t="str">
        <f>IF(R36&lt;=$B$15,"Зліт",IF(R36&lt;$B$16,"Перехід",IF(R36&lt;$B$17,"Горизонтальний політ","Посадка")))</f>
        <v>Горизонтальний політ</v>
      </c>
    </row>
    <row r="37" spans="1:21">
      <c r="A37" s="12" t="s">
        <v>842</v>
      </c>
      <c r="B37" s="10">
        <f>B7</f>
        <v>5.0</v>
      </c>
      <c r="C37" s="10">
        <f>B25</f>
        <v>5.0</v>
      </c>
      <c r="D37" s="10">
        <f>C37-B37</f>
        <v>0.0</v>
      </c>
      <c r="F37" s="6">
        <v>57</v>
      </c>
      <c r="G37" s="7">
        <v>46316.90454099537</v>
      </c>
      <c r="H37" s="8">
        <v>0.0003587962962962963</v>
      </c>
      <c r="I37" s="9">
        <v>50</v>
      </c>
      <c r="J37" s="9">
        <v>4.9</v>
      </c>
      <c r="K37" s="9">
        <v>4.9</v>
      </c>
      <c r="L37" s="10">
        <v>-0.3</v>
      </c>
      <c r="M37" s="11">
        <v>-35.363236</v>
      </c>
      <c r="N37" s="11">
        <v>149.1650113</v>
      </c>
      <c r="O37" s="9">
        <v>0</v>
      </c>
      <c r="P37" s="9">
        <v>21.6</v>
      </c>
      <c r="Q37" s="9">
        <v>21.6</v>
      </c>
      <c r="R37" s="9">
        <f>(G37-$G$5)*86400</f>
        <v>31.999</v>
      </c>
      <c r="S37" s="9">
        <f>IF(I37&gt;=0.99*$B$6,R37,"")</f>
        <v>31.999</v>
      </c>
      <c r="T37" s="9">
        <f>IF(AND(J37&gt;=0.5,I37&gt;=0.95*$B$6),R37,"")</f>
        <v>31.999</v>
      </c>
      <c r="U37" s="12" t="str">
        <f>IF(R37&lt;=$B$15,"Зліт",IF(R37&lt;$B$16,"Перехід",IF(R37&lt;$B$17,"Горизонтальний політ","Посадка")))</f>
        <v>Горизонтальний політ</v>
      </c>
    </row>
    <row r="38" spans="1:21">
      <c r="A38" s="12" t="s">
        <v>843</v>
      </c>
      <c r="B38" s="10">
        <f>0</f>
        <v>0.0</v>
      </c>
      <c r="C38" s="10">
        <f>2*6371000*ASIN(SQRT(SIN(RADIANS(M120-B8)/2)^2+COS(RADIANS(B8))*COS(RADIANS(M120))*SIN(RADIANS(N120-B9)/2)^2))</f>
        <v>0.0</v>
      </c>
      <c r="D38" s="10">
        <f>C38-B38</f>
        <v>0.0</v>
      </c>
      <c r="F38" s="6">
        <v>58</v>
      </c>
      <c r="G38" s="7">
        <v>46316.90455258102</v>
      </c>
      <c r="H38" s="8">
        <v>0.0003703703703703704</v>
      </c>
      <c r="I38" s="9">
        <v>50</v>
      </c>
      <c r="J38" s="9">
        <v>5</v>
      </c>
      <c r="K38" s="9">
        <v>5</v>
      </c>
      <c r="L38" s="10">
        <v>0.1</v>
      </c>
      <c r="M38" s="11">
        <v>-35.3632311</v>
      </c>
      <c r="N38" s="11">
        <v>149.164968</v>
      </c>
      <c r="O38" s="9">
        <v>0</v>
      </c>
      <c r="P38" s="9">
        <v>25.4</v>
      </c>
      <c r="Q38" s="9">
        <v>24.1</v>
      </c>
      <c r="R38" s="9">
        <f>(G38-$G$5)*86400</f>
        <v>33.0</v>
      </c>
      <c r="S38" s="9">
        <f>IF(I38&gt;=0.99*$B$6,R38,"")</f>
        <v>33.0</v>
      </c>
      <c r="T38" s="9">
        <f>IF(AND(J38&gt;=0.5,I38&gt;=0.95*$B$6),R38,"")</f>
        <v>33.0</v>
      </c>
      <c r="U38" s="12" t="str">
        <f>IF(R38&lt;=$B$15,"Зліт",IF(R38&lt;$B$16,"Перехід",IF(R38&lt;$B$17,"Горизонтальний політ","Посадка")))</f>
        <v>Горизонтальний політ</v>
      </c>
    </row>
    <row r="39" spans="1:21">
      <c r="A39" s="12" t="s">
        <v>844</v>
      </c>
      <c r="B39" s="13" t="s">
        <v>197</v>
      </c>
      <c r="C39" s="9">
        <f>P120</f>
        <v>115.7</v>
      </c>
      <c r="D39" s="13" t="s">
        <v>197</v>
      </c>
      <c r="F39" s="6">
        <v>59</v>
      </c>
      <c r="G39" s="7">
        <v>46316.90456415509</v>
      </c>
      <c r="H39" s="8">
        <v>0.0003819444444444445</v>
      </c>
      <c r="I39" s="9">
        <v>50</v>
      </c>
      <c r="J39" s="9">
        <v>5</v>
      </c>
      <c r="K39" s="9">
        <v>5</v>
      </c>
      <c r="L39" s="10">
        <v>0.2</v>
      </c>
      <c r="M39" s="11">
        <v>-35.3632248</v>
      </c>
      <c r="N39" s="11">
        <v>149.1649138</v>
      </c>
      <c r="O39" s="9">
        <v>0</v>
      </c>
      <c r="P39" s="9">
        <v>30.3</v>
      </c>
      <c r="Q39" s="9">
        <v>29.1</v>
      </c>
      <c r="R39" s="9">
        <f>(G39-$G$5)*86400</f>
        <v>34.0</v>
      </c>
      <c r="S39" s="9">
        <f>IF(I39&gt;=0.99*$B$6,R39,"")</f>
        <v>34.0</v>
      </c>
      <c r="T39" s="9">
        <f>IF(AND(J39&gt;=0.5,I39&gt;=0.95*$B$6),R39,"")</f>
        <v>34.0</v>
      </c>
      <c r="U39" s="12" t="str">
        <f>IF(R39&lt;=$B$15,"Зліт",IF(R39&lt;$B$16,"Перехід",IF(R39&lt;$B$17,"Горизонтальний політ","Посадка")))</f>
        <v>Горизонтальний політ</v>
      </c>
    </row>
    <row r="40" spans="1:21">
      <c r="A40" s="12" t="s">
        <v>845</v>
      </c>
      <c r="B40" s="13" t="s">
        <v>197</v>
      </c>
      <c r="C40" s="9">
        <f>Q120</f>
        <v>115.6</v>
      </c>
      <c r="D40" s="13" t="s">
        <v>197</v>
      </c>
      <c r="F40" s="6">
        <v>60</v>
      </c>
      <c r="G40" s="7">
        <v>46316.90457572917</v>
      </c>
      <c r="H40" s="8">
        <v>0.0003935185185185185</v>
      </c>
      <c r="I40" s="9">
        <v>50</v>
      </c>
      <c r="J40" s="9">
        <v>5</v>
      </c>
      <c r="K40" s="9">
        <v>5</v>
      </c>
      <c r="L40" s="10">
        <v>0</v>
      </c>
      <c r="M40" s="11">
        <v>-35.3632186</v>
      </c>
      <c r="N40" s="11">
        <v>149.1648597</v>
      </c>
      <c r="O40" s="9">
        <v>0</v>
      </c>
      <c r="P40" s="9">
        <v>35.3</v>
      </c>
      <c r="Q40" s="9">
        <v>34</v>
      </c>
      <c r="R40" s="9">
        <f>(G40-$G$5)*86400</f>
        <v>35.0</v>
      </c>
      <c r="S40" s="9">
        <f>IF(I40&gt;=0.99*$B$6,R40,"")</f>
        <v>35.0</v>
      </c>
      <c r="T40" s="9">
        <f>IF(AND(J40&gt;=0.5,I40&gt;=0.95*$B$6),R40,"")</f>
        <v>35.0</v>
      </c>
      <c r="U40" s="12" t="str">
        <f>IF(R40&lt;=$B$15,"Зліт",IF(R40&lt;$B$16,"Перехід",IF(R40&lt;$B$17,"Горизонтальний політ","Посадка")))</f>
        <v>Горизонтальний політ</v>
      </c>
    </row>
    <row r="41" spans="1:21">
      <c r="F41" s="6">
        <v>61</v>
      </c>
      <c r="G41" s="7">
        <v>46316.90458730324</v>
      </c>
      <c r="H41" s="8">
        <v>0.0004050925925925926</v>
      </c>
      <c r="I41" s="9">
        <v>50</v>
      </c>
      <c r="J41" s="9">
        <v>5</v>
      </c>
      <c r="K41" s="9">
        <v>5</v>
      </c>
      <c r="L41" s="10">
        <v>-0.2</v>
      </c>
      <c r="M41" s="11">
        <v>-35.3632123</v>
      </c>
      <c r="N41" s="11">
        <v>149.1648055</v>
      </c>
      <c r="O41" s="9">
        <v>0</v>
      </c>
      <c r="P41" s="9">
        <v>40.2</v>
      </c>
      <c r="Q41" s="9">
        <v>39</v>
      </c>
      <c r="R41" s="9">
        <f>(G41-$G$5)*86400</f>
        <v>36.0</v>
      </c>
      <c r="S41" s="9">
        <f>IF(I41&gt;=0.99*$B$6,R41,"")</f>
        <v>36.0</v>
      </c>
      <c r="T41" s="9">
        <f>IF(AND(J41&gt;=0.5,I41&gt;=0.95*$B$6),R41,"")</f>
        <v>36.0</v>
      </c>
      <c r="U41" s="12" t="str">
        <f>IF(R41&lt;=$B$15,"Зліт",IF(R41&lt;$B$16,"Перехід",IF(R41&lt;$B$17,"Горизонтальний політ","Посадка")))</f>
        <v>Горизонтальний політ</v>
      </c>
    </row>
    <row r="42" spans="1:21">
      <c r="A42" s="3" t="s">
        <v>859</v>
      </c>
      <c r="F42" s="6">
        <v>62</v>
      </c>
      <c r="G42" s="7">
        <v>46316.90459887731</v>
      </c>
      <c r="H42" s="8">
        <v>0.0004166666666666667</v>
      </c>
      <c r="I42" s="9">
        <v>50</v>
      </c>
      <c r="J42" s="9">
        <v>5</v>
      </c>
      <c r="K42" s="9">
        <v>5</v>
      </c>
      <c r="L42" s="10">
        <v>0.3</v>
      </c>
      <c r="M42" s="11">
        <v>-35.3632061</v>
      </c>
      <c r="N42" s="11">
        <v>149.1647511</v>
      </c>
      <c r="O42" s="9">
        <v>0</v>
      </c>
      <c r="P42" s="9">
        <v>45.2</v>
      </c>
      <c r="Q42" s="9">
        <v>44</v>
      </c>
      <c r="R42" s="9">
        <f>(G42-$G$5)*86400</f>
        <v>37.0</v>
      </c>
      <c r="S42" s="9">
        <f>IF(I42&gt;=0.99*$B$6,R42,"")</f>
        <v>37.0</v>
      </c>
      <c r="T42" s="9">
        <f>IF(AND(J42&gt;=0.5,I42&gt;=0.95*$B$6),R42,"")</f>
        <v>37.0</v>
      </c>
      <c r="U42" s="12" t="str">
        <f>IF(R42&lt;=$B$15,"Зліт",IF(R42&lt;$B$16,"Перехід",IF(R42&lt;$B$17,"Горизонтальний політ","Посадка")))</f>
        <v>Горизонтальний політ</v>
      </c>
    </row>
    <row r="43" spans="1:21">
      <c r="F43" s="6">
        <v>63</v>
      </c>
      <c r="G43" s="7">
        <v>46316.90461045139</v>
      </c>
      <c r="H43" s="8">
        <v>0.0004282407407407408</v>
      </c>
      <c r="I43" s="9">
        <v>50</v>
      </c>
      <c r="J43" s="9">
        <v>5</v>
      </c>
      <c r="K43" s="9">
        <v>5</v>
      </c>
      <c r="L43" s="10">
        <v>-0.3</v>
      </c>
      <c r="M43" s="11">
        <v>-35.3631999</v>
      </c>
      <c r="N43" s="11">
        <v>149.1646967</v>
      </c>
      <c r="O43" s="9">
        <v>0</v>
      </c>
      <c r="P43" s="9">
        <v>50.2</v>
      </c>
      <c r="Q43" s="9">
        <v>49</v>
      </c>
      <c r="R43" s="9">
        <f>(G43-$G$5)*86400</f>
        <v>38.0</v>
      </c>
      <c r="S43" s="9">
        <f>IF(I43&gt;=0.99*$B$6,R43,"")</f>
        <v>38.0</v>
      </c>
      <c r="T43" s="9">
        <f>IF(AND(J43&gt;=0.5,I43&gt;=0.95*$B$6),R43,"")</f>
        <v>38.0</v>
      </c>
      <c r="U43" s="12" t="str">
        <f>IF(R43&lt;=$B$15,"Зліт",IF(R43&lt;$B$16,"Перехід",IF(R43&lt;$B$17,"Горизонтальний політ","Посадка")))</f>
        <v>Горизонтальний політ</v>
      </c>
    </row>
    <row r="44" spans="1:21">
      <c r="F44" s="6">
        <v>64</v>
      </c>
      <c r="G44" s="7">
        <v>46316.90462202546</v>
      </c>
      <c r="H44" s="8">
        <v>0.0004398148148148148</v>
      </c>
      <c r="I44" s="9">
        <v>50</v>
      </c>
      <c r="J44" s="9">
        <v>5</v>
      </c>
      <c r="K44" s="9">
        <v>5</v>
      </c>
      <c r="L44" s="10">
        <v>0.2</v>
      </c>
      <c r="M44" s="11">
        <v>-35.3631936</v>
      </c>
      <c r="N44" s="11">
        <v>149.1646422</v>
      </c>
      <c r="O44" s="9">
        <v>0</v>
      </c>
      <c r="P44" s="9">
        <v>55.2</v>
      </c>
      <c r="Q44" s="9">
        <v>53.9</v>
      </c>
      <c r="R44" s="9">
        <f>(G44-$G$5)*86400</f>
        <v>39.0</v>
      </c>
      <c r="S44" s="9">
        <f>IF(I44&gt;=0.99*$B$6,R44,"")</f>
        <v>39.0</v>
      </c>
      <c r="T44" s="9">
        <f>IF(AND(J44&gt;=0.5,I44&gt;=0.95*$B$6),R44,"")</f>
        <v>39.0</v>
      </c>
      <c r="U44" s="12" t="str">
        <f>IF(R44&lt;=$B$15,"Зліт",IF(R44&lt;$B$16,"Перехід",IF(R44&lt;$B$17,"Горизонтальний політ","Посадка")))</f>
        <v>Горизонтальний політ</v>
      </c>
    </row>
    <row r="45" spans="1:21">
      <c r="F45" s="6">
        <v>65</v>
      </c>
      <c r="G45" s="7">
        <v>46316.90463359954</v>
      </c>
      <c r="H45" s="8">
        <v>0.0004513888888888889</v>
      </c>
      <c r="I45" s="9">
        <v>50</v>
      </c>
      <c r="J45" s="9">
        <v>5</v>
      </c>
      <c r="K45" s="9">
        <v>5</v>
      </c>
      <c r="L45" s="10">
        <v>0.2</v>
      </c>
      <c r="M45" s="11">
        <v>-35.3631873</v>
      </c>
      <c r="N45" s="11">
        <v>149.1645878</v>
      </c>
      <c r="O45" s="9">
        <v>0</v>
      </c>
      <c r="P45" s="9">
        <v>60.2</v>
      </c>
      <c r="Q45" s="9">
        <v>58.9</v>
      </c>
      <c r="R45" s="9">
        <f>(G45-$G$5)*86400</f>
        <v>40.0</v>
      </c>
      <c r="S45" s="9">
        <f>IF(I45&gt;=0.99*$B$6,R45,"")</f>
        <v>40.0</v>
      </c>
      <c r="T45" s="9">
        <f>IF(AND(J45&gt;=0.5,I45&gt;=0.95*$B$6),R45,"")</f>
        <v>40.0</v>
      </c>
      <c r="U45" s="12" t="str">
        <f>IF(R45&lt;=$B$15,"Зліт",IF(R45&lt;$B$16,"Перехід",IF(R45&lt;$B$17,"Горизонтальний політ","Посадка")))</f>
        <v>Горизонтальний політ</v>
      </c>
    </row>
    <row r="46" spans="1:21">
      <c r="F46" s="6">
        <v>66</v>
      </c>
      <c r="G46" s="7">
        <v>46316.90464517361</v>
      </c>
      <c r="H46" s="8">
        <v>0.000462962962962963</v>
      </c>
      <c r="I46" s="9">
        <v>50</v>
      </c>
      <c r="J46" s="9">
        <v>5</v>
      </c>
      <c r="K46" s="9">
        <v>5</v>
      </c>
      <c r="L46" s="10">
        <v>-0.4</v>
      </c>
      <c r="M46" s="11">
        <v>-35.363181</v>
      </c>
      <c r="N46" s="11">
        <v>149.1645333</v>
      </c>
      <c r="O46" s="9">
        <v>0</v>
      </c>
      <c r="P46" s="9">
        <v>65.2</v>
      </c>
      <c r="Q46" s="9">
        <v>63.9</v>
      </c>
      <c r="R46" s="9">
        <f>(G46-$G$5)*86400</f>
        <v>41.0</v>
      </c>
      <c r="S46" s="9">
        <f>IF(I46&gt;=0.99*$B$6,R46,"")</f>
        <v>41.0</v>
      </c>
      <c r="T46" s="9">
        <f>IF(AND(J46&gt;=0.5,I46&gt;=0.95*$B$6),R46,"")</f>
        <v>41.0</v>
      </c>
      <c r="U46" s="12" t="str">
        <f>IF(R46&lt;=$B$15,"Зліт",IF(R46&lt;$B$16,"Перехід",IF(R46&lt;$B$17,"Горизонтальний політ","Посадка")))</f>
        <v>Горизонтальний політ</v>
      </c>
    </row>
    <row r="47" spans="1:21">
      <c r="F47" s="6">
        <v>67</v>
      </c>
      <c r="G47" s="7">
        <v>46316.90465674768</v>
      </c>
      <c r="H47" s="8">
        <v>0.000474537037037037</v>
      </c>
      <c r="I47" s="9">
        <v>50</v>
      </c>
      <c r="J47" s="9">
        <v>5</v>
      </c>
      <c r="K47" s="9">
        <v>5</v>
      </c>
      <c r="L47" s="10">
        <v>-0.3</v>
      </c>
      <c r="M47" s="11">
        <v>-35.3631747</v>
      </c>
      <c r="N47" s="11">
        <v>149.1644788</v>
      </c>
      <c r="O47" s="9">
        <v>0</v>
      </c>
      <c r="P47" s="9">
        <v>70.09999999999999</v>
      </c>
      <c r="Q47" s="9">
        <v>68.90000000000001</v>
      </c>
      <c r="R47" s="9">
        <f>(G47-$G$5)*86400</f>
        <v>42.0</v>
      </c>
      <c r="S47" s="9">
        <f>IF(I47&gt;=0.99*$B$6,R47,"")</f>
        <v>42.0</v>
      </c>
      <c r="T47" s="9">
        <f>IF(AND(J47&gt;=0.5,I47&gt;=0.95*$B$6),R47,"")</f>
        <v>42.0</v>
      </c>
      <c r="U47" s="12" t="str">
        <f>IF(R47&lt;=$B$15,"Зліт",IF(R47&lt;$B$16,"Перехід",IF(R47&lt;$B$17,"Горизонтальний політ","Посадка")))</f>
        <v>Горизонтальний політ</v>
      </c>
    </row>
    <row r="48" spans="1:21">
      <c r="F48" s="6">
        <v>68</v>
      </c>
      <c r="G48" s="7">
        <v>46316.90466832176</v>
      </c>
      <c r="H48" s="8">
        <v>0.0004861111111111111</v>
      </c>
      <c r="I48" s="9">
        <v>50</v>
      </c>
      <c r="J48" s="9">
        <v>5</v>
      </c>
      <c r="K48" s="9">
        <v>5</v>
      </c>
      <c r="L48" s="10">
        <v>0.4</v>
      </c>
      <c r="M48" s="11">
        <v>-35.3631685</v>
      </c>
      <c r="N48" s="11">
        <v>149.1644243</v>
      </c>
      <c r="O48" s="9">
        <v>0</v>
      </c>
      <c r="P48" s="9">
        <v>75.09999999999999</v>
      </c>
      <c r="Q48" s="9">
        <v>73.90000000000001</v>
      </c>
      <c r="R48" s="9">
        <f>(G48-$G$5)*86400</f>
        <v>43.0</v>
      </c>
      <c r="S48" s="9">
        <f>IF(I48&gt;=0.99*$B$6,R48,"")</f>
        <v>43.0</v>
      </c>
      <c r="T48" s="9">
        <f>IF(AND(J48&gt;=0.5,I48&gt;=0.95*$B$6),R48,"")</f>
        <v>43.0</v>
      </c>
      <c r="U48" s="12" t="str">
        <f>IF(R48&lt;=$B$15,"Зліт",IF(R48&lt;$B$16,"Перехід",IF(R48&lt;$B$17,"Горизонтальний політ","Посадка")))</f>
        <v>Горизонтальний політ</v>
      </c>
    </row>
    <row r="49" spans="1:21">
      <c r="F49" s="6">
        <v>69</v>
      </c>
      <c r="G49" s="7">
        <v>46316.90467989583</v>
      </c>
      <c r="H49" s="8">
        <v>0.0004976851851851852</v>
      </c>
      <c r="I49" s="9">
        <v>50</v>
      </c>
      <c r="J49" s="9">
        <v>5</v>
      </c>
      <c r="K49" s="9">
        <v>5</v>
      </c>
      <c r="L49" s="10">
        <v>-0.2</v>
      </c>
      <c r="M49" s="11">
        <v>-35.3631622</v>
      </c>
      <c r="N49" s="11">
        <v>149.1643697</v>
      </c>
      <c r="O49" s="9">
        <v>0</v>
      </c>
      <c r="P49" s="9">
        <v>80.09999999999999</v>
      </c>
      <c r="Q49" s="9">
        <v>78.90000000000001</v>
      </c>
      <c r="R49" s="9">
        <f>(G49-$G$5)*86400</f>
        <v>44.0</v>
      </c>
      <c r="S49" s="9">
        <f>IF(I49&gt;=0.99*$B$6,R49,"")</f>
        <v>44.0</v>
      </c>
      <c r="T49" s="9">
        <f>IF(AND(J49&gt;=0.5,I49&gt;=0.95*$B$6),R49,"")</f>
        <v>44.0</v>
      </c>
      <c r="U49" s="12" t="str">
        <f>IF(R49&lt;=$B$15,"Зліт",IF(R49&lt;$B$16,"Перехід",IF(R49&lt;$B$17,"Горизонтальний політ","Посадка")))</f>
        <v>Горизонтальний політ</v>
      </c>
    </row>
    <row r="50" spans="1:21">
      <c r="F50" s="6">
        <v>70</v>
      </c>
      <c r="G50" s="7">
        <v>46316.90469146991</v>
      </c>
      <c r="H50" s="8">
        <v>0.0005092592592592592</v>
      </c>
      <c r="I50" s="9">
        <v>50</v>
      </c>
      <c r="J50" s="9">
        <v>5</v>
      </c>
      <c r="K50" s="9">
        <v>5</v>
      </c>
      <c r="L50" s="10">
        <v>0.1</v>
      </c>
      <c r="M50" s="11">
        <v>-35.3631559</v>
      </c>
      <c r="N50" s="11">
        <v>149.1643152</v>
      </c>
      <c r="O50" s="9">
        <v>0</v>
      </c>
      <c r="P50" s="9">
        <v>85.09999999999999</v>
      </c>
      <c r="Q50" s="9">
        <v>83.90000000000001</v>
      </c>
      <c r="R50" s="9">
        <f>(G50-$G$5)*86400</f>
        <v>45.0</v>
      </c>
      <c r="S50" s="9">
        <f>IF(I50&gt;=0.99*$B$6,R50,"")</f>
        <v>45.0</v>
      </c>
      <c r="T50" s="9">
        <f>IF(AND(J50&gt;=0.5,I50&gt;=0.95*$B$6),R50,"")</f>
        <v>45.0</v>
      </c>
      <c r="U50" s="12" t="str">
        <f>IF(R50&lt;=$B$15,"Зліт",IF(R50&lt;$B$16,"Перехід",IF(R50&lt;$B$17,"Горизонтальний політ","Посадка")))</f>
        <v>Горизонтальний політ</v>
      </c>
    </row>
    <row r="51" spans="1:21">
      <c r="F51" s="6">
        <v>71</v>
      </c>
      <c r="G51" s="7">
        <v>46316.90470304398</v>
      </c>
      <c r="H51" s="8">
        <v>0.0005208333333333333</v>
      </c>
      <c r="I51" s="9">
        <v>50</v>
      </c>
      <c r="J51" s="9">
        <v>5</v>
      </c>
      <c r="K51" s="9">
        <v>5</v>
      </c>
      <c r="L51" s="10">
        <v>0.2</v>
      </c>
      <c r="M51" s="11">
        <v>-35.3631497</v>
      </c>
      <c r="N51" s="11">
        <v>149.1642607</v>
      </c>
      <c r="O51" s="9">
        <v>0</v>
      </c>
      <c r="P51" s="9">
        <v>90.09999999999999</v>
      </c>
      <c r="Q51" s="9">
        <v>88.90000000000001</v>
      </c>
      <c r="R51" s="9">
        <f>(G51-$G$5)*86400</f>
        <v>46.0</v>
      </c>
      <c r="S51" s="9">
        <f>IF(I51&gt;=0.99*$B$6,R51,"")</f>
        <v>46.0</v>
      </c>
      <c r="T51" s="9">
        <f>IF(AND(J51&gt;=0.5,I51&gt;=0.95*$B$6),R51,"")</f>
        <v>46.0</v>
      </c>
      <c r="U51" s="12" t="str">
        <f>IF(R51&lt;=$B$15,"Зліт",IF(R51&lt;$B$16,"Перехід",IF(R51&lt;$B$17,"Горизонтальний політ","Посадка")))</f>
        <v>Горизонтальний політ</v>
      </c>
    </row>
    <row r="52" spans="1:21">
      <c r="F52" s="6">
        <v>72</v>
      </c>
      <c r="G52" s="7">
        <v>46316.90471461805</v>
      </c>
      <c r="H52" s="8">
        <v>0.0005324074074074074</v>
      </c>
      <c r="I52" s="9">
        <v>50</v>
      </c>
      <c r="J52" s="9">
        <v>5</v>
      </c>
      <c r="K52" s="9">
        <v>5</v>
      </c>
      <c r="L52" s="10">
        <v>-0.3</v>
      </c>
      <c r="M52" s="11">
        <v>-35.3631434</v>
      </c>
      <c r="N52" s="11">
        <v>149.1642061</v>
      </c>
      <c r="O52" s="9">
        <v>0</v>
      </c>
      <c r="P52" s="9">
        <v>95.09999999999999</v>
      </c>
      <c r="Q52" s="9">
        <v>93.90000000000001</v>
      </c>
      <c r="R52" s="9">
        <f>(G52-$G$5)*86400</f>
        <v>47.0</v>
      </c>
      <c r="S52" s="9">
        <f>IF(I52&gt;=0.99*$B$6,R52,"")</f>
        <v>47.0</v>
      </c>
      <c r="T52" s="9">
        <f>IF(AND(J52&gt;=0.5,I52&gt;=0.95*$B$6),R52,"")</f>
        <v>47.0</v>
      </c>
      <c r="U52" s="12" t="str">
        <f>IF(R52&lt;=$B$15,"Зліт",IF(R52&lt;$B$16,"Перехід",IF(R52&lt;$B$17,"Горизонтальний політ","Посадка")))</f>
        <v>Горизонтальний політ</v>
      </c>
    </row>
    <row r="53" spans="1:21">
      <c r="F53" s="6">
        <v>73</v>
      </c>
      <c r="G53" s="7">
        <v>46316.90472619213</v>
      </c>
      <c r="H53" s="8">
        <v>0.0005439814814814814</v>
      </c>
      <c r="I53" s="9">
        <v>50</v>
      </c>
      <c r="J53" s="9">
        <v>5</v>
      </c>
      <c r="K53" s="9">
        <v>5</v>
      </c>
      <c r="L53" s="10">
        <v>0.3</v>
      </c>
      <c r="M53" s="11">
        <v>-35.3631371</v>
      </c>
      <c r="N53" s="11">
        <v>149.1641516</v>
      </c>
      <c r="O53" s="9">
        <v>0</v>
      </c>
      <c r="P53" s="9">
        <v>100.1</v>
      </c>
      <c r="Q53" s="9">
        <v>98.90000000000001</v>
      </c>
      <c r="R53" s="9">
        <f>(G53-$G$5)*86400</f>
        <v>48.0</v>
      </c>
      <c r="S53" s="9">
        <f>IF(I53&gt;=0.99*$B$6,R53,"")</f>
        <v>48.0</v>
      </c>
      <c r="T53" s="9">
        <f>IF(AND(J53&gt;=0.5,I53&gt;=0.95*$B$6),R53,"")</f>
        <v>48.0</v>
      </c>
      <c r="U53" s="12" t="str">
        <f>IF(R53&lt;=$B$15,"Зліт",IF(R53&lt;$B$16,"Перехід",IF(R53&lt;$B$17,"Горизонтальний політ","Посадка")))</f>
        <v>Горизонтальний політ</v>
      </c>
    </row>
    <row r="54" spans="1:21">
      <c r="F54" s="6">
        <v>74</v>
      </c>
      <c r="G54" s="7">
        <v>46316.90473776621</v>
      </c>
      <c r="H54" s="8">
        <v>0.0005555555555555556</v>
      </c>
      <c r="I54" s="9">
        <v>50</v>
      </c>
      <c r="J54" s="9">
        <v>5</v>
      </c>
      <c r="K54" s="9">
        <v>5</v>
      </c>
      <c r="L54" s="10">
        <v>-0.1</v>
      </c>
      <c r="M54" s="11">
        <v>-35.3631308</v>
      </c>
      <c r="N54" s="11">
        <v>149.1640971</v>
      </c>
      <c r="O54" s="9">
        <v>0</v>
      </c>
      <c r="P54" s="9">
        <v>105.1</v>
      </c>
      <c r="Q54" s="9">
        <v>103.9</v>
      </c>
      <c r="R54" s="9">
        <f>(G54-$G$5)*86400</f>
        <v>49.0</v>
      </c>
      <c r="S54" s="9">
        <f>IF(I54&gt;=0.99*$B$6,R54,"")</f>
        <v>49.0</v>
      </c>
      <c r="T54" s="9">
        <f>IF(AND(J54&gt;=0.5,I54&gt;=0.95*$B$6),R54,"")</f>
        <v>49.0</v>
      </c>
      <c r="U54" s="12" t="str">
        <f>IF(R54&lt;=$B$15,"Зліт",IF(R54&lt;$B$16,"Перехід",IF(R54&lt;$B$17,"Горизонтальний політ","Посадка")))</f>
        <v>Горизонтальний політ</v>
      </c>
    </row>
    <row r="55" spans="1:21">
      <c r="F55" s="6">
        <v>75</v>
      </c>
      <c r="G55" s="7">
        <v>46316.90474934028</v>
      </c>
      <c r="H55" s="8">
        <v>0.0005671296296296297</v>
      </c>
      <c r="I55" s="9">
        <v>50</v>
      </c>
      <c r="J55" s="9">
        <v>4.4</v>
      </c>
      <c r="K55" s="9">
        <v>4.6</v>
      </c>
      <c r="L55" s="10">
        <v>-0.3</v>
      </c>
      <c r="M55" s="11">
        <v>-35.3631247</v>
      </c>
      <c r="N55" s="11">
        <v>149.1640438</v>
      </c>
      <c r="O55" s="9">
        <v>0</v>
      </c>
      <c r="P55" s="9">
        <v>109.9</v>
      </c>
      <c r="Q55" s="9">
        <v>108.8</v>
      </c>
      <c r="R55" s="9">
        <f>(G55-$G$5)*86400</f>
        <v>50.0</v>
      </c>
      <c r="S55" s="9">
        <f>IF(I55&gt;=0.99*$B$6,R55,"")</f>
        <v>50.0</v>
      </c>
      <c r="T55" s="9">
        <f>IF(AND(J55&gt;=0.5,I55&gt;=0.95*$B$6),R55,"")</f>
        <v>50.0</v>
      </c>
      <c r="U55" s="12" t="str">
        <f>IF(R55&lt;=$B$15,"Зліт",IF(R55&lt;$B$16,"Перехід",IF(R55&lt;$B$17,"Горизонтальний політ","Посадка")))</f>
        <v>Горизонтальний політ</v>
      </c>
    </row>
    <row r="56" spans="1:21">
      <c r="F56" s="6">
        <v>76</v>
      </c>
      <c r="G56" s="7">
        <v>46316.90476091435</v>
      </c>
      <c r="H56" s="8">
        <v>0.0005787037037037037</v>
      </c>
      <c r="I56" s="9">
        <v>50</v>
      </c>
      <c r="J56" s="9">
        <v>2.8</v>
      </c>
      <c r="K56" s="9">
        <v>3</v>
      </c>
      <c r="L56" s="10">
        <v>-0.1</v>
      </c>
      <c r="M56" s="11">
        <v>-35.3631197</v>
      </c>
      <c r="N56" s="11">
        <v>149.1640013</v>
      </c>
      <c r="O56" s="9">
        <v>0</v>
      </c>
      <c r="P56" s="9">
        <v>113.6</v>
      </c>
      <c r="Q56" s="9">
        <v>113.6</v>
      </c>
      <c r="R56" s="9">
        <f>(G56-$G$5)*86400</f>
        <v>51.0</v>
      </c>
      <c r="S56" s="9">
        <f>IF(I56&gt;=0.99*$B$6,R56,"")</f>
        <v>51.0</v>
      </c>
      <c r="T56" s="9">
        <f>IF(AND(J56&gt;=0.5,I56&gt;=0.95*$B$6),R56,"")</f>
        <v>51.0</v>
      </c>
      <c r="U56" s="12" t="str">
        <f>IF(R56&lt;=$B$15,"Зліт",IF(R56&lt;$B$16,"Перехід",IF(R56&lt;$B$17,"Горизонтальний політ","Посадка")))</f>
        <v>Горизонтальний політ</v>
      </c>
    </row>
    <row r="57" spans="1:21">
      <c r="F57" s="6">
        <v>77</v>
      </c>
      <c r="G57" s="7">
        <v>46316.90477247685</v>
      </c>
      <c r="H57" s="8">
        <v>0.0005902777777777778</v>
      </c>
      <c r="I57" s="9">
        <v>50</v>
      </c>
      <c r="J57" s="9">
        <v>0.8</v>
      </c>
      <c r="K57" s="9">
        <v>1</v>
      </c>
      <c r="L57" s="10">
        <v>0.4</v>
      </c>
      <c r="M57" s="11">
        <v>-35.3631173</v>
      </c>
      <c r="N57" s="11">
        <v>149.1639799</v>
      </c>
      <c r="O57" s="9">
        <v>0</v>
      </c>
      <c r="P57" s="9">
        <v>115.3</v>
      </c>
      <c r="Q57" s="9">
        <v>113.6</v>
      </c>
      <c r="R57" s="9">
        <f>(G57-$G$5)*86400</f>
        <v>51.999</v>
      </c>
      <c r="S57" s="9">
        <f>IF(I57&gt;=0.99*$B$6,R57,"")</f>
        <v>51.999</v>
      </c>
      <c r="T57" s="9">
        <f>IF(AND(J57&gt;=0.5,I57&gt;=0.95*$B$6),R57,"")</f>
        <v>51.999</v>
      </c>
      <c r="U57" s="12" t="str">
        <f>IF(R57&lt;=$B$15,"Зліт",IF(R57&lt;$B$16,"Перехід",IF(R57&lt;$B$17,"Горизонтальний політ","Посадка")))</f>
        <v>Горизонтальний політ</v>
      </c>
    </row>
    <row r="58" spans="1:21">
      <c r="F58" s="6">
        <v>78</v>
      </c>
      <c r="G58" s="7">
        <v>46316.9047840625</v>
      </c>
      <c r="H58" s="8">
        <v>0.0006018518518518519</v>
      </c>
      <c r="I58" s="9">
        <v>50</v>
      </c>
      <c r="J58" s="9">
        <v>0.1</v>
      </c>
      <c r="K58" s="9">
        <v>0.1</v>
      </c>
      <c r="L58" s="10">
        <v>-0.3</v>
      </c>
      <c r="M58" s="11">
        <v>-35.3631168</v>
      </c>
      <c r="N58" s="11">
        <v>149.1639751</v>
      </c>
      <c r="O58" s="9">
        <v>0</v>
      </c>
      <c r="P58" s="9">
        <v>115.6</v>
      </c>
      <c r="Q58" s="9">
        <v>113.6</v>
      </c>
      <c r="R58" s="9">
        <f>(G58-$G$5)*86400</f>
        <v>53.0</v>
      </c>
      <c r="S58" s="9">
        <f>IF(I58&gt;=0.99*$B$6,R58,"")</f>
        <v>53.0</v>
      </c>
      <c r="T58" s="9">
        <f>IF(AND(J58&gt;=0.5,I58&gt;=0.95*$B$6),R58,"")</f>
        <v/>
      </c>
      <c r="U58" s="12" t="str">
        <f>IF(R58&lt;=$B$15,"Зліт",IF(R58&lt;$B$16,"Перехід",IF(R58&lt;$B$17,"Горизонтальний політ","Посадка")))</f>
        <v>Посадка</v>
      </c>
    </row>
    <row r="59" spans="1:21">
      <c r="F59" s="6">
        <v>79</v>
      </c>
      <c r="G59" s="7">
        <v>46316.90479563658</v>
      </c>
      <c r="H59" s="8">
        <v>0.0006134259259259259</v>
      </c>
      <c r="I59" s="9">
        <v>50</v>
      </c>
      <c r="J59" s="9">
        <v>0.1</v>
      </c>
      <c r="K59" s="9">
        <v>0.1</v>
      </c>
      <c r="L59" s="10">
        <v>0.2</v>
      </c>
      <c r="M59" s="11">
        <v>-35.3631167</v>
      </c>
      <c r="N59" s="11">
        <v>149.1639743</v>
      </c>
      <c r="O59" s="9">
        <v>-0.1</v>
      </c>
      <c r="P59" s="9">
        <v>115.7</v>
      </c>
      <c r="Q59" s="9">
        <v>115.6</v>
      </c>
      <c r="R59" s="9">
        <f>(G59-$G$5)*86400</f>
        <v>54.0</v>
      </c>
      <c r="S59" s="9">
        <f>IF(I59&gt;=0.99*$B$6,R59,"")</f>
        <v>54.0</v>
      </c>
      <c r="T59" s="9">
        <f>IF(AND(J59&gt;=0.5,I59&gt;=0.95*$B$6),R59,"")</f>
        <v/>
      </c>
      <c r="U59" s="12" t="str">
        <f>IF(R59&lt;=$B$15,"Зліт",IF(R59&lt;$B$16,"Перехід",IF(R59&lt;$B$17,"Горизонтальний політ","Посадка")))</f>
        <v>Посадка</v>
      </c>
    </row>
    <row r="60" spans="1:21">
      <c r="F60" s="6">
        <v>80</v>
      </c>
      <c r="G60" s="7">
        <v>46316.90480721065</v>
      </c>
      <c r="H60" s="8">
        <v>0.000625</v>
      </c>
      <c r="I60" s="9">
        <v>49.4</v>
      </c>
      <c r="J60" s="9">
        <v>0.1</v>
      </c>
      <c r="K60" s="9">
        <v>0.1</v>
      </c>
      <c r="L60" s="10">
        <v>0.3</v>
      </c>
      <c r="M60" s="11">
        <v>-35.3631164</v>
      </c>
      <c r="N60" s="11">
        <v>149.163973</v>
      </c>
      <c r="O60" s="9">
        <v>-1.1</v>
      </c>
      <c r="P60" s="9">
        <v>115.8</v>
      </c>
      <c r="Q60" s="9">
        <v>115.6</v>
      </c>
      <c r="R60" s="9">
        <f>(G60-$G$5)*86400</f>
        <v>55.0</v>
      </c>
      <c r="S60" s="9">
        <f>IF(I60&gt;=0.99*$B$6,R60,"")</f>
        <v/>
      </c>
      <c r="T60" s="9">
        <f>IF(AND(J60&gt;=0.5,I60&gt;=0.95*$B$6),R60,"")</f>
        <v/>
      </c>
      <c r="U60" s="12" t="str">
        <f>IF(R60&lt;=$B$15,"Зліт",IF(R60&lt;$B$16,"Перехід",IF(R60&lt;$B$17,"Горизонтальний політ","Посадка")))</f>
        <v>Посадка</v>
      </c>
    </row>
    <row r="61" spans="1:21">
      <c r="A61" s="3" t="s">
        <v>860</v>
      </c>
      <c r="F61" s="6">
        <v>81</v>
      </c>
      <c r="G61" s="7">
        <v>46316.90481878472</v>
      </c>
      <c r="H61" s="8">
        <v>0.0006365740740740741</v>
      </c>
      <c r="I61" s="9">
        <v>48</v>
      </c>
      <c r="J61" s="9">
        <v>0.1</v>
      </c>
      <c r="K61" s="9">
        <v>0</v>
      </c>
      <c r="L61" s="10">
        <v>-0.3</v>
      </c>
      <c r="M61" s="11">
        <v>-35.3631164</v>
      </c>
      <c r="N61" s="11">
        <v>149.1639729</v>
      </c>
      <c r="O61" s="9">
        <v>-1.5</v>
      </c>
      <c r="P61" s="9">
        <v>115.8</v>
      </c>
      <c r="Q61" s="9">
        <v>115.6</v>
      </c>
      <c r="R61" s="9">
        <f>(G61-$G$5)*86400</f>
        <v>56.0</v>
      </c>
      <c r="S61" s="9">
        <f>IF(I61&gt;=0.99*$B$6,R61,"")</f>
        <v/>
      </c>
      <c r="T61" s="9">
        <f>IF(AND(J61&gt;=0.5,I61&gt;=0.95*$B$6),R61,"")</f>
        <v/>
      </c>
      <c r="U61" s="12" t="str">
        <f>IF(R61&lt;=$B$15,"Зліт",IF(R61&lt;$B$16,"Перехід",IF(R61&lt;$B$17,"Горизонтальний політ","Посадка")))</f>
        <v>Посадка</v>
      </c>
    </row>
    <row r="62" spans="1:21">
      <c r="F62" s="6">
        <v>82</v>
      </c>
      <c r="G62" s="7">
        <v>46316.90483034722</v>
      </c>
      <c r="H62" s="8">
        <v>0.0006481481481481481</v>
      </c>
      <c r="I62" s="9">
        <v>46.5</v>
      </c>
      <c r="J62" s="9">
        <v>0</v>
      </c>
      <c r="K62" s="9">
        <v>0</v>
      </c>
      <c r="L62" s="10">
        <v>-0.3</v>
      </c>
      <c r="M62" s="11">
        <v>-35.3631166</v>
      </c>
      <c r="N62" s="11">
        <v>149.1639732</v>
      </c>
      <c r="O62" s="9">
        <v>-1.5</v>
      </c>
      <c r="P62" s="9">
        <v>115.8</v>
      </c>
      <c r="Q62" s="9">
        <v>115.6</v>
      </c>
      <c r="R62" s="9">
        <f>(G62-$G$5)*86400</f>
        <v>56.999</v>
      </c>
      <c r="S62" s="9">
        <f>IF(I62&gt;=0.99*$B$6,R62,"")</f>
        <v/>
      </c>
      <c r="T62" s="9">
        <f>IF(AND(J62&gt;=0.5,I62&gt;=0.95*$B$6),R62,"")</f>
        <v/>
      </c>
      <c r="U62" s="12" t="str">
        <f>IF(R62&lt;=$B$15,"Зліт",IF(R62&lt;$B$16,"Перехід",IF(R62&lt;$B$17,"Горизонтальний політ","Посадка")))</f>
        <v>Посадка</v>
      </c>
    </row>
    <row r="63" spans="1:21">
      <c r="F63" s="6">
        <v>83</v>
      </c>
      <c r="G63" s="7">
        <v>46316.90484193287</v>
      </c>
      <c r="H63" s="8">
        <v>0.0006597222222222222</v>
      </c>
      <c r="I63" s="9">
        <v>45</v>
      </c>
      <c r="J63" s="9">
        <v>0</v>
      </c>
      <c r="K63" s="9">
        <v>0</v>
      </c>
      <c r="L63" s="10">
        <v>0.5</v>
      </c>
      <c r="M63" s="11">
        <v>-35.3631166</v>
      </c>
      <c r="N63" s="11">
        <v>149.1639735</v>
      </c>
      <c r="O63" s="9">
        <v>-1.5</v>
      </c>
      <c r="P63" s="9">
        <v>115.7</v>
      </c>
      <c r="Q63" s="9">
        <v>115.6</v>
      </c>
      <c r="R63" s="9">
        <f>(G63-$G$5)*86400</f>
        <v>58.0</v>
      </c>
      <c r="S63" s="9">
        <f>IF(I63&gt;=0.99*$B$6,R63,"")</f>
        <v/>
      </c>
      <c r="T63" s="9">
        <f>IF(AND(J63&gt;=0.5,I63&gt;=0.95*$B$6),R63,"")</f>
        <v/>
      </c>
      <c r="U63" s="12" t="str">
        <f>IF(R63&lt;=$B$15,"Зліт",IF(R63&lt;$B$16,"Перехід",IF(R63&lt;$B$17,"Горизонтальний політ","Посадка")))</f>
        <v>Посадка</v>
      </c>
    </row>
    <row r="64" spans="1:21">
      <c r="F64" s="6">
        <v>84</v>
      </c>
      <c r="G64" s="7">
        <v>46316.90485350695</v>
      </c>
      <c r="H64" s="8">
        <v>0.0006712962962962962</v>
      </c>
      <c r="I64" s="9">
        <v>43.5</v>
      </c>
      <c r="J64" s="9">
        <v>0</v>
      </c>
      <c r="K64" s="9">
        <v>0</v>
      </c>
      <c r="L64" s="10">
        <v>0</v>
      </c>
      <c r="M64" s="11">
        <v>-35.3631166</v>
      </c>
      <c r="N64" s="11">
        <v>149.1639735</v>
      </c>
      <c r="O64" s="9">
        <v>-1.5</v>
      </c>
      <c r="P64" s="9">
        <v>115.7</v>
      </c>
      <c r="Q64" s="9">
        <v>115.6</v>
      </c>
      <c r="R64" s="9">
        <f>(G64-$G$5)*86400</f>
        <v>59.0</v>
      </c>
      <c r="S64" s="9">
        <f>IF(I64&gt;=0.99*$B$6,R64,"")</f>
        <v/>
      </c>
      <c r="T64" s="9">
        <f>IF(AND(J64&gt;=0.5,I64&gt;=0.95*$B$6),R64,"")</f>
        <v/>
      </c>
      <c r="U64" s="12" t="str">
        <f>IF(R64&lt;=$B$15,"Зліт",IF(R64&lt;$B$16,"Перехід",IF(R64&lt;$B$17,"Горизонтальний політ","Посадка")))</f>
        <v>Посадка</v>
      </c>
    </row>
    <row r="65" spans="1:21">
      <c r="F65" s="6">
        <v>85</v>
      </c>
      <c r="G65" s="7">
        <v>46316.90486508102</v>
      </c>
      <c r="H65" s="8">
        <v>0.0006828703703703704</v>
      </c>
      <c r="I65" s="9">
        <v>42</v>
      </c>
      <c r="J65" s="9">
        <v>0</v>
      </c>
      <c r="K65" s="9">
        <v>0</v>
      </c>
      <c r="L65" s="10">
        <v>-0.5</v>
      </c>
      <c r="M65" s="11">
        <v>-35.3631166</v>
      </c>
      <c r="N65" s="11">
        <v>149.1639735</v>
      </c>
      <c r="O65" s="9">
        <v>-1.5</v>
      </c>
      <c r="P65" s="9">
        <v>115.7</v>
      </c>
      <c r="Q65" s="9">
        <v>115.6</v>
      </c>
      <c r="R65" s="9">
        <f>(G65-$G$5)*86400</f>
        <v>60.0</v>
      </c>
      <c r="S65" s="9">
        <f>IF(I65&gt;=0.99*$B$6,R65,"")</f>
        <v/>
      </c>
      <c r="T65" s="9">
        <f>IF(AND(J65&gt;=0.5,I65&gt;=0.95*$B$6),R65,"")</f>
        <v/>
      </c>
      <c r="U65" s="12" t="str">
        <f>IF(R65&lt;=$B$15,"Зліт",IF(R65&lt;$B$16,"Перехід",IF(R65&lt;$B$17,"Горизонтальний політ","Посадка")))</f>
        <v>Посадка</v>
      </c>
    </row>
    <row r="66" spans="1:21">
      <c r="F66" s="6">
        <v>86</v>
      </c>
      <c r="G66" s="7">
        <v>46316.90487665509</v>
      </c>
      <c r="H66" s="8">
        <v>0.0006944444444444445</v>
      </c>
      <c r="I66" s="9">
        <v>40.5</v>
      </c>
      <c r="J66" s="9">
        <v>0</v>
      </c>
      <c r="K66" s="9">
        <v>0</v>
      </c>
      <c r="L66" s="10">
        <v>-0.3</v>
      </c>
      <c r="M66" s="11">
        <v>-35.3631166</v>
      </c>
      <c r="N66" s="11">
        <v>149.1639735</v>
      </c>
      <c r="O66" s="9">
        <v>-1.5</v>
      </c>
      <c r="P66" s="9">
        <v>115.7</v>
      </c>
      <c r="Q66" s="9">
        <v>115.6</v>
      </c>
      <c r="R66" s="9">
        <f>(G66-$G$5)*86400</f>
        <v>61.0</v>
      </c>
      <c r="S66" s="9">
        <f>IF(I66&gt;=0.99*$B$6,R66,"")</f>
        <v/>
      </c>
      <c r="T66" s="9">
        <f>IF(AND(J66&gt;=0.5,I66&gt;=0.95*$B$6),R66,"")</f>
        <v/>
      </c>
      <c r="U66" s="12" t="str">
        <f>IF(R66&lt;=$B$15,"Зліт",IF(R66&lt;$B$16,"Перехід",IF(R66&lt;$B$17,"Горизонтальний політ","Посадка")))</f>
        <v>Посадка</v>
      </c>
    </row>
    <row r="67" spans="1:21">
      <c r="F67" s="6">
        <v>87</v>
      </c>
      <c r="G67" s="7">
        <v>46316.90488822917</v>
      </c>
      <c r="H67" s="8">
        <v>0.0007060185185185185</v>
      </c>
      <c r="I67" s="9">
        <v>39</v>
      </c>
      <c r="J67" s="9">
        <v>0</v>
      </c>
      <c r="K67" s="9">
        <v>0</v>
      </c>
      <c r="L67" s="10">
        <v>0.5</v>
      </c>
      <c r="M67" s="11">
        <v>-35.3631166</v>
      </c>
      <c r="N67" s="11">
        <v>149.1639735</v>
      </c>
      <c r="O67" s="9">
        <v>-1.5</v>
      </c>
      <c r="P67" s="9">
        <v>115.7</v>
      </c>
      <c r="Q67" s="9">
        <v>115.6</v>
      </c>
      <c r="R67" s="9">
        <f>(G67-$G$5)*86400</f>
        <v>62.0</v>
      </c>
      <c r="S67" s="9">
        <f>IF(I67&gt;=0.99*$B$6,R67,"")</f>
        <v/>
      </c>
      <c r="T67" s="9">
        <f>IF(AND(J67&gt;=0.5,I67&gt;=0.95*$B$6),R67,"")</f>
        <v/>
      </c>
      <c r="U67" s="12" t="str">
        <f>IF(R67&lt;=$B$15,"Зліт",IF(R67&lt;$B$16,"Перехід",IF(R67&lt;$B$17,"Горизонтальний політ","Посадка")))</f>
        <v>Посадка</v>
      </c>
    </row>
    <row r="68" spans="1:21">
      <c r="F68" s="6">
        <v>88</v>
      </c>
      <c r="G68" s="7">
        <v>46316.90489980324</v>
      </c>
      <c r="H68" s="8">
        <v>0.0007175925925925926</v>
      </c>
      <c r="I68" s="9">
        <v>37.5</v>
      </c>
      <c r="J68" s="9">
        <v>0</v>
      </c>
      <c r="K68" s="9">
        <v>0</v>
      </c>
      <c r="L68" s="10">
        <v>0</v>
      </c>
      <c r="M68" s="11">
        <v>-35.3631166</v>
      </c>
      <c r="N68" s="11">
        <v>149.1639735</v>
      </c>
      <c r="O68" s="9">
        <v>-1.5</v>
      </c>
      <c r="P68" s="9">
        <v>115.7</v>
      </c>
      <c r="Q68" s="9">
        <v>115.6</v>
      </c>
      <c r="R68" s="9">
        <f>(G68-$G$5)*86400</f>
        <v>63.0</v>
      </c>
      <c r="S68" s="9">
        <f>IF(I68&gt;=0.99*$B$6,R68,"")</f>
        <v/>
      </c>
      <c r="T68" s="9">
        <f>IF(AND(J68&gt;=0.5,I68&gt;=0.95*$B$6),R68,"")</f>
        <v/>
      </c>
      <c r="U68" s="12" t="str">
        <f>IF(R68&lt;=$B$15,"Зліт",IF(R68&lt;$B$16,"Перехід",IF(R68&lt;$B$17,"Горизонтальний політ","Посадка")))</f>
        <v>Посадка</v>
      </c>
    </row>
    <row r="69" spans="1:21">
      <c r="F69" s="6">
        <v>89</v>
      </c>
      <c r="G69" s="7">
        <v>46316.90491137731</v>
      </c>
      <c r="H69" s="8">
        <v>0.0007291666666666667</v>
      </c>
      <c r="I69" s="9">
        <v>36</v>
      </c>
      <c r="J69" s="9">
        <v>0</v>
      </c>
      <c r="K69" s="9">
        <v>0</v>
      </c>
      <c r="L69" s="10">
        <v>-0.5</v>
      </c>
      <c r="M69" s="11">
        <v>-35.3631166</v>
      </c>
      <c r="N69" s="11">
        <v>149.1639735</v>
      </c>
      <c r="O69" s="9">
        <v>-1.5</v>
      </c>
      <c r="P69" s="9">
        <v>115.7</v>
      </c>
      <c r="Q69" s="9">
        <v>115.6</v>
      </c>
      <c r="R69" s="9">
        <f>(G69-$G$5)*86400</f>
        <v>64.0</v>
      </c>
      <c r="S69" s="9">
        <f>IF(I69&gt;=0.99*$B$6,R69,"")</f>
        <v/>
      </c>
      <c r="T69" s="9">
        <f>IF(AND(J69&gt;=0.5,I69&gt;=0.95*$B$6),R69,"")</f>
        <v/>
      </c>
      <c r="U69" s="12" t="str">
        <f>IF(R69&lt;=$B$15,"Зліт",IF(R69&lt;$B$16,"Перехід",IF(R69&lt;$B$17,"Горизонтальний політ","Посадка")))</f>
        <v>Посадка</v>
      </c>
    </row>
    <row r="70" spans="1:21">
      <c r="F70" s="6">
        <v>90</v>
      </c>
      <c r="G70" s="7">
        <v>46316.90492295139</v>
      </c>
      <c r="H70" s="8">
        <v>0.0007407407407407407</v>
      </c>
      <c r="I70" s="9">
        <v>34.5</v>
      </c>
      <c r="J70" s="9">
        <v>0</v>
      </c>
      <c r="K70" s="9">
        <v>0</v>
      </c>
      <c r="L70" s="10">
        <v>0</v>
      </c>
      <c r="M70" s="11">
        <v>-35.3631166</v>
      </c>
      <c r="N70" s="11">
        <v>149.1639735</v>
      </c>
      <c r="O70" s="9">
        <v>-1.5</v>
      </c>
      <c r="P70" s="9">
        <v>115.7</v>
      </c>
      <c r="Q70" s="9">
        <v>115.6</v>
      </c>
      <c r="R70" s="9">
        <f>(G70-$G$5)*86400</f>
        <v>65.0</v>
      </c>
      <c r="S70" s="9">
        <f>IF(I70&gt;=0.99*$B$6,R70,"")</f>
        <v/>
      </c>
      <c r="T70" s="9">
        <f>IF(AND(J70&gt;=0.5,I70&gt;=0.95*$B$6),R70,"")</f>
        <v/>
      </c>
      <c r="U70" s="12" t="str">
        <f>IF(R70&lt;=$B$15,"Зліт",IF(R70&lt;$B$16,"Перехід",IF(R70&lt;$B$17,"Горизонтальний політ","Посадка")))</f>
        <v>Посадка</v>
      </c>
    </row>
    <row r="71" spans="1:21">
      <c r="F71" s="6">
        <v>91</v>
      </c>
      <c r="G71" s="7">
        <v>46316.90493452546</v>
      </c>
      <c r="H71" s="8">
        <v>0.0007523148148148148</v>
      </c>
      <c r="I71" s="9">
        <v>33</v>
      </c>
      <c r="J71" s="9">
        <v>0</v>
      </c>
      <c r="K71" s="9">
        <v>0</v>
      </c>
      <c r="L71" s="10">
        <v>0.4</v>
      </c>
      <c r="M71" s="11">
        <v>-35.3631166</v>
      </c>
      <c r="N71" s="11">
        <v>149.1639735</v>
      </c>
      <c r="O71" s="9">
        <v>-1.5</v>
      </c>
      <c r="P71" s="9">
        <v>115.7</v>
      </c>
      <c r="Q71" s="9">
        <v>115.6</v>
      </c>
      <c r="R71" s="9">
        <f>(G71-$G$5)*86400</f>
        <v>66.0</v>
      </c>
      <c r="S71" s="9">
        <f>IF(I71&gt;=0.99*$B$6,R71,"")</f>
        <v/>
      </c>
      <c r="T71" s="9">
        <f>IF(AND(J71&gt;=0.5,I71&gt;=0.95*$B$6),R71,"")</f>
        <v/>
      </c>
      <c r="U71" s="12" t="str">
        <f>IF(R71&lt;=$B$15,"Зліт",IF(R71&lt;$B$16,"Перехід",IF(R71&lt;$B$17,"Горизонтальний політ","Посадка")))</f>
        <v>Посадка</v>
      </c>
    </row>
    <row r="72" spans="1:21">
      <c r="F72" s="6">
        <v>92</v>
      </c>
      <c r="G72" s="7">
        <v>46316.90494609954</v>
      </c>
      <c r="H72" s="8">
        <v>0.0007638888888888889</v>
      </c>
      <c r="I72" s="9">
        <v>31.5</v>
      </c>
      <c r="J72" s="9">
        <v>0</v>
      </c>
      <c r="K72" s="9">
        <v>0</v>
      </c>
      <c r="L72" s="10">
        <v>-0.4</v>
      </c>
      <c r="M72" s="11">
        <v>-35.3631166</v>
      </c>
      <c r="N72" s="11">
        <v>149.1639735</v>
      </c>
      <c r="O72" s="9">
        <v>-1.5</v>
      </c>
      <c r="P72" s="9">
        <v>115.7</v>
      </c>
      <c r="Q72" s="9">
        <v>115.6</v>
      </c>
      <c r="R72" s="9">
        <f>(G72-$G$5)*86400</f>
        <v>67.0</v>
      </c>
      <c r="S72" s="9">
        <f>IF(I72&gt;=0.99*$B$6,R72,"")</f>
        <v/>
      </c>
      <c r="T72" s="9">
        <f>IF(AND(J72&gt;=0.5,I72&gt;=0.95*$B$6),R72,"")</f>
        <v/>
      </c>
      <c r="U72" s="12" t="str">
        <f>IF(R72&lt;=$B$15,"Зліт",IF(R72&lt;$B$16,"Перехід",IF(R72&lt;$B$17,"Горизонтальний політ","Посадка")))</f>
        <v>Посадка</v>
      </c>
    </row>
    <row r="73" spans="1:21">
      <c r="F73" s="6">
        <v>93</v>
      </c>
      <c r="G73" s="7">
        <v>46316.90495767361</v>
      </c>
      <c r="H73" s="8">
        <v>0.0007754629629629629</v>
      </c>
      <c r="I73" s="9">
        <v>30</v>
      </c>
      <c r="J73" s="9">
        <v>0</v>
      </c>
      <c r="K73" s="9">
        <v>0</v>
      </c>
      <c r="L73" s="10">
        <v>-0.5</v>
      </c>
      <c r="M73" s="11">
        <v>-35.3631166</v>
      </c>
      <c r="N73" s="11">
        <v>149.1639735</v>
      </c>
      <c r="O73" s="9">
        <v>-1.5</v>
      </c>
      <c r="P73" s="9">
        <v>115.7</v>
      </c>
      <c r="Q73" s="9">
        <v>115.6</v>
      </c>
      <c r="R73" s="9">
        <f>(G73-$G$5)*86400</f>
        <v>68.0</v>
      </c>
      <c r="S73" s="9">
        <f>IF(I73&gt;=0.99*$B$6,R73,"")</f>
        <v/>
      </c>
      <c r="T73" s="9">
        <f>IF(AND(J73&gt;=0.5,I73&gt;=0.95*$B$6),R73,"")</f>
        <v/>
      </c>
      <c r="U73" s="12" t="str">
        <f>IF(R73&lt;=$B$15,"Зліт",IF(R73&lt;$B$16,"Перехід",IF(R73&lt;$B$17,"Горизонтальний політ","Посадка")))</f>
        <v>Посадка</v>
      </c>
    </row>
    <row r="74" spans="1:21">
      <c r="F74" s="6">
        <v>94</v>
      </c>
      <c r="G74" s="7">
        <v>46316.90496923611</v>
      </c>
      <c r="H74" s="8">
        <v>0.000787037037037037</v>
      </c>
      <c r="I74" s="9">
        <v>28.5</v>
      </c>
      <c r="J74" s="9">
        <v>0</v>
      </c>
      <c r="K74" s="9">
        <v>0</v>
      </c>
      <c r="L74" s="10">
        <v>0.4</v>
      </c>
      <c r="M74" s="11">
        <v>-35.3631166</v>
      </c>
      <c r="N74" s="11">
        <v>149.1639735</v>
      </c>
      <c r="O74" s="9">
        <v>-1.5</v>
      </c>
      <c r="P74" s="9">
        <v>115.7</v>
      </c>
      <c r="Q74" s="9">
        <v>115.6</v>
      </c>
      <c r="R74" s="9">
        <f>(G74-$G$5)*86400</f>
        <v>68.999</v>
      </c>
      <c r="S74" s="9">
        <f>IF(I74&gt;=0.99*$B$6,R74,"")</f>
        <v/>
      </c>
      <c r="T74" s="9">
        <f>IF(AND(J74&gt;=0.5,I74&gt;=0.95*$B$6),R74,"")</f>
        <v/>
      </c>
      <c r="U74" s="12" t="str">
        <f>IF(R74&lt;=$B$15,"Зліт",IF(R74&lt;$B$16,"Перехід",IF(R74&lt;$B$17,"Горизонтальний політ","Посадка")))</f>
        <v>Посадка</v>
      </c>
    </row>
    <row r="75" spans="1:21">
      <c r="F75" s="6">
        <v>95</v>
      </c>
      <c r="G75" s="7">
        <v>46316.90498082176</v>
      </c>
      <c r="H75" s="8">
        <v>0.0007986111111111112</v>
      </c>
      <c r="I75" s="9">
        <v>27</v>
      </c>
      <c r="J75" s="9">
        <v>0</v>
      </c>
      <c r="K75" s="9">
        <v>0</v>
      </c>
      <c r="L75" s="10">
        <v>0.3</v>
      </c>
      <c r="M75" s="11">
        <v>-35.3631166</v>
      </c>
      <c r="N75" s="11">
        <v>149.1639735</v>
      </c>
      <c r="O75" s="9">
        <v>-1.5</v>
      </c>
      <c r="P75" s="9">
        <v>115.7</v>
      </c>
      <c r="Q75" s="9">
        <v>115.6</v>
      </c>
      <c r="R75" s="9">
        <f>(G75-$G$5)*86400</f>
        <v>70.0</v>
      </c>
      <c r="S75" s="9">
        <f>IF(I75&gt;=0.99*$B$6,R75,"")</f>
        <v/>
      </c>
      <c r="T75" s="9">
        <f>IF(AND(J75&gt;=0.5,I75&gt;=0.95*$B$6),R75,"")</f>
        <v/>
      </c>
      <c r="U75" s="12" t="str">
        <f>IF(R75&lt;=$B$15,"Зліт",IF(R75&lt;$B$16,"Перехід",IF(R75&lt;$B$17,"Горизонтальний політ","Посадка")))</f>
        <v>Посадка</v>
      </c>
    </row>
    <row r="76" spans="1:21">
      <c r="F76" s="6">
        <v>96</v>
      </c>
      <c r="G76" s="7">
        <v>46316.90499239583</v>
      </c>
      <c r="H76" s="8">
        <v>0.0008101851851851852</v>
      </c>
      <c r="I76" s="9">
        <v>25.5</v>
      </c>
      <c r="J76" s="9">
        <v>0</v>
      </c>
      <c r="K76" s="9">
        <v>0</v>
      </c>
      <c r="L76" s="10">
        <v>0</v>
      </c>
      <c r="M76" s="11">
        <v>-35.3631166</v>
      </c>
      <c r="N76" s="11">
        <v>149.1639735</v>
      </c>
      <c r="O76" s="9">
        <v>-1.5</v>
      </c>
      <c r="P76" s="9">
        <v>115.7</v>
      </c>
      <c r="Q76" s="9">
        <v>115.6</v>
      </c>
      <c r="R76" s="9">
        <f>(G76-$G$5)*86400</f>
        <v>71.0</v>
      </c>
      <c r="S76" s="9">
        <f>IF(I76&gt;=0.99*$B$6,R76,"")</f>
        <v/>
      </c>
      <c r="T76" s="9">
        <f>IF(AND(J76&gt;=0.5,I76&gt;=0.95*$B$6),R76,"")</f>
        <v/>
      </c>
      <c r="U76" s="12" t="str">
        <f>IF(R76&lt;=$B$15,"Зліт",IF(R76&lt;$B$16,"Перехід",IF(R76&lt;$B$17,"Горизонтальний політ","Посадка")))</f>
        <v>Посадка</v>
      </c>
    </row>
    <row r="77" spans="1:21">
      <c r="F77" s="6">
        <v>97</v>
      </c>
      <c r="G77" s="7">
        <v>46316.90500396991</v>
      </c>
      <c r="H77" s="8">
        <v>0.0008217592592592593</v>
      </c>
      <c r="I77" s="9">
        <v>24</v>
      </c>
      <c r="J77" s="9">
        <v>0</v>
      </c>
      <c r="K77" s="9">
        <v>0</v>
      </c>
      <c r="L77" s="10">
        <v>-0.5</v>
      </c>
      <c r="M77" s="11">
        <v>-35.3631166</v>
      </c>
      <c r="N77" s="11">
        <v>149.1639735</v>
      </c>
      <c r="O77" s="9">
        <v>-1.5</v>
      </c>
      <c r="P77" s="9">
        <v>115.7</v>
      </c>
      <c r="Q77" s="9">
        <v>115.6</v>
      </c>
      <c r="R77" s="9">
        <f>(G77-$G$5)*86400</f>
        <v>72.0</v>
      </c>
      <c r="S77" s="9">
        <f>IF(I77&gt;=0.99*$B$6,R77,"")</f>
        <v/>
      </c>
      <c r="T77" s="9">
        <f>IF(AND(J77&gt;=0.5,I77&gt;=0.95*$B$6),R77,"")</f>
        <v/>
      </c>
      <c r="U77" s="12" t="str">
        <f>IF(R77&lt;=$B$15,"Зліт",IF(R77&lt;$B$16,"Перехід",IF(R77&lt;$B$17,"Горизонтальний політ","Посадка")))</f>
        <v>Посадка</v>
      </c>
    </row>
    <row r="78" spans="1:21">
      <c r="F78" s="6">
        <v>98</v>
      </c>
      <c r="G78" s="7">
        <v>46316.90501554398</v>
      </c>
      <c r="H78" s="8">
        <v>0.0008333333333333334</v>
      </c>
      <c r="I78" s="9">
        <v>22.5</v>
      </c>
      <c r="J78" s="9">
        <v>0</v>
      </c>
      <c r="K78" s="9">
        <v>0</v>
      </c>
      <c r="L78" s="10">
        <v>0.2</v>
      </c>
      <c r="M78" s="11">
        <v>-35.3631166</v>
      </c>
      <c r="N78" s="11">
        <v>149.1639735</v>
      </c>
      <c r="O78" s="9">
        <v>-1.5</v>
      </c>
      <c r="P78" s="9">
        <v>115.7</v>
      </c>
      <c r="Q78" s="9">
        <v>115.6</v>
      </c>
      <c r="R78" s="9">
        <f>(G78-$G$5)*86400</f>
        <v>73.0</v>
      </c>
      <c r="S78" s="9">
        <f>IF(I78&gt;=0.99*$B$6,R78,"")</f>
        <v/>
      </c>
      <c r="T78" s="9">
        <f>IF(AND(J78&gt;=0.5,I78&gt;=0.95*$B$6),R78,"")</f>
        <v/>
      </c>
      <c r="U78" s="12" t="str">
        <f>IF(R78&lt;=$B$15,"Зліт",IF(R78&lt;$B$16,"Перехід",IF(R78&lt;$B$17,"Горизонтальний політ","Посадка")))</f>
        <v>Посадка</v>
      </c>
    </row>
    <row r="79" spans="1:21">
      <c r="F79" s="6">
        <v>99</v>
      </c>
      <c r="G79" s="7">
        <v>46316.90502711805</v>
      </c>
      <c r="H79" s="8">
        <v>0.0008449074074074074</v>
      </c>
      <c r="I79" s="9">
        <v>21</v>
      </c>
      <c r="J79" s="9">
        <v>0</v>
      </c>
      <c r="K79" s="9">
        <v>0</v>
      </c>
      <c r="L79" s="10">
        <v>0.5</v>
      </c>
      <c r="M79" s="11">
        <v>-35.3631166</v>
      </c>
      <c r="N79" s="11">
        <v>149.1639735</v>
      </c>
      <c r="O79" s="9">
        <v>-1.5</v>
      </c>
      <c r="P79" s="9">
        <v>115.7</v>
      </c>
      <c r="Q79" s="9">
        <v>115.6</v>
      </c>
      <c r="R79" s="9">
        <f>(G79-$G$5)*86400</f>
        <v>74.0</v>
      </c>
      <c r="S79" s="9">
        <f>IF(I79&gt;=0.99*$B$6,R79,"")</f>
        <v/>
      </c>
      <c r="T79" s="9">
        <f>IF(AND(J79&gt;=0.5,I79&gt;=0.95*$B$6),R79,"")</f>
        <v/>
      </c>
      <c r="U79" s="12" t="str">
        <f>IF(R79&lt;=$B$15,"Зліт",IF(R79&lt;$B$16,"Перехід",IF(R79&lt;$B$17,"Горизонтальний політ","Посадка")))</f>
        <v>Посадка</v>
      </c>
    </row>
    <row r="80" spans="1:21">
      <c r="A80" s="3" t="s">
        <v>861</v>
      </c>
      <c r="F80" s="6">
        <v>100</v>
      </c>
      <c r="G80" s="7">
        <v>46316.90503869213</v>
      </c>
      <c r="H80" s="8">
        <v>0.0008564814814814815</v>
      </c>
      <c r="I80" s="9">
        <v>19.5</v>
      </c>
      <c r="J80" s="9">
        <v>0</v>
      </c>
      <c r="K80" s="9">
        <v>0</v>
      </c>
      <c r="L80" s="10">
        <v>0</v>
      </c>
      <c r="M80" s="11">
        <v>-35.3631166</v>
      </c>
      <c r="N80" s="11">
        <v>149.1639735</v>
      </c>
      <c r="O80" s="9">
        <v>-1.5</v>
      </c>
      <c r="P80" s="9">
        <v>115.7</v>
      </c>
      <c r="Q80" s="9">
        <v>115.6</v>
      </c>
      <c r="R80" s="9">
        <f>(G80-$G$5)*86400</f>
        <v>75.0</v>
      </c>
      <c r="S80" s="9">
        <f>IF(I80&gt;=0.99*$B$6,R80,"")</f>
        <v/>
      </c>
      <c r="T80" s="9">
        <f>IF(AND(J80&gt;=0.5,I80&gt;=0.95*$B$6),R80,"")</f>
        <v/>
      </c>
      <c r="U80" s="12" t="str">
        <f>IF(R80&lt;=$B$15,"Зліт",IF(R80&lt;$B$16,"Перехід",IF(R80&lt;$B$17,"Горизонтальний політ","Посадка")))</f>
        <v>Посадка</v>
      </c>
    </row>
    <row r="81" spans="6:21">
      <c r="F81" s="6">
        <v>101</v>
      </c>
      <c r="G81" s="7">
        <v>46316.90505026621</v>
      </c>
      <c r="H81" s="8">
        <v>0.0008680555555555555</v>
      </c>
      <c r="I81" s="9">
        <v>18</v>
      </c>
      <c r="J81" s="9">
        <v>0</v>
      </c>
      <c r="K81" s="9">
        <v>0</v>
      </c>
      <c r="L81" s="10">
        <v>-0.5</v>
      </c>
      <c r="M81" s="11">
        <v>-35.3631166</v>
      </c>
      <c r="N81" s="11">
        <v>149.1639735</v>
      </c>
      <c r="O81" s="9">
        <v>-1.5</v>
      </c>
      <c r="P81" s="9">
        <v>115.7</v>
      </c>
      <c r="Q81" s="9">
        <v>115.6</v>
      </c>
      <c r="R81" s="9">
        <f>(G81-$G$5)*86400</f>
        <v>76.0</v>
      </c>
      <c r="S81" s="9">
        <f>IF(I81&gt;=0.99*$B$6,R81,"")</f>
        <v/>
      </c>
      <c r="T81" s="9">
        <f>IF(AND(J81&gt;=0.5,I81&gt;=0.95*$B$6),R81,"")</f>
        <v/>
      </c>
      <c r="U81" s="12" t="str">
        <f>IF(R81&lt;=$B$15,"Зліт",IF(R81&lt;$B$16,"Перехід",IF(R81&lt;$B$17,"Горизонтальний політ","Посадка")))</f>
        <v>Посадка</v>
      </c>
    </row>
    <row r="82" spans="6:21">
      <c r="F82" s="6">
        <v>102</v>
      </c>
      <c r="G82" s="7">
        <v>46316.90506184028</v>
      </c>
      <c r="H82" s="8">
        <v>0.0008796296296296296</v>
      </c>
      <c r="I82" s="9">
        <v>16.5</v>
      </c>
      <c r="J82" s="9">
        <v>0</v>
      </c>
      <c r="K82" s="9">
        <v>0</v>
      </c>
      <c r="L82" s="10">
        <v>-0.1</v>
      </c>
      <c r="M82" s="11">
        <v>-35.3631166</v>
      </c>
      <c r="N82" s="11">
        <v>149.1639735</v>
      </c>
      <c r="O82" s="9">
        <v>-1.5</v>
      </c>
      <c r="P82" s="9">
        <v>115.7</v>
      </c>
      <c r="Q82" s="9">
        <v>115.6</v>
      </c>
      <c r="R82" s="9">
        <f>(G82-$G$5)*86400</f>
        <v>77.0</v>
      </c>
      <c r="S82" s="9">
        <f>IF(I82&gt;=0.99*$B$6,R82,"")</f>
        <v/>
      </c>
      <c r="T82" s="9">
        <f>IF(AND(J82&gt;=0.5,I82&gt;=0.95*$B$6),R82,"")</f>
        <v/>
      </c>
      <c r="U82" s="12" t="str">
        <f>IF(R82&lt;=$B$15,"Зліт",IF(R82&lt;$B$16,"Перехід",IF(R82&lt;$B$17,"Горизонтальний політ","Посадка")))</f>
        <v>Посадка</v>
      </c>
    </row>
    <row r="83" spans="6:21">
      <c r="F83" s="6">
        <v>103</v>
      </c>
      <c r="G83" s="7">
        <v>46316.90507341435</v>
      </c>
      <c r="H83" s="8">
        <v>0.0008912037037037037</v>
      </c>
      <c r="I83" s="9">
        <v>15</v>
      </c>
      <c r="J83" s="9">
        <v>0</v>
      </c>
      <c r="K83" s="9">
        <v>0</v>
      </c>
      <c r="L83" s="10">
        <v>0.5</v>
      </c>
      <c r="M83" s="11">
        <v>-35.3631166</v>
      </c>
      <c r="N83" s="11">
        <v>149.1639735</v>
      </c>
      <c r="O83" s="9">
        <v>-1.5</v>
      </c>
      <c r="P83" s="9">
        <v>115.7</v>
      </c>
      <c r="Q83" s="9">
        <v>115.6</v>
      </c>
      <c r="R83" s="9">
        <f>(G83-$G$5)*86400</f>
        <v>78.0</v>
      </c>
      <c r="S83" s="9">
        <f>IF(I83&gt;=0.99*$B$6,R83,"")</f>
        <v/>
      </c>
      <c r="T83" s="9">
        <f>IF(AND(J83&gt;=0.5,I83&gt;=0.95*$B$6),R83,"")</f>
        <v/>
      </c>
      <c r="U83" s="12" t="str">
        <f>IF(R83&lt;=$B$15,"Зліт",IF(R83&lt;$B$16,"Перехід",IF(R83&lt;$B$17,"Горизонтальний політ","Посадка")))</f>
        <v>Посадка</v>
      </c>
    </row>
    <row r="84" spans="6:21">
      <c r="F84" s="6">
        <v>104</v>
      </c>
      <c r="G84" s="7">
        <v>46316.90508498842</v>
      </c>
      <c r="H84" s="8">
        <v>0.0009027777777777777</v>
      </c>
      <c r="I84" s="9">
        <v>13.5</v>
      </c>
      <c r="J84" s="9">
        <v>0</v>
      </c>
      <c r="K84" s="9">
        <v>0</v>
      </c>
      <c r="L84" s="10">
        <v>0</v>
      </c>
      <c r="M84" s="11">
        <v>-35.3631166</v>
      </c>
      <c r="N84" s="11">
        <v>149.1639735</v>
      </c>
      <c r="O84" s="9">
        <v>-1.5</v>
      </c>
      <c r="P84" s="9">
        <v>115.7</v>
      </c>
      <c r="Q84" s="9">
        <v>115.6</v>
      </c>
      <c r="R84" s="9">
        <f>(G84-$G$5)*86400</f>
        <v>79.0</v>
      </c>
      <c r="S84" s="9">
        <f>IF(I84&gt;=0.99*$B$6,R84,"")</f>
        <v/>
      </c>
      <c r="T84" s="9">
        <f>IF(AND(J84&gt;=0.5,I84&gt;=0.95*$B$6),R84,"")</f>
        <v/>
      </c>
      <c r="U84" s="12" t="str">
        <f>IF(R84&lt;=$B$15,"Зліт",IF(R84&lt;$B$16,"Перехід",IF(R84&lt;$B$17,"Горизонтальний політ","Посадка")))</f>
        <v>Посадка</v>
      </c>
    </row>
    <row r="85" spans="6:21">
      <c r="F85" s="6">
        <v>105</v>
      </c>
      <c r="G85" s="7">
        <v>46316.9050965625</v>
      </c>
      <c r="H85" s="8">
        <v>0.0009143518518518518</v>
      </c>
      <c r="I85" s="9">
        <v>12.5</v>
      </c>
      <c r="J85" s="9">
        <v>0</v>
      </c>
      <c r="K85" s="9">
        <v>0</v>
      </c>
      <c r="L85" s="10">
        <v>0.3</v>
      </c>
      <c r="M85" s="11">
        <v>-35.3631166</v>
      </c>
      <c r="N85" s="11">
        <v>149.1639735</v>
      </c>
      <c r="O85" s="9">
        <v>-0.6</v>
      </c>
      <c r="P85" s="9">
        <v>115.7</v>
      </c>
      <c r="Q85" s="9">
        <v>115.6</v>
      </c>
      <c r="R85" s="9">
        <f>(G85-$G$5)*86400</f>
        <v>80.0</v>
      </c>
      <c r="S85" s="9">
        <f>IF(I85&gt;=0.99*$B$6,R85,"")</f>
        <v/>
      </c>
      <c r="T85" s="9">
        <f>IF(AND(J85&gt;=0.5,I85&gt;=0.95*$B$6),R85,"")</f>
        <v/>
      </c>
      <c r="U85" s="12" t="str">
        <f>IF(R85&lt;=$B$15,"Зліт",IF(R85&lt;$B$16,"Перехід",IF(R85&lt;$B$17,"Горизонтальний політ","Посадка")))</f>
        <v>Посадка</v>
      </c>
    </row>
    <row r="86" spans="6:21">
      <c r="F86" s="6">
        <v>106</v>
      </c>
      <c r="G86" s="7">
        <v>46316.905108125</v>
      </c>
      <c r="H86" s="8">
        <v>0.000925925925925926</v>
      </c>
      <c r="I86" s="9">
        <v>12</v>
      </c>
      <c r="J86" s="9">
        <v>0</v>
      </c>
      <c r="K86" s="9">
        <v>0</v>
      </c>
      <c r="L86" s="10">
        <v>0.4</v>
      </c>
      <c r="M86" s="11">
        <v>-35.3631166</v>
      </c>
      <c r="N86" s="11">
        <v>149.1639735</v>
      </c>
      <c r="O86" s="9">
        <v>-0.5</v>
      </c>
      <c r="P86" s="9">
        <v>115.7</v>
      </c>
      <c r="Q86" s="9">
        <v>115.6</v>
      </c>
      <c r="R86" s="9">
        <f>(G86-$G$5)*86400</f>
        <v>80.999</v>
      </c>
      <c r="S86" s="9">
        <f>IF(I86&gt;=0.99*$B$6,R86,"")</f>
        <v/>
      </c>
      <c r="T86" s="9">
        <f>IF(AND(J86&gt;=0.5,I86&gt;=0.95*$B$6),R86,"")</f>
        <v/>
      </c>
      <c r="U86" s="12" t="str">
        <f>IF(R86&lt;=$B$15,"Зліт",IF(R86&lt;$B$16,"Перехід",IF(R86&lt;$B$17,"Горизонтальний політ","Посадка")))</f>
        <v>Посадка</v>
      </c>
    </row>
    <row r="87" spans="6:21">
      <c r="F87" s="6">
        <v>107</v>
      </c>
      <c r="G87" s="7">
        <v>46316.90511969908</v>
      </c>
      <c r="H87" s="8">
        <v>0.0009375</v>
      </c>
      <c r="I87" s="9">
        <v>11.5</v>
      </c>
      <c r="J87" s="9">
        <v>0</v>
      </c>
      <c r="K87" s="9">
        <v>0</v>
      </c>
      <c r="L87" s="10">
        <v>-0.1</v>
      </c>
      <c r="M87" s="11">
        <v>-35.3631166</v>
      </c>
      <c r="N87" s="11">
        <v>149.1639735</v>
      </c>
      <c r="O87" s="9">
        <v>-0.5</v>
      </c>
      <c r="P87" s="9">
        <v>115.7</v>
      </c>
      <c r="Q87" s="9">
        <v>115.6</v>
      </c>
      <c r="R87" s="9">
        <f>(G87-$G$5)*86400</f>
        <v>81.999</v>
      </c>
      <c r="S87" s="9">
        <f>IF(I87&gt;=0.99*$B$6,R87,"")</f>
        <v/>
      </c>
      <c r="T87" s="9">
        <f>IF(AND(J87&gt;=0.5,I87&gt;=0.95*$B$6),R87,"")</f>
        <v/>
      </c>
      <c r="U87" s="12" t="str">
        <f>IF(R87&lt;=$B$15,"Зліт",IF(R87&lt;$B$16,"Перехід",IF(R87&lt;$B$17,"Горизонтальний політ","Посадка")))</f>
        <v>Посадка</v>
      </c>
    </row>
    <row r="88" spans="6:21">
      <c r="F88" s="6">
        <v>108</v>
      </c>
      <c r="G88" s="7">
        <v>46316.90513128472</v>
      </c>
      <c r="H88" s="8">
        <v>0.0009490740740740741</v>
      </c>
      <c r="I88" s="9">
        <v>11</v>
      </c>
      <c r="J88" s="9">
        <v>0</v>
      </c>
      <c r="K88" s="9">
        <v>0</v>
      </c>
      <c r="L88" s="10">
        <v>-0.4</v>
      </c>
      <c r="M88" s="11">
        <v>-35.3631166</v>
      </c>
      <c r="N88" s="11">
        <v>149.1639735</v>
      </c>
      <c r="O88" s="9">
        <v>-0.5</v>
      </c>
      <c r="P88" s="9">
        <v>115.7</v>
      </c>
      <c r="Q88" s="9">
        <v>115.6</v>
      </c>
      <c r="R88" s="9">
        <f>(G88-$G$5)*86400</f>
        <v>83.0</v>
      </c>
      <c r="S88" s="9">
        <f>IF(I88&gt;=0.99*$B$6,R88,"")</f>
        <v/>
      </c>
      <c r="T88" s="9">
        <f>IF(AND(J88&gt;=0.5,I88&gt;=0.95*$B$6),R88,"")</f>
        <v/>
      </c>
      <c r="U88" s="12" t="str">
        <f>IF(R88&lt;=$B$15,"Зліт",IF(R88&lt;$B$16,"Перехід",IF(R88&lt;$B$17,"Горизонтальний політ","Посадка")))</f>
        <v>Посадка</v>
      </c>
    </row>
    <row r="89" spans="6:21">
      <c r="F89" s="6">
        <v>109</v>
      </c>
      <c r="G89" s="7">
        <v>46316.9051428588</v>
      </c>
      <c r="H89" s="8">
        <v>0.0009606481481481482</v>
      </c>
      <c r="I89" s="9">
        <v>10.5</v>
      </c>
      <c r="J89" s="9">
        <v>0</v>
      </c>
      <c r="K89" s="9">
        <v>0</v>
      </c>
      <c r="L89" s="10">
        <v>0</v>
      </c>
      <c r="M89" s="11">
        <v>-35.3631166</v>
      </c>
      <c r="N89" s="11">
        <v>149.1639735</v>
      </c>
      <c r="O89" s="9">
        <v>-0.5</v>
      </c>
      <c r="P89" s="9">
        <v>115.7</v>
      </c>
      <c r="Q89" s="9">
        <v>115.6</v>
      </c>
      <c r="R89" s="9">
        <f>(G89-$G$5)*86400</f>
        <v>84.0</v>
      </c>
      <c r="S89" s="9">
        <f>IF(I89&gt;=0.99*$B$6,R89,"")</f>
        <v/>
      </c>
      <c r="T89" s="9">
        <f>IF(AND(J89&gt;=0.5,I89&gt;=0.95*$B$6),R89,"")</f>
        <v/>
      </c>
      <c r="U89" s="12" t="str">
        <f>IF(R89&lt;=$B$15,"Зліт",IF(R89&lt;$B$16,"Перехід",IF(R89&lt;$B$17,"Горизонтальний політ","Посадка")))</f>
        <v>Посадка</v>
      </c>
    </row>
    <row r="90" spans="6:21">
      <c r="F90" s="6">
        <v>110</v>
      </c>
      <c r="G90" s="7">
        <v>46316.90515443287</v>
      </c>
      <c r="H90" s="8">
        <v>0.0009722222222222222</v>
      </c>
      <c r="I90" s="9">
        <v>10.3</v>
      </c>
      <c r="J90" s="9">
        <v>0</v>
      </c>
      <c r="K90" s="9">
        <v>0</v>
      </c>
      <c r="L90" s="10">
        <v>0.3</v>
      </c>
      <c r="M90" s="11">
        <v>-35.3631166</v>
      </c>
      <c r="N90" s="11">
        <v>149.1639735</v>
      </c>
      <c r="O90" s="9">
        <v>0</v>
      </c>
      <c r="P90" s="9">
        <v>115.7</v>
      </c>
      <c r="Q90" s="9">
        <v>115.6</v>
      </c>
      <c r="R90" s="9">
        <f>(G90-$G$5)*86400</f>
        <v>85.0</v>
      </c>
      <c r="S90" s="9">
        <f>IF(I90&gt;=0.99*$B$6,R90,"")</f>
        <v/>
      </c>
      <c r="T90" s="9">
        <f>IF(AND(J90&gt;=0.5,I90&gt;=0.95*$B$6),R90,"")</f>
        <v/>
      </c>
      <c r="U90" s="12" t="str">
        <f>IF(R90&lt;=$B$15,"Зліт",IF(R90&lt;$B$16,"Перехід",IF(R90&lt;$B$17,"Горизонтальний політ","Посадка")))</f>
        <v>Посадка</v>
      </c>
    </row>
    <row r="91" spans="6:21">
      <c r="F91" s="6">
        <v>111</v>
      </c>
      <c r="G91" s="7">
        <v>46316.90516599537</v>
      </c>
      <c r="H91" s="8">
        <v>0.0009837962962962962</v>
      </c>
      <c r="I91" s="9">
        <v>10.4</v>
      </c>
      <c r="J91" s="9">
        <v>0</v>
      </c>
      <c r="K91" s="9">
        <v>0</v>
      </c>
      <c r="L91" s="10">
        <v>-0.4</v>
      </c>
      <c r="M91" s="11">
        <v>-35.3631166</v>
      </c>
      <c r="N91" s="11">
        <v>149.1639735</v>
      </c>
      <c r="O91" s="9">
        <v>0</v>
      </c>
      <c r="P91" s="9">
        <v>115.7</v>
      </c>
      <c r="Q91" s="9">
        <v>115.6</v>
      </c>
      <c r="R91" s="9">
        <f>(G91-$G$5)*86400</f>
        <v>85.999</v>
      </c>
      <c r="S91" s="9">
        <f>IF(I91&gt;=0.99*$B$6,R91,"")</f>
        <v/>
      </c>
      <c r="T91" s="9">
        <f>IF(AND(J91&gt;=0.5,I91&gt;=0.95*$B$6),R91,"")</f>
        <v/>
      </c>
      <c r="U91" s="12" t="str">
        <f>IF(R91&lt;=$B$15,"Зліт",IF(R91&lt;$B$16,"Перехід",IF(R91&lt;$B$17,"Горизонтальний політ","Посадка")))</f>
        <v>Посадка</v>
      </c>
    </row>
    <row r="92" spans="6:21">
      <c r="F92" s="6">
        <v>112</v>
      </c>
      <c r="G92" s="7">
        <v>46316.90517758102</v>
      </c>
      <c r="H92" s="8">
        <v>0.0009953703703703704</v>
      </c>
      <c r="I92" s="9">
        <v>10.4</v>
      </c>
      <c r="J92" s="9">
        <v>0</v>
      </c>
      <c r="K92" s="9">
        <v>0</v>
      </c>
      <c r="L92" s="10">
        <v>0.4</v>
      </c>
      <c r="M92" s="11">
        <v>-35.3631166</v>
      </c>
      <c r="N92" s="11">
        <v>149.1639735</v>
      </c>
      <c r="O92" s="9">
        <v>0</v>
      </c>
      <c r="P92" s="9">
        <v>115.7</v>
      </c>
      <c r="Q92" s="9">
        <v>115.6</v>
      </c>
      <c r="R92" s="9">
        <f>(G92-$G$5)*86400</f>
        <v>87.0</v>
      </c>
      <c r="S92" s="9">
        <f>IF(I92&gt;=0.99*$B$6,R92,"")</f>
        <v/>
      </c>
      <c r="T92" s="9">
        <f>IF(AND(J92&gt;=0.5,I92&gt;=0.95*$B$6),R92,"")</f>
        <v/>
      </c>
      <c r="U92" s="12" t="str">
        <f>IF(R92&lt;=$B$15,"Зліт",IF(R92&lt;$B$16,"Перехід",IF(R92&lt;$B$17,"Горизонтальний політ","Посадка")))</f>
        <v>Посадка</v>
      </c>
    </row>
    <row r="93" spans="6:21">
      <c r="F93" s="6">
        <v>113</v>
      </c>
      <c r="G93" s="7">
        <v>46316.90518915509</v>
      </c>
      <c r="H93" s="8">
        <v>0.001006944444444444</v>
      </c>
      <c r="I93" s="9">
        <v>10.4</v>
      </c>
      <c r="J93" s="9">
        <v>0</v>
      </c>
      <c r="K93" s="9">
        <v>0</v>
      </c>
      <c r="L93" s="10">
        <v>-0.2</v>
      </c>
      <c r="M93" s="11">
        <v>-35.3631166</v>
      </c>
      <c r="N93" s="11">
        <v>149.1639735</v>
      </c>
      <c r="O93" s="9">
        <v>0</v>
      </c>
      <c r="P93" s="9">
        <v>115.7</v>
      </c>
      <c r="Q93" s="9">
        <v>115.6</v>
      </c>
      <c r="R93" s="9">
        <f>(G93-$G$5)*86400</f>
        <v>88.0</v>
      </c>
      <c r="S93" s="9">
        <f>IF(I93&gt;=0.99*$B$6,R93,"")</f>
        <v/>
      </c>
      <c r="T93" s="9">
        <f>IF(AND(J93&gt;=0.5,I93&gt;=0.95*$B$6),R93,"")</f>
        <v/>
      </c>
      <c r="U93" s="12" t="str">
        <f>IF(R93&lt;=$B$15,"Зліт",IF(R93&lt;$B$16,"Перехід",IF(R93&lt;$B$17,"Горизонтальний політ","Посадка")))</f>
        <v>Посадка</v>
      </c>
    </row>
    <row r="94" spans="6:21">
      <c r="F94" s="6">
        <v>114</v>
      </c>
      <c r="G94" s="7">
        <v>46316.90520072917</v>
      </c>
      <c r="H94" s="8">
        <v>0.001018518518518518</v>
      </c>
      <c r="I94" s="9">
        <v>10.4</v>
      </c>
      <c r="J94" s="9">
        <v>0</v>
      </c>
      <c r="K94" s="9">
        <v>0</v>
      </c>
      <c r="L94" s="10">
        <v>0.1</v>
      </c>
      <c r="M94" s="11">
        <v>-35.3631166</v>
      </c>
      <c r="N94" s="11">
        <v>149.1639735</v>
      </c>
      <c r="O94" s="9">
        <v>0</v>
      </c>
      <c r="P94" s="9">
        <v>115.7</v>
      </c>
      <c r="Q94" s="9">
        <v>115.6</v>
      </c>
      <c r="R94" s="9">
        <f>(G94-$G$5)*86400</f>
        <v>89.0</v>
      </c>
      <c r="S94" s="9">
        <f>IF(I94&gt;=0.99*$B$6,R94,"")</f>
        <v/>
      </c>
      <c r="T94" s="9">
        <f>IF(AND(J94&gt;=0.5,I94&gt;=0.95*$B$6),R94,"")</f>
        <v/>
      </c>
      <c r="U94" s="12" t="str">
        <f>IF(R94&lt;=$B$15,"Зліт",IF(R94&lt;$B$16,"Перехід",IF(R94&lt;$B$17,"Горизонтальний політ","Посадка")))</f>
        <v>Посадка</v>
      </c>
    </row>
    <row r="95" spans="6:21">
      <c r="F95" s="6">
        <v>115</v>
      </c>
      <c r="G95" s="7">
        <v>46316.90521230324</v>
      </c>
      <c r="H95" s="8">
        <v>0.001030092592592593</v>
      </c>
      <c r="I95" s="9">
        <v>10.4</v>
      </c>
      <c r="J95" s="9">
        <v>0</v>
      </c>
      <c r="K95" s="9">
        <v>0</v>
      </c>
      <c r="L95" s="10">
        <v>0.1</v>
      </c>
      <c r="M95" s="11">
        <v>-35.3631166</v>
      </c>
      <c r="N95" s="11">
        <v>149.1639735</v>
      </c>
      <c r="O95" s="9">
        <v>0</v>
      </c>
      <c r="P95" s="9">
        <v>115.7</v>
      </c>
      <c r="Q95" s="9">
        <v>115.6</v>
      </c>
      <c r="R95" s="9">
        <f>(G95-$G$5)*86400</f>
        <v>90.0</v>
      </c>
      <c r="S95" s="9">
        <f>IF(I95&gt;=0.99*$B$6,R95,"")</f>
        <v/>
      </c>
      <c r="T95" s="9">
        <f>IF(AND(J95&gt;=0.5,I95&gt;=0.95*$B$6),R95,"")</f>
        <v/>
      </c>
      <c r="U95" s="12" t="str">
        <f>IF(R95&lt;=$B$15,"Зліт",IF(R95&lt;$B$16,"Перехід",IF(R95&lt;$B$17,"Горизонтальний політ","Посадка")))</f>
        <v>Посадка</v>
      </c>
    </row>
    <row r="96" spans="6:21">
      <c r="F96" s="6">
        <v>116</v>
      </c>
      <c r="G96" s="7">
        <v>46316.90522386574</v>
      </c>
      <c r="H96" s="8">
        <v>0.001041666666666667</v>
      </c>
      <c r="I96" s="9">
        <v>10.4</v>
      </c>
      <c r="J96" s="9">
        <v>0</v>
      </c>
      <c r="K96" s="9">
        <v>0</v>
      </c>
      <c r="L96" s="10">
        <v>-0.3</v>
      </c>
      <c r="M96" s="11">
        <v>-35.3631166</v>
      </c>
      <c r="N96" s="11">
        <v>149.1639735</v>
      </c>
      <c r="O96" s="9">
        <v>0</v>
      </c>
      <c r="P96" s="9">
        <v>115.7</v>
      </c>
      <c r="Q96" s="9">
        <v>115.6</v>
      </c>
      <c r="R96" s="9">
        <f>(G96-$G$5)*86400</f>
        <v>90.999</v>
      </c>
      <c r="S96" s="9">
        <f>IF(I96&gt;=0.99*$B$6,R96,"")</f>
        <v/>
      </c>
      <c r="T96" s="9">
        <f>IF(AND(J96&gt;=0.5,I96&gt;=0.95*$B$6),R96,"")</f>
        <v/>
      </c>
      <c r="U96" s="12" t="str">
        <f>IF(R96&lt;=$B$15,"Зліт",IF(R96&lt;$B$16,"Перехід",IF(R96&lt;$B$17,"Горизонтальний політ","Посадка")))</f>
        <v>Посадка</v>
      </c>
    </row>
    <row r="97" spans="6:21">
      <c r="F97" s="6">
        <v>117</v>
      </c>
      <c r="G97" s="7">
        <v>46316.90523545139</v>
      </c>
      <c r="H97" s="8">
        <v>0.001053240740740741</v>
      </c>
      <c r="I97" s="9">
        <v>10</v>
      </c>
      <c r="J97" s="9">
        <v>0</v>
      </c>
      <c r="K97" s="9">
        <v>0</v>
      </c>
      <c r="L97" s="10">
        <v>0.3</v>
      </c>
      <c r="M97" s="11">
        <v>-35.3631166</v>
      </c>
      <c r="N97" s="11">
        <v>149.1639735</v>
      </c>
      <c r="O97" s="9">
        <v>-0.5</v>
      </c>
      <c r="P97" s="9">
        <v>115.7</v>
      </c>
      <c r="Q97" s="9">
        <v>115.6</v>
      </c>
      <c r="R97" s="9">
        <f>(G97-$G$5)*86400</f>
        <v>92.0</v>
      </c>
      <c r="S97" s="9">
        <f>IF(I97&gt;=0.99*$B$6,R97,"")</f>
        <v/>
      </c>
      <c r="T97" s="9">
        <f>IF(AND(J97&gt;=0.5,I97&gt;=0.95*$B$6),R97,"")</f>
        <v/>
      </c>
      <c r="U97" s="12" t="str">
        <f>IF(R97&lt;=$B$15,"Зліт",IF(R97&lt;$B$16,"Перехід",IF(R97&lt;$B$17,"Горизонтальний політ","Посадка")))</f>
        <v>Посадка</v>
      </c>
    </row>
    <row r="98" spans="6:21">
      <c r="F98" s="6">
        <v>118</v>
      </c>
      <c r="G98" s="7">
        <v>46316.90524702546</v>
      </c>
      <c r="H98" s="8">
        <v>0.001064814814814815</v>
      </c>
      <c r="I98" s="9">
        <v>9.5</v>
      </c>
      <c r="J98" s="9">
        <v>0</v>
      </c>
      <c r="K98" s="9">
        <v>0</v>
      </c>
      <c r="L98" s="10">
        <v>0.3</v>
      </c>
      <c r="M98" s="11">
        <v>-35.3631166</v>
      </c>
      <c r="N98" s="11">
        <v>149.1639735</v>
      </c>
      <c r="O98" s="9">
        <v>-0.5</v>
      </c>
      <c r="P98" s="9">
        <v>115.7</v>
      </c>
      <c r="Q98" s="9">
        <v>115.6</v>
      </c>
      <c r="R98" s="9">
        <f>(G98-$G$5)*86400</f>
        <v>93.0</v>
      </c>
      <c r="S98" s="9">
        <f>IF(I98&gt;=0.99*$B$6,R98,"")</f>
        <v/>
      </c>
      <c r="T98" s="9">
        <f>IF(AND(J98&gt;=0.5,I98&gt;=0.95*$B$6),R98,"")</f>
        <v/>
      </c>
      <c r="U98" s="12" t="str">
        <f>IF(R98&lt;=$B$15,"Зліт",IF(R98&lt;$B$16,"Перехід",IF(R98&lt;$B$17,"Горизонтальний політ","Посадка")))</f>
        <v>Посадка</v>
      </c>
    </row>
    <row r="99" spans="6:21">
      <c r="F99" s="6">
        <v>119</v>
      </c>
      <c r="G99" s="7">
        <v>46316.90525858796</v>
      </c>
      <c r="H99" s="8">
        <v>0.001076388888888889</v>
      </c>
      <c r="I99" s="9">
        <v>9</v>
      </c>
      <c r="J99" s="9">
        <v>0</v>
      </c>
      <c r="K99" s="9">
        <v>0</v>
      </c>
      <c r="L99" s="10">
        <v>-0.2</v>
      </c>
      <c r="M99" s="11">
        <v>-35.3631166</v>
      </c>
      <c r="N99" s="11">
        <v>149.1639735</v>
      </c>
      <c r="O99" s="9">
        <v>-0.5</v>
      </c>
      <c r="P99" s="9">
        <v>115.7</v>
      </c>
      <c r="Q99" s="9">
        <v>115.6</v>
      </c>
      <c r="R99" s="9">
        <f>(G99-$G$5)*86400</f>
        <v>93.999</v>
      </c>
      <c r="S99" s="9">
        <f>IF(I99&gt;=0.99*$B$6,R99,"")</f>
        <v/>
      </c>
      <c r="T99" s="9">
        <f>IF(AND(J99&gt;=0.5,I99&gt;=0.95*$B$6),R99,"")</f>
        <v/>
      </c>
      <c r="U99" s="12" t="str">
        <f>IF(R99&lt;=$B$15,"Зліт",IF(R99&lt;$B$16,"Перехід",IF(R99&lt;$B$17,"Горизонтальний політ","Посадка")))</f>
        <v>Посадка</v>
      </c>
    </row>
    <row r="100" spans="6:21">
      <c r="F100" s="6">
        <v>120</v>
      </c>
      <c r="G100" s="7">
        <v>46316.90527017361</v>
      </c>
      <c r="H100" s="8">
        <v>0.001087962962962963</v>
      </c>
      <c r="I100" s="9">
        <v>8.6</v>
      </c>
      <c r="J100" s="9">
        <v>0</v>
      </c>
      <c r="K100" s="9">
        <v>0</v>
      </c>
      <c r="L100" s="10">
        <v>0.1</v>
      </c>
      <c r="M100" s="11">
        <v>-35.3631166</v>
      </c>
      <c r="N100" s="11">
        <v>149.1639735</v>
      </c>
      <c r="O100" s="9">
        <v>-0.5</v>
      </c>
      <c r="P100" s="9">
        <v>115.7</v>
      </c>
      <c r="Q100" s="9">
        <v>115.6</v>
      </c>
      <c r="R100" s="9">
        <f>(G100-$G$5)*86400</f>
        <v>95.0</v>
      </c>
      <c r="S100" s="9">
        <f>IF(I100&gt;=0.99*$B$6,R100,"")</f>
        <v/>
      </c>
      <c r="T100" s="9">
        <f>IF(AND(J100&gt;=0.5,I100&gt;=0.95*$B$6),R100,"")</f>
        <v/>
      </c>
      <c r="U100" s="12" t="str">
        <f>IF(R100&lt;=$B$15,"Зліт",IF(R100&lt;$B$16,"Перехід",IF(R100&lt;$B$17,"Горизонтальний політ","Посадка")))</f>
        <v>Посадка</v>
      </c>
    </row>
    <row r="101" spans="6:21">
      <c r="F101" s="6">
        <v>121</v>
      </c>
      <c r="G101" s="7">
        <v>46316.90528174768</v>
      </c>
      <c r="H101" s="8">
        <v>0.001099537037037037</v>
      </c>
      <c r="I101" s="9">
        <v>8.1</v>
      </c>
      <c r="J101" s="9">
        <v>0</v>
      </c>
      <c r="K101" s="9">
        <v>0</v>
      </c>
      <c r="L101" s="10">
        <v>-0.4</v>
      </c>
      <c r="M101" s="11">
        <v>-35.3631166</v>
      </c>
      <c r="N101" s="11">
        <v>149.1639735</v>
      </c>
      <c r="O101" s="9">
        <v>-0.5</v>
      </c>
      <c r="P101" s="9">
        <v>115.7</v>
      </c>
      <c r="Q101" s="9">
        <v>115.6</v>
      </c>
      <c r="R101" s="9">
        <f>(G101-$G$5)*86400</f>
        <v>96.0</v>
      </c>
      <c r="S101" s="9">
        <f>IF(I101&gt;=0.99*$B$6,R101,"")</f>
        <v/>
      </c>
      <c r="T101" s="9">
        <f>IF(AND(J101&gt;=0.5,I101&gt;=0.95*$B$6),R101,"")</f>
        <v/>
      </c>
      <c r="U101" s="12" t="str">
        <f>IF(R101&lt;=$B$15,"Зліт",IF(R101&lt;$B$16,"Перехід",IF(R101&lt;$B$17,"Горизонтальний політ","Посадка")))</f>
        <v>Посадка</v>
      </c>
    </row>
    <row r="102" spans="6:21">
      <c r="F102" s="6">
        <v>122</v>
      </c>
      <c r="G102" s="7">
        <v>46316.90529331018</v>
      </c>
      <c r="H102" s="8">
        <v>0.001111111111111111</v>
      </c>
      <c r="I102" s="9">
        <v>7.6</v>
      </c>
      <c r="J102" s="9">
        <v>0</v>
      </c>
      <c r="K102" s="9">
        <v>0</v>
      </c>
      <c r="L102" s="10">
        <v>-0.1</v>
      </c>
      <c r="M102" s="11">
        <v>-35.3631166</v>
      </c>
      <c r="N102" s="11">
        <v>149.1639735</v>
      </c>
      <c r="O102" s="9">
        <v>-0.5</v>
      </c>
      <c r="P102" s="9">
        <v>115.7</v>
      </c>
      <c r="Q102" s="9">
        <v>115.6</v>
      </c>
      <c r="R102" s="9">
        <f>(G102-$G$5)*86400</f>
        <v>96.999</v>
      </c>
      <c r="S102" s="9">
        <f>IF(I102&gt;=0.99*$B$6,R102,"")</f>
        <v/>
      </c>
      <c r="T102" s="9">
        <f>IF(AND(J102&gt;=0.5,I102&gt;=0.95*$B$6),R102,"")</f>
        <v/>
      </c>
      <c r="U102" s="12" t="str">
        <f>IF(R102&lt;=$B$15,"Зліт",IF(R102&lt;$B$16,"Перехід",IF(R102&lt;$B$17,"Горизонтальний політ","Посадка")))</f>
        <v>Посадка</v>
      </c>
    </row>
    <row r="103" spans="6:21">
      <c r="F103" s="6">
        <v>123</v>
      </c>
      <c r="G103" s="7">
        <v>46316.90530489583</v>
      </c>
      <c r="H103" s="8">
        <v>0.001122685185185185</v>
      </c>
      <c r="I103" s="9">
        <v>7.1</v>
      </c>
      <c r="J103" s="9">
        <v>0</v>
      </c>
      <c r="K103" s="9">
        <v>0</v>
      </c>
      <c r="L103" s="10">
        <v>0.3</v>
      </c>
      <c r="M103" s="11">
        <v>-35.3631166</v>
      </c>
      <c r="N103" s="11">
        <v>149.1639735</v>
      </c>
      <c r="O103" s="9">
        <v>-0.5</v>
      </c>
      <c r="P103" s="9">
        <v>115.7</v>
      </c>
      <c r="Q103" s="9">
        <v>115.6</v>
      </c>
      <c r="R103" s="9">
        <f>(G103-$G$5)*86400</f>
        <v>98.0</v>
      </c>
      <c r="S103" s="9">
        <f>IF(I103&gt;=0.99*$B$6,R103,"")</f>
        <v/>
      </c>
      <c r="T103" s="9">
        <f>IF(AND(J103&gt;=0.5,I103&gt;=0.95*$B$6),R103,"")</f>
        <v/>
      </c>
      <c r="U103" s="12" t="str">
        <f>IF(R103&lt;=$B$15,"Зліт",IF(R103&lt;$B$16,"Перехід",IF(R103&lt;$B$17,"Горизонтальний політ","Посадка")))</f>
        <v>Посадка</v>
      </c>
    </row>
    <row r="104" spans="6:21">
      <c r="F104" s="6">
        <v>124</v>
      </c>
      <c r="G104" s="7">
        <v>46316.90531646991</v>
      </c>
      <c r="H104" s="8">
        <v>0.001134259259259259</v>
      </c>
      <c r="I104" s="9">
        <v>6.6</v>
      </c>
      <c r="J104" s="9">
        <v>0</v>
      </c>
      <c r="K104" s="9">
        <v>0</v>
      </c>
      <c r="L104" s="10">
        <v>0.3</v>
      </c>
      <c r="M104" s="11">
        <v>-35.3631166</v>
      </c>
      <c r="N104" s="11">
        <v>149.1639735</v>
      </c>
      <c r="O104" s="9">
        <v>-0.5</v>
      </c>
      <c r="P104" s="9">
        <v>115.7</v>
      </c>
      <c r="Q104" s="9">
        <v>115.6</v>
      </c>
      <c r="R104" s="9">
        <f>(G104-$G$5)*86400</f>
        <v>99.0</v>
      </c>
      <c r="S104" s="9">
        <f>IF(I104&gt;=0.99*$B$6,R104,"")</f>
        <v/>
      </c>
      <c r="T104" s="9">
        <f>IF(AND(J104&gt;=0.5,I104&gt;=0.95*$B$6),R104,"")</f>
        <v/>
      </c>
      <c r="U104" s="12" t="str">
        <f>IF(R104&lt;=$B$15,"Зліт",IF(R104&lt;$B$16,"Перехід",IF(R104&lt;$B$17,"Горизонтальний політ","Посадка")))</f>
        <v>Посадка</v>
      </c>
    </row>
    <row r="105" spans="6:21">
      <c r="F105" s="6">
        <v>125</v>
      </c>
      <c r="G105" s="7">
        <v>46316.90532804398</v>
      </c>
      <c r="H105" s="8">
        <v>0.001145833333333333</v>
      </c>
      <c r="I105" s="9">
        <v>6.1</v>
      </c>
      <c r="J105" s="9">
        <v>0</v>
      </c>
      <c r="K105" s="9">
        <v>0</v>
      </c>
      <c r="L105" s="10">
        <v>-0.3</v>
      </c>
      <c r="M105" s="11">
        <v>-35.3631166</v>
      </c>
      <c r="N105" s="11">
        <v>149.1639735</v>
      </c>
      <c r="O105" s="9">
        <v>-0.5</v>
      </c>
      <c r="P105" s="9">
        <v>115.7</v>
      </c>
      <c r="Q105" s="9">
        <v>115.6</v>
      </c>
      <c r="R105" s="9">
        <f>(G105-$G$5)*86400</f>
        <v>100.0</v>
      </c>
      <c r="S105" s="9">
        <f>IF(I105&gt;=0.99*$B$6,R105,"")</f>
        <v/>
      </c>
      <c r="T105" s="9">
        <f>IF(AND(J105&gt;=0.5,I105&gt;=0.95*$B$6),R105,"")</f>
        <v/>
      </c>
      <c r="U105" s="12" t="str">
        <f>IF(R105&lt;=$B$15,"Зліт",IF(R105&lt;$B$16,"Перехід",IF(R105&lt;$B$17,"Горизонтальний політ","Посадка")))</f>
        <v>Посадка</v>
      </c>
    </row>
    <row r="106" spans="6:21">
      <c r="F106" s="6">
        <v>126</v>
      </c>
      <c r="G106" s="7">
        <v>46316.90533961805</v>
      </c>
      <c r="H106" s="8">
        <v>0.001157407407407407</v>
      </c>
      <c r="I106" s="9">
        <v>5.6</v>
      </c>
      <c r="J106" s="9">
        <v>0</v>
      </c>
      <c r="K106" s="9">
        <v>0</v>
      </c>
      <c r="L106" s="10">
        <v>-0.4</v>
      </c>
      <c r="M106" s="11">
        <v>-35.3631166</v>
      </c>
      <c r="N106" s="11">
        <v>149.1639735</v>
      </c>
      <c r="O106" s="9">
        <v>-0.5</v>
      </c>
      <c r="P106" s="9">
        <v>115.7</v>
      </c>
      <c r="Q106" s="9">
        <v>115.6</v>
      </c>
      <c r="R106" s="9">
        <f>(G106-$G$5)*86400</f>
        <v>101.0</v>
      </c>
      <c r="S106" s="9">
        <f>IF(I106&gt;=0.99*$B$6,R106,"")</f>
        <v/>
      </c>
      <c r="T106" s="9">
        <f>IF(AND(J106&gt;=0.5,I106&gt;=0.95*$B$6),R106,"")</f>
        <v/>
      </c>
      <c r="U106" s="12" t="str">
        <f>IF(R106&lt;=$B$15,"Зліт",IF(R106&lt;$B$16,"Перехід",IF(R106&lt;$B$17,"Горизонтальний політ","Посадка")))</f>
        <v>Посадка</v>
      </c>
    </row>
    <row r="107" spans="6:21">
      <c r="F107" s="6">
        <v>127</v>
      </c>
      <c r="G107" s="7">
        <v>46316.90535119213</v>
      </c>
      <c r="H107" s="8">
        <v>0.001168981481481482</v>
      </c>
      <c r="I107" s="9">
        <v>5.1</v>
      </c>
      <c r="J107" s="9">
        <v>0</v>
      </c>
      <c r="K107" s="9">
        <v>0</v>
      </c>
      <c r="L107" s="10">
        <v>0.2</v>
      </c>
      <c r="M107" s="11">
        <v>-35.3631166</v>
      </c>
      <c r="N107" s="11">
        <v>149.1639735</v>
      </c>
      <c r="O107" s="9">
        <v>-0.5</v>
      </c>
      <c r="P107" s="9">
        <v>115.7</v>
      </c>
      <c r="Q107" s="9">
        <v>115.6</v>
      </c>
      <c r="R107" s="9">
        <f>(G107-$G$5)*86400</f>
        <v>102.0</v>
      </c>
      <c r="S107" s="9">
        <f>IF(I107&gt;=0.99*$B$6,R107,"")</f>
        <v/>
      </c>
      <c r="T107" s="9">
        <f>IF(AND(J107&gt;=0.5,I107&gt;=0.95*$B$6),R107,"")</f>
        <v/>
      </c>
      <c r="U107" s="12" t="str">
        <f>IF(R107&lt;=$B$15,"Зліт",IF(R107&lt;$B$16,"Перехід",IF(R107&lt;$B$17,"Горизонтальний політ","Посадка")))</f>
        <v>Посадка</v>
      </c>
    </row>
    <row r="108" spans="6:21">
      <c r="F108" s="6">
        <v>128</v>
      </c>
      <c r="G108" s="7">
        <v>46316.90536276621</v>
      </c>
      <c r="H108" s="8">
        <v>0.001180555555555556</v>
      </c>
      <c r="I108" s="9">
        <v>4.6</v>
      </c>
      <c r="J108" s="9">
        <v>0</v>
      </c>
      <c r="K108" s="9">
        <v>0</v>
      </c>
      <c r="L108" s="10">
        <v>0.4</v>
      </c>
      <c r="M108" s="11">
        <v>-35.3631166</v>
      </c>
      <c r="N108" s="11">
        <v>149.1639735</v>
      </c>
      <c r="O108" s="9">
        <v>-0.5</v>
      </c>
      <c r="P108" s="9">
        <v>115.7</v>
      </c>
      <c r="Q108" s="9">
        <v>115.6</v>
      </c>
      <c r="R108" s="9">
        <f>(G108-$G$5)*86400</f>
        <v>103.0</v>
      </c>
      <c r="S108" s="9">
        <f>IF(I108&gt;=0.99*$B$6,R108,"")</f>
        <v/>
      </c>
      <c r="T108" s="9">
        <f>IF(AND(J108&gt;=0.5,I108&gt;=0.95*$B$6),R108,"")</f>
        <v/>
      </c>
      <c r="U108" s="12" t="str">
        <f>IF(R108&lt;=$B$15,"Зліт",IF(R108&lt;$B$16,"Перехід",IF(R108&lt;$B$17,"Горизонтальний політ","Посадка")))</f>
        <v>Посадка</v>
      </c>
    </row>
    <row r="109" spans="6:21">
      <c r="F109" s="6">
        <v>129</v>
      </c>
      <c r="G109" s="7">
        <v>46316.90537434028</v>
      </c>
      <c r="H109" s="8">
        <v>0.00119212962962963</v>
      </c>
      <c r="I109" s="9">
        <v>4.1</v>
      </c>
      <c r="J109" s="9">
        <v>0</v>
      </c>
      <c r="K109" s="9">
        <v>0</v>
      </c>
      <c r="L109" s="10">
        <v>0</v>
      </c>
      <c r="M109" s="11">
        <v>-35.3631166</v>
      </c>
      <c r="N109" s="11">
        <v>149.1639735</v>
      </c>
      <c r="O109" s="9">
        <v>-0.5</v>
      </c>
      <c r="P109" s="9">
        <v>115.7</v>
      </c>
      <c r="Q109" s="9">
        <v>115.6</v>
      </c>
      <c r="R109" s="9">
        <f>(G109-$G$5)*86400</f>
        <v>104.0</v>
      </c>
      <c r="S109" s="9">
        <f>IF(I109&gt;=0.99*$B$6,R109,"")</f>
        <v/>
      </c>
      <c r="T109" s="9">
        <f>IF(AND(J109&gt;=0.5,I109&gt;=0.95*$B$6),R109,"")</f>
        <v/>
      </c>
      <c r="U109" s="12" t="str">
        <f>IF(R109&lt;=$B$15,"Зліт",IF(R109&lt;$B$16,"Перехід",IF(R109&lt;$B$17,"Горизонтальний політ","Посадка")))</f>
        <v>Посадка</v>
      </c>
    </row>
    <row r="110" spans="6:21">
      <c r="F110" s="6">
        <v>130</v>
      </c>
      <c r="G110" s="7">
        <v>46316.90538590278</v>
      </c>
      <c r="H110" s="8">
        <v>0.001203703703703704</v>
      </c>
      <c r="I110" s="9">
        <v>3.6</v>
      </c>
      <c r="J110" s="9">
        <v>0</v>
      </c>
      <c r="K110" s="9">
        <v>0</v>
      </c>
      <c r="L110" s="10">
        <v>-0.4</v>
      </c>
      <c r="M110" s="11">
        <v>-35.3631166</v>
      </c>
      <c r="N110" s="11">
        <v>149.1639735</v>
      </c>
      <c r="O110" s="9">
        <v>-0.5</v>
      </c>
      <c r="P110" s="9">
        <v>115.7</v>
      </c>
      <c r="Q110" s="9">
        <v>115.6</v>
      </c>
      <c r="R110" s="9">
        <f>(G110-$G$5)*86400</f>
        <v>104.999</v>
      </c>
      <c r="S110" s="9">
        <f>IF(I110&gt;=0.99*$B$6,R110,"")</f>
        <v/>
      </c>
      <c r="T110" s="9">
        <f>IF(AND(J110&gt;=0.5,I110&gt;=0.95*$B$6),R110,"")</f>
        <v/>
      </c>
      <c r="U110" s="12" t="str">
        <f>IF(R110&lt;=$B$15,"Зліт",IF(R110&lt;$B$16,"Перехід",IF(R110&lt;$B$17,"Горизонтальний політ","Посадка")))</f>
        <v>Посадка</v>
      </c>
    </row>
    <row r="111" spans="6:21">
      <c r="F111" s="6">
        <v>131</v>
      </c>
      <c r="G111" s="7">
        <v>46316.90539748842</v>
      </c>
      <c r="H111" s="8">
        <v>0.001215277777777778</v>
      </c>
      <c r="I111" s="9">
        <v>3.1</v>
      </c>
      <c r="J111" s="9">
        <v>0</v>
      </c>
      <c r="K111" s="9">
        <v>0</v>
      </c>
      <c r="L111" s="10">
        <v>0</v>
      </c>
      <c r="M111" s="11">
        <v>-35.3631166</v>
      </c>
      <c r="N111" s="11">
        <v>149.1639735</v>
      </c>
      <c r="O111" s="9">
        <v>-0.5</v>
      </c>
      <c r="P111" s="9">
        <v>115.7</v>
      </c>
      <c r="Q111" s="9">
        <v>115.6</v>
      </c>
      <c r="R111" s="9">
        <f>(G111-$G$5)*86400</f>
        <v>106.0</v>
      </c>
      <c r="S111" s="9">
        <f>IF(I111&gt;=0.99*$B$6,R111,"")</f>
        <v/>
      </c>
      <c r="T111" s="9">
        <f>IF(AND(J111&gt;=0.5,I111&gt;=0.95*$B$6),R111,"")</f>
        <v/>
      </c>
      <c r="U111" s="12" t="str">
        <f>IF(R111&lt;=$B$15,"Зліт",IF(R111&lt;$B$16,"Перехід",IF(R111&lt;$B$17,"Горизонтальний політ","Посадка")))</f>
        <v>Посадка</v>
      </c>
    </row>
    <row r="112" spans="6:21">
      <c r="F112" s="6">
        <v>132</v>
      </c>
      <c r="G112" s="7">
        <v>46316.9054090625</v>
      </c>
      <c r="H112" s="8">
        <v>0.001226851851851852</v>
      </c>
      <c r="I112" s="9">
        <v>2.6</v>
      </c>
      <c r="J112" s="9">
        <v>0</v>
      </c>
      <c r="K112" s="9">
        <v>0</v>
      </c>
      <c r="L112" s="10">
        <v>0.4</v>
      </c>
      <c r="M112" s="11">
        <v>-35.3631166</v>
      </c>
      <c r="N112" s="11">
        <v>149.1639735</v>
      </c>
      <c r="O112" s="9">
        <v>-0.5</v>
      </c>
      <c r="P112" s="9">
        <v>115.7</v>
      </c>
      <c r="Q112" s="9">
        <v>115.6</v>
      </c>
      <c r="R112" s="9">
        <f>(G112-$G$5)*86400</f>
        <v>107.0</v>
      </c>
      <c r="S112" s="9">
        <f>IF(I112&gt;=0.99*$B$6,R112,"")</f>
        <v/>
      </c>
      <c r="T112" s="9">
        <f>IF(AND(J112&gt;=0.5,I112&gt;=0.95*$B$6),R112,"")</f>
        <v/>
      </c>
      <c r="U112" s="12" t="str">
        <f>IF(R112&lt;=$B$15,"Зліт",IF(R112&lt;$B$16,"Перехід",IF(R112&lt;$B$17,"Горизонтальний політ","Посадка")))</f>
        <v>Посадка</v>
      </c>
    </row>
    <row r="113" spans="6:21">
      <c r="F113" s="6">
        <v>133</v>
      </c>
      <c r="G113" s="7">
        <v>46316.90542063658</v>
      </c>
      <c r="H113" s="8">
        <v>0.001238425925925926</v>
      </c>
      <c r="I113" s="9">
        <v>2.1</v>
      </c>
      <c r="J113" s="9">
        <v>0</v>
      </c>
      <c r="K113" s="9">
        <v>0</v>
      </c>
      <c r="L113" s="10">
        <v>0.1</v>
      </c>
      <c r="M113" s="11">
        <v>-35.3631166</v>
      </c>
      <c r="N113" s="11">
        <v>149.1639735</v>
      </c>
      <c r="O113" s="9">
        <v>-0.5</v>
      </c>
      <c r="P113" s="9">
        <v>115.7</v>
      </c>
      <c r="Q113" s="9">
        <v>115.6</v>
      </c>
      <c r="R113" s="9">
        <f>(G113-$G$5)*86400</f>
        <v>108.0</v>
      </c>
      <c r="S113" s="9">
        <f>IF(I113&gt;=0.99*$B$6,R113,"")</f>
        <v/>
      </c>
      <c r="T113" s="9">
        <f>IF(AND(J113&gt;=0.5,I113&gt;=0.95*$B$6),R113,"")</f>
        <v/>
      </c>
      <c r="U113" s="12" t="str">
        <f>IF(R113&lt;=$B$15,"Зліт",IF(R113&lt;$B$16,"Перехід",IF(R113&lt;$B$17,"Горизонтальний політ","Посадка")))</f>
        <v>Посадка</v>
      </c>
    </row>
    <row r="114" spans="6:21">
      <c r="F114" s="6">
        <v>134</v>
      </c>
      <c r="G114" s="7">
        <v>46316.90543221065</v>
      </c>
      <c r="H114" s="8">
        <v>0.00125</v>
      </c>
      <c r="I114" s="9">
        <v>1.6</v>
      </c>
      <c r="J114" s="9">
        <v>0</v>
      </c>
      <c r="K114" s="9">
        <v>0</v>
      </c>
      <c r="L114" s="10">
        <v>-0.4</v>
      </c>
      <c r="M114" s="11">
        <v>-35.3631166</v>
      </c>
      <c r="N114" s="11">
        <v>149.1639735</v>
      </c>
      <c r="O114" s="9">
        <v>-0.5</v>
      </c>
      <c r="P114" s="9">
        <v>115.7</v>
      </c>
      <c r="Q114" s="9">
        <v>115.6</v>
      </c>
      <c r="R114" s="9">
        <f>(G114-$G$5)*86400</f>
        <v>109.0</v>
      </c>
      <c r="S114" s="9">
        <f>IF(I114&gt;=0.99*$B$6,R114,"")</f>
        <v/>
      </c>
      <c r="T114" s="9">
        <f>IF(AND(J114&gt;=0.5,I114&gt;=0.95*$B$6),R114,"")</f>
        <v/>
      </c>
      <c r="U114" s="12" t="str">
        <f>IF(R114&lt;=$B$15,"Зліт",IF(R114&lt;$B$16,"Перехід",IF(R114&lt;$B$17,"Горизонтальний політ","Посадка")))</f>
        <v>Посадка</v>
      </c>
    </row>
    <row r="115" spans="6:21">
      <c r="F115" s="6">
        <v>135</v>
      </c>
      <c r="G115" s="7">
        <v>46316.90544378472</v>
      </c>
      <c r="H115" s="8">
        <v>0.001261574074074074</v>
      </c>
      <c r="I115" s="9">
        <v>1.1</v>
      </c>
      <c r="J115" s="9">
        <v>0</v>
      </c>
      <c r="K115" s="9">
        <v>0</v>
      </c>
      <c r="L115" s="10">
        <v>-0.1</v>
      </c>
      <c r="M115" s="11">
        <v>-35.3631166</v>
      </c>
      <c r="N115" s="11">
        <v>149.1639735</v>
      </c>
      <c r="O115" s="9">
        <v>-0.5</v>
      </c>
      <c r="P115" s="9">
        <v>115.7</v>
      </c>
      <c r="Q115" s="9">
        <v>115.6</v>
      </c>
      <c r="R115" s="9">
        <f>(G115-$G$5)*86400</f>
        <v>110.0</v>
      </c>
      <c r="S115" s="9">
        <f>IF(I115&gt;=0.99*$B$6,R115,"")</f>
        <v/>
      </c>
      <c r="T115" s="9">
        <f>IF(AND(J115&gt;=0.5,I115&gt;=0.95*$B$6),R115,"")</f>
        <v/>
      </c>
      <c r="U115" s="12" t="str">
        <f>IF(R115&lt;=$B$15,"Зліт",IF(R115&lt;$B$16,"Перехід",IF(R115&lt;$B$17,"Горизонтальний політ","Посадка")))</f>
        <v>Посадка</v>
      </c>
    </row>
    <row r="116" spans="6:21">
      <c r="F116" s="6">
        <v>136</v>
      </c>
      <c r="G116" s="7">
        <v>46316.90545534722</v>
      </c>
      <c r="H116" s="8">
        <v>0.001273148148148148</v>
      </c>
      <c r="I116" s="9">
        <v>0.6</v>
      </c>
      <c r="J116" s="9">
        <v>0</v>
      </c>
      <c r="K116" s="9">
        <v>0</v>
      </c>
      <c r="L116" s="10">
        <v>0.4</v>
      </c>
      <c r="M116" s="11">
        <v>-35.3631166</v>
      </c>
      <c r="N116" s="11">
        <v>149.1639735</v>
      </c>
      <c r="O116" s="9">
        <v>-0.5</v>
      </c>
      <c r="P116" s="9">
        <v>115.7</v>
      </c>
      <c r="Q116" s="9">
        <v>115.6</v>
      </c>
      <c r="R116" s="9">
        <f>(G116-$G$5)*86400</f>
        <v>110.999</v>
      </c>
      <c r="S116" s="9">
        <f>IF(I116&gt;=0.99*$B$6,R116,"")</f>
        <v/>
      </c>
      <c r="T116" s="9">
        <f>IF(AND(J116&gt;=0.5,I116&gt;=0.95*$B$6),R116,"")</f>
        <v/>
      </c>
      <c r="U116" s="12" t="str">
        <f>IF(R116&lt;=$B$15,"Зліт",IF(R116&lt;$B$16,"Перехід",IF(R116&lt;$B$17,"Горизонтальний політ","Посадка")))</f>
        <v>Посадка</v>
      </c>
    </row>
    <row r="117" spans="6:21">
      <c r="F117" s="6">
        <v>137</v>
      </c>
      <c r="G117" s="7">
        <v>46316.90546693287</v>
      </c>
      <c r="H117" s="8">
        <v>0.001284722222222222</v>
      </c>
      <c r="I117" s="9">
        <v>0.1</v>
      </c>
      <c r="J117" s="9">
        <v>0</v>
      </c>
      <c r="K117" s="9">
        <v>0</v>
      </c>
      <c r="L117" s="10">
        <v>0.2</v>
      </c>
      <c r="M117" s="11">
        <v>-35.3631166</v>
      </c>
      <c r="N117" s="11">
        <v>149.1639735</v>
      </c>
      <c r="O117" s="9">
        <v>-0.5</v>
      </c>
      <c r="P117" s="9">
        <v>115.7</v>
      </c>
      <c r="Q117" s="9">
        <v>115.6</v>
      </c>
      <c r="R117" s="9">
        <f>(G117-$G$5)*86400</f>
        <v>112.0</v>
      </c>
      <c r="S117" s="9">
        <f>IF(I117&gt;=0.99*$B$6,R117,"")</f>
        <v/>
      </c>
      <c r="T117" s="9">
        <f>IF(AND(J117&gt;=0.5,I117&gt;=0.95*$B$6),R117,"")</f>
        <v/>
      </c>
      <c r="U117" s="12" t="str">
        <f>IF(R117&lt;=$B$15,"Зліт",IF(R117&lt;$B$16,"Перехід",IF(R117&lt;$B$17,"Горизонтальний політ","Посадка")))</f>
        <v>Посадка</v>
      </c>
    </row>
    <row r="118" spans="6:21">
      <c r="F118" s="6">
        <v>138</v>
      </c>
      <c r="G118" s="7">
        <v>46316.90547850695</v>
      </c>
      <c r="H118" s="8">
        <v>0.001296296296296296</v>
      </c>
      <c r="I118" s="9">
        <v>0</v>
      </c>
      <c r="J118" s="9">
        <v>0</v>
      </c>
      <c r="K118" s="9">
        <v>0</v>
      </c>
      <c r="L118" s="10">
        <v>0</v>
      </c>
      <c r="M118" s="11">
        <v>-35.3631166</v>
      </c>
      <c r="N118" s="11">
        <v>149.1639735</v>
      </c>
      <c r="O118" s="9">
        <v>0</v>
      </c>
      <c r="P118" s="9">
        <v>115.7</v>
      </c>
      <c r="Q118" s="9">
        <v>115.6</v>
      </c>
      <c r="R118" s="9">
        <f>(G118-$G$5)*86400</f>
        <v>113.0</v>
      </c>
      <c r="S118" s="9">
        <f>IF(I118&gt;=0.99*$B$6,R118,"")</f>
        <v/>
      </c>
      <c r="T118" s="9">
        <f>IF(AND(J118&gt;=0.5,I118&gt;=0.95*$B$6),R118,"")</f>
        <v/>
      </c>
      <c r="U118" s="12" t="str">
        <f>IF(R118&lt;=$B$15,"Зліт",IF(R118&lt;$B$16,"Перехід",IF(R118&lt;$B$17,"Горизонтальний політ","Посадка")))</f>
        <v>Посадка</v>
      </c>
    </row>
    <row r="119" spans="6:21">
      <c r="F119" s="6">
        <v>139</v>
      </c>
      <c r="G119" s="7">
        <v>46316.90549008102</v>
      </c>
      <c r="H119" s="8">
        <v>0.00130787037037037</v>
      </c>
      <c r="I119" s="9">
        <v>0</v>
      </c>
      <c r="J119" s="9">
        <v>0</v>
      </c>
      <c r="K119" s="9">
        <v>0</v>
      </c>
      <c r="L119" s="10">
        <v>0</v>
      </c>
      <c r="M119" s="11">
        <v>-35.3631166</v>
      </c>
      <c r="N119" s="11">
        <v>149.1639735</v>
      </c>
      <c r="O119" s="9">
        <v>0</v>
      </c>
      <c r="P119" s="9">
        <v>115.7</v>
      </c>
      <c r="Q119" s="9">
        <v>115.6</v>
      </c>
      <c r="R119" s="9">
        <f>(G119-$G$5)*86400</f>
        <v>114.0</v>
      </c>
      <c r="S119" s="9">
        <f>IF(I119&gt;=0.99*$B$6,R119,"")</f>
        <v/>
      </c>
      <c r="T119" s="9">
        <f>IF(AND(J119&gt;=0.5,I119&gt;=0.95*$B$6),R119,"")</f>
        <v/>
      </c>
      <c r="U119" s="12" t="str">
        <f>IF(R119&lt;=$B$15,"Зліт",IF(R119&lt;$B$16,"Перехід",IF(R119&lt;$B$17,"Горизонтальний політ","Посадка")))</f>
        <v>Посадка</v>
      </c>
    </row>
    <row r="120" spans="6:21">
      <c r="F120" s="6">
        <v>140</v>
      </c>
      <c r="G120" s="7">
        <v>46316.90550165509</v>
      </c>
      <c r="H120" s="8">
        <v>0.001319444444444444</v>
      </c>
      <c r="I120" s="9">
        <v>0</v>
      </c>
      <c r="J120" s="9">
        <v>0</v>
      </c>
      <c r="K120" s="9">
        <v>0</v>
      </c>
      <c r="L120" s="10">
        <v>0</v>
      </c>
      <c r="M120" s="11">
        <v>-35.3631166</v>
      </c>
      <c r="N120" s="11">
        <v>149.1639735</v>
      </c>
      <c r="O120" s="9">
        <v>0</v>
      </c>
      <c r="P120" s="9">
        <v>115.7</v>
      </c>
      <c r="Q120" s="9">
        <v>115.6</v>
      </c>
      <c r="R120" s="9">
        <f>(G120-$G$5)*86400</f>
        <v>115.0</v>
      </c>
      <c r="S120" s="9">
        <f>IF(I120&gt;=0.99*$B$6,R120,"")</f>
        <v/>
      </c>
      <c r="T120" s="9">
        <f>IF(AND(J120&gt;=0.5,I120&gt;=0.95*$B$6),R120,"")</f>
        <v/>
      </c>
      <c r="U120" s="12" t="str">
        <f>IF(R120&lt;=$B$15,"Зліт",IF(R120&lt;$B$16,"Перехід",IF(R120&lt;$B$17,"Горизонтальний політ","Посадка")))</f>
        <v>Посадка</v>
      </c>
    </row>
  </sheetData>
  <mergeCells count="5">
    <mergeCell ref="A4:D4"/>
    <mergeCell ref="A13:D13"/>
    <mergeCell ref="A20:D20"/>
    <mergeCell ref="A34:D34"/>
    <mergeCell ref="F3:U3"/>
  </mergeCells>
  <pageMargins left="0.7" right="0.7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showGridLines="0" workbookViewId="0"/>
  </sheetViews>
  <sheetFormatPr defaultRowHeight="15"/>
  <cols>
    <col min="1" max="1" width="130.7109375" customWidth="1"/>
  </cols>
  <sheetData>
    <row r="1" spans="1:1">
      <c r="A1" s="1" t="s">
        <v>862</v>
      </c>
    </row>
    <row r="3" spans="1:1">
      <c r="A3" s="16" t="s">
        <v>863</v>
      </c>
    </row>
    <row r="4" spans="1:1" ht="48" customHeight="1">
      <c r="A4" s="17" t="s">
        <v>864</v>
      </c>
    </row>
    <row r="6" spans="1:1">
      <c r="A6" s="16" t="s">
        <v>865</v>
      </c>
    </row>
    <row r="7" spans="1:1" ht="63" customHeight="1">
      <c r="A7" s="17" t="s">
        <v>866</v>
      </c>
    </row>
    <row r="9" spans="1:1">
      <c r="A9" s="16" t="s">
        <v>867</v>
      </c>
    </row>
    <row r="10" spans="1:1" ht="63" customHeight="1">
      <c r="A10" s="17" t="s">
        <v>868</v>
      </c>
    </row>
    <row r="12" spans="1:1">
      <c r="A12" s="16" t="s">
        <v>869</v>
      </c>
    </row>
    <row r="13" spans="1:1" ht="33" customHeight="1">
      <c r="A13" s="17" t="s">
        <v>870</v>
      </c>
    </row>
    <row r="15" spans="1:1">
      <c r="A15" s="16" t="s">
        <v>871</v>
      </c>
    </row>
    <row r="16" spans="1:1" ht="33" customHeight="1">
      <c r="A16" s="17" t="s">
        <v>872</v>
      </c>
    </row>
    <row r="18" spans="1:1">
      <c r="A18" s="16" t="s">
        <v>873</v>
      </c>
    </row>
    <row r="19" spans="1:1" ht="33" customHeight="1">
      <c r="A19" s="17" t="s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N4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</cols>
  <sheetData>
    <row r="1" spans="1:19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18" t="s">
        <v>93</v>
      </c>
      <c r="CQ1" s="18" t="s">
        <v>94</v>
      </c>
      <c r="CR1" s="18" t="s">
        <v>95</v>
      </c>
      <c r="CS1" s="18" t="s">
        <v>96</v>
      </c>
      <c r="CT1" s="18" t="s">
        <v>97</v>
      </c>
      <c r="CU1" s="18" t="s">
        <v>98</v>
      </c>
      <c r="CV1" s="18" t="s">
        <v>99</v>
      </c>
      <c r="CW1" s="18" t="s">
        <v>100</v>
      </c>
      <c r="CX1" s="18" t="s">
        <v>101</v>
      </c>
      <c r="CY1" s="18" t="s">
        <v>102</v>
      </c>
      <c r="CZ1" s="18" t="s">
        <v>103</v>
      </c>
      <c r="DA1" s="18" t="s">
        <v>104</v>
      </c>
      <c r="DB1" s="18" t="s">
        <v>105</v>
      </c>
      <c r="DC1" s="18" t="s">
        <v>106</v>
      </c>
      <c r="DD1" s="18" t="s">
        <v>107</v>
      </c>
      <c r="DE1" s="18" t="s">
        <v>108</v>
      </c>
      <c r="DF1" s="18" t="s">
        <v>109</v>
      </c>
      <c r="DG1" s="18" t="s">
        <v>110</v>
      </c>
      <c r="DH1" s="18" t="s">
        <v>111</v>
      </c>
      <c r="DI1" s="18" t="s">
        <v>112</v>
      </c>
      <c r="DJ1" s="18" t="s">
        <v>113</v>
      </c>
      <c r="DK1" s="18" t="s">
        <v>114</v>
      </c>
      <c r="DL1" s="18" t="s">
        <v>115</v>
      </c>
      <c r="DM1" s="18" t="s">
        <v>116</v>
      </c>
      <c r="DN1" s="18" t="s">
        <v>117</v>
      </c>
      <c r="DO1" s="18" t="s">
        <v>118</v>
      </c>
      <c r="DP1" s="18" t="s">
        <v>119</v>
      </c>
      <c r="DQ1" s="18" t="s">
        <v>120</v>
      </c>
      <c r="DR1" s="18" t="s">
        <v>121</v>
      </c>
      <c r="DS1" s="18" t="s">
        <v>122</v>
      </c>
      <c r="DT1" s="18" t="s">
        <v>123</v>
      </c>
      <c r="DU1" s="18" t="s">
        <v>124</v>
      </c>
      <c r="DV1" s="18" t="s">
        <v>125</v>
      </c>
      <c r="DW1" s="18" t="s">
        <v>126</v>
      </c>
      <c r="DX1" s="18" t="s">
        <v>127</v>
      </c>
      <c r="DY1" s="18" t="s">
        <v>128</v>
      </c>
      <c r="DZ1" s="18" t="s">
        <v>129</v>
      </c>
      <c r="EA1" s="18" t="s">
        <v>130</v>
      </c>
      <c r="EB1" s="18" t="s">
        <v>131</v>
      </c>
      <c r="EC1" s="18" t="s">
        <v>132</v>
      </c>
      <c r="ED1" s="18" t="s">
        <v>133</v>
      </c>
      <c r="EE1" s="18" t="s">
        <v>134</v>
      </c>
      <c r="EF1" s="18" t="s">
        <v>135</v>
      </c>
      <c r="EG1" s="18" t="s">
        <v>136</v>
      </c>
      <c r="EH1" s="18" t="s">
        <v>137</v>
      </c>
      <c r="EI1" s="18" t="s">
        <v>138</v>
      </c>
      <c r="EJ1" s="18" t="s">
        <v>139</v>
      </c>
      <c r="EK1" s="18" t="s">
        <v>140</v>
      </c>
      <c r="EL1" s="18" t="s">
        <v>141</v>
      </c>
      <c r="EM1" s="18" t="s">
        <v>142</v>
      </c>
      <c r="EN1" s="18" t="s">
        <v>143</v>
      </c>
      <c r="EO1" s="18" t="s">
        <v>144</v>
      </c>
      <c r="EP1" s="18" t="s">
        <v>145</v>
      </c>
      <c r="EQ1" s="18" t="s">
        <v>146</v>
      </c>
      <c r="ER1" s="18" t="s">
        <v>147</v>
      </c>
      <c r="ES1" s="18" t="s">
        <v>148</v>
      </c>
      <c r="ET1" s="18" t="s">
        <v>149</v>
      </c>
      <c r="EU1" s="18" t="s">
        <v>150</v>
      </c>
      <c r="EV1" s="18" t="s">
        <v>151</v>
      </c>
      <c r="EW1" s="18" t="s">
        <v>152</v>
      </c>
      <c r="EX1" s="18" t="s">
        <v>153</v>
      </c>
      <c r="EY1" s="18" t="s">
        <v>154</v>
      </c>
      <c r="EZ1" s="18" t="s">
        <v>155</v>
      </c>
      <c r="FA1" s="18" t="s">
        <v>156</v>
      </c>
      <c r="FB1" s="18" t="s">
        <v>157</v>
      </c>
      <c r="FC1" s="18" t="s">
        <v>158</v>
      </c>
      <c r="FD1" s="18" t="s">
        <v>159</v>
      </c>
      <c r="FE1" s="18" t="s">
        <v>160</v>
      </c>
      <c r="FF1" s="18" t="s">
        <v>161</v>
      </c>
      <c r="FG1" s="18" t="s">
        <v>162</v>
      </c>
      <c r="FH1" s="18" t="s">
        <v>163</v>
      </c>
      <c r="FI1" s="18" t="s">
        <v>164</v>
      </c>
      <c r="FJ1" s="18" t="s">
        <v>165</v>
      </c>
      <c r="FK1" s="18" t="s">
        <v>166</v>
      </c>
      <c r="FL1" s="18" t="s">
        <v>167</v>
      </c>
      <c r="FM1" s="18" t="s">
        <v>168</v>
      </c>
      <c r="FN1" s="18" t="s">
        <v>169</v>
      </c>
      <c r="FO1" s="18" t="s">
        <v>170</v>
      </c>
      <c r="FP1" s="18" t="s">
        <v>171</v>
      </c>
      <c r="FQ1" s="18" t="s">
        <v>172</v>
      </c>
      <c r="FR1" s="18" t="s">
        <v>173</v>
      </c>
      <c r="FS1" s="18" t="s">
        <v>174</v>
      </c>
      <c r="FT1" s="18" t="s">
        <v>175</v>
      </c>
      <c r="FU1" s="18" t="s">
        <v>176</v>
      </c>
      <c r="FV1" s="18" t="s">
        <v>177</v>
      </c>
      <c r="FW1" s="18" t="s">
        <v>178</v>
      </c>
      <c r="FX1" s="18" t="s">
        <v>179</v>
      </c>
      <c r="FY1" s="18" t="s">
        <v>180</v>
      </c>
      <c r="FZ1" s="18" t="s">
        <v>181</v>
      </c>
      <c r="GA1" s="18" t="s">
        <v>182</v>
      </c>
      <c r="GB1" s="18" t="s">
        <v>183</v>
      </c>
      <c r="GC1" s="18" t="s">
        <v>184</v>
      </c>
      <c r="GD1" s="18" t="s">
        <v>185</v>
      </c>
      <c r="GE1" s="18" t="s">
        <v>186</v>
      </c>
      <c r="GF1" s="18" t="s">
        <v>187</v>
      </c>
      <c r="GG1" s="18" t="s">
        <v>188</v>
      </c>
      <c r="GH1" s="18" t="s">
        <v>189</v>
      </c>
      <c r="GI1" s="18" t="s">
        <v>190</v>
      </c>
      <c r="GJ1" s="18" t="s">
        <v>191</v>
      </c>
      <c r="GK1" s="18" t="s">
        <v>192</v>
      </c>
      <c r="GL1" s="18" t="s">
        <v>193</v>
      </c>
      <c r="GM1" s="18" t="s">
        <v>194</v>
      </c>
      <c r="GN1" s="18" t="s">
        <v>195</v>
      </c>
    </row>
    <row r="2" spans="1:196">
      <c r="A2" s="19">
        <v>46316.90390443287</v>
      </c>
      <c r="B2">
        <v>0</v>
      </c>
      <c r="C2">
        <v>0</v>
      </c>
      <c r="D2">
        <v>360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584.2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196</v>
      </c>
      <c r="U2">
        <v>0</v>
      </c>
      <c r="V2">
        <v>0</v>
      </c>
      <c r="W2">
        <v>0</v>
      </c>
      <c r="X2" t="s">
        <v>197</v>
      </c>
      <c r="Y2">
        <v>0</v>
      </c>
      <c r="Z2" t="s">
        <v>197</v>
      </c>
      <c r="AA2" t="s">
        <v>197</v>
      </c>
      <c r="AB2" t="s">
        <v>197</v>
      </c>
      <c r="AC2" t="s">
        <v>198</v>
      </c>
      <c r="AD2" t="s">
        <v>199</v>
      </c>
      <c r="AE2">
        <v>0</v>
      </c>
      <c r="AF2">
        <v>44</v>
      </c>
      <c r="AG2">
        <v>255</v>
      </c>
      <c r="AH2">
        <v>0</v>
      </c>
      <c r="AI2">
        <v>0</v>
      </c>
      <c r="AJ2">
        <v>0</v>
      </c>
      <c r="AK2">
        <v>12.6</v>
      </c>
      <c r="AL2">
        <v>0</v>
      </c>
      <c r="AM2">
        <v>0</v>
      </c>
      <c r="AN2" t="s">
        <v>197</v>
      </c>
      <c r="AO2">
        <v>100</v>
      </c>
      <c r="AP2" t="s">
        <v>197</v>
      </c>
      <c r="AQ2" t="s">
        <v>200</v>
      </c>
      <c r="AR2">
        <v>1</v>
      </c>
      <c r="AS2">
        <v>0</v>
      </c>
      <c r="AT2" t="s">
        <v>201</v>
      </c>
      <c r="AU2" t="s">
        <v>201</v>
      </c>
      <c r="AV2" t="s">
        <v>202</v>
      </c>
      <c r="AW2" t="s">
        <v>203</v>
      </c>
      <c r="AX2" t="s">
        <v>203</v>
      </c>
      <c r="AY2" t="s">
        <v>203</v>
      </c>
      <c r="AZ2" t="s">
        <v>203</v>
      </c>
      <c r="BA2" t="s">
        <v>203</v>
      </c>
      <c r="BB2" t="s">
        <v>203</v>
      </c>
      <c r="BC2" t="s">
        <v>203</v>
      </c>
      <c r="BD2" t="s">
        <v>203</v>
      </c>
      <c r="BE2" t="s">
        <v>203</v>
      </c>
      <c r="BF2">
        <v>0</v>
      </c>
      <c r="BG2">
        <v>0.2</v>
      </c>
      <c r="BH2">
        <v>50</v>
      </c>
      <c r="BI2">
        <v>0</v>
      </c>
      <c r="BJ2" t="s">
        <v>198</v>
      </c>
      <c r="BK2" t="s">
        <v>198</v>
      </c>
      <c r="BL2" t="s">
        <v>198</v>
      </c>
      <c r="BM2" t="s">
        <v>198</v>
      </c>
      <c r="BN2" t="s">
        <v>198</v>
      </c>
      <c r="BO2" t="s">
        <v>198</v>
      </c>
      <c r="BP2" t="s">
        <v>198</v>
      </c>
      <c r="BQ2" t="s">
        <v>198</v>
      </c>
      <c r="BR2" t="s">
        <v>198</v>
      </c>
      <c r="BS2" t="s">
        <v>198</v>
      </c>
      <c r="BT2" t="s">
        <v>198</v>
      </c>
      <c r="BU2" t="s">
        <v>198</v>
      </c>
      <c r="BV2" t="s">
        <v>198</v>
      </c>
      <c r="BW2" t="s">
        <v>198</v>
      </c>
      <c r="BX2" t="s">
        <v>198</v>
      </c>
      <c r="BY2" t="s">
        <v>198</v>
      </c>
      <c r="BZ2" t="s">
        <v>198</v>
      </c>
      <c r="CA2" t="s">
        <v>198</v>
      </c>
      <c r="CB2" t="s">
        <v>204</v>
      </c>
      <c r="CC2" t="s">
        <v>204</v>
      </c>
      <c r="CD2" t="s">
        <v>204</v>
      </c>
      <c r="CE2" t="s">
        <v>204</v>
      </c>
      <c r="CF2" t="s">
        <v>204</v>
      </c>
      <c r="CG2" t="s">
        <v>204</v>
      </c>
      <c r="CH2" t="s">
        <v>204</v>
      </c>
      <c r="CI2" t="s">
        <v>204</v>
      </c>
      <c r="CJ2" t="s">
        <v>204</v>
      </c>
      <c r="CK2" t="s">
        <v>204</v>
      </c>
      <c r="CL2" t="s">
        <v>204</v>
      </c>
      <c r="CM2" t="s">
        <v>204</v>
      </c>
      <c r="CN2" t="s">
        <v>203</v>
      </c>
      <c r="CO2" t="s">
        <v>203</v>
      </c>
      <c r="CP2" t="s">
        <v>203</v>
      </c>
      <c r="CQ2" t="s">
        <v>203</v>
      </c>
      <c r="CR2" t="s">
        <v>203</v>
      </c>
      <c r="CS2" t="s">
        <v>203</v>
      </c>
      <c r="CT2" t="s">
        <v>203</v>
      </c>
      <c r="CU2" t="s">
        <v>203</v>
      </c>
      <c r="CV2">
        <v>0</v>
      </c>
      <c r="CW2">
        <v>0</v>
      </c>
      <c r="CX2" t="s">
        <v>198</v>
      </c>
      <c r="CY2" t="s">
        <v>198</v>
      </c>
      <c r="CZ2" t="s">
        <v>198</v>
      </c>
      <c r="DA2" t="s">
        <v>198</v>
      </c>
      <c r="DB2" t="s">
        <v>198</v>
      </c>
      <c r="DC2">
        <v>0</v>
      </c>
      <c r="DD2">
        <v>0</v>
      </c>
      <c r="DE2">
        <v>0</v>
      </c>
      <c r="DF2">
        <v>0</v>
      </c>
      <c r="DG2">
        <v>-35.3632621</v>
      </c>
      <c r="DH2">
        <v>149.1652374</v>
      </c>
      <c r="DI2" t="s">
        <v>205</v>
      </c>
      <c r="DJ2">
        <v>1.2</v>
      </c>
      <c r="DK2">
        <v>2</v>
      </c>
      <c r="DL2">
        <v>0</v>
      </c>
      <c r="DM2">
        <v>0</v>
      </c>
      <c r="DN2">
        <v>6</v>
      </c>
      <c r="DO2">
        <v>10</v>
      </c>
      <c r="DP2">
        <v>0</v>
      </c>
      <c r="DQ2">
        <v>255</v>
      </c>
      <c r="DR2">
        <v>255</v>
      </c>
      <c r="DS2">
        <v>255</v>
      </c>
      <c r="DT2">
        <v>255</v>
      </c>
      <c r="DU2">
        <v>255</v>
      </c>
      <c r="DV2">
        <v>255</v>
      </c>
      <c r="DW2">
        <v>255</v>
      </c>
      <c r="DX2" t="s">
        <v>206</v>
      </c>
      <c r="DY2" t="s">
        <v>206</v>
      </c>
      <c r="DZ2" t="s">
        <v>207</v>
      </c>
      <c r="EA2" t="s">
        <v>198</v>
      </c>
      <c r="EB2" t="s">
        <v>198</v>
      </c>
      <c r="EC2" t="s">
        <v>198</v>
      </c>
      <c r="ED2">
        <v>0</v>
      </c>
      <c r="EE2">
        <v>0</v>
      </c>
      <c r="EF2">
        <v>0</v>
      </c>
      <c r="EG2">
        <v>0</v>
      </c>
      <c r="EH2">
        <v>255</v>
      </c>
      <c r="EI2">
        <v>255</v>
      </c>
      <c r="EJ2">
        <v>255</v>
      </c>
      <c r="EK2">
        <v>255</v>
      </c>
      <c r="EL2">
        <v>255</v>
      </c>
      <c r="EM2">
        <v>255</v>
      </c>
      <c r="EN2">
        <v>255</v>
      </c>
      <c r="EO2">
        <v>255</v>
      </c>
      <c r="EP2">
        <v>255</v>
      </c>
      <c r="EQ2">
        <v>255</v>
      </c>
      <c r="ER2" t="s">
        <v>208</v>
      </c>
      <c r="ES2" t="s">
        <v>209</v>
      </c>
      <c r="ET2" t="s">
        <v>209</v>
      </c>
      <c r="EU2">
        <v>0</v>
      </c>
      <c r="EV2">
        <v>0</v>
      </c>
      <c r="EW2">
        <v>0</v>
      </c>
      <c r="EX2">
        <v>-0.2</v>
      </c>
      <c r="EY2">
        <v>0</v>
      </c>
      <c r="EZ2">
        <v>0</v>
      </c>
      <c r="FA2">
        <v>0</v>
      </c>
      <c r="FB2" t="s">
        <v>198</v>
      </c>
      <c r="FC2" t="s">
        <v>198</v>
      </c>
      <c r="FD2" t="s">
        <v>198</v>
      </c>
      <c r="FE2" t="s">
        <v>198</v>
      </c>
      <c r="FF2" t="s">
        <v>198</v>
      </c>
      <c r="FG2" t="s">
        <v>198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 t="s">
        <v>203</v>
      </c>
      <c r="FP2" t="s">
        <v>203</v>
      </c>
      <c r="FQ2" t="s">
        <v>203</v>
      </c>
      <c r="FR2" t="s">
        <v>203</v>
      </c>
      <c r="FS2" t="s">
        <v>203</v>
      </c>
      <c r="FT2" t="s">
        <v>203</v>
      </c>
      <c r="FU2" t="s">
        <v>198</v>
      </c>
      <c r="FV2" t="s">
        <v>198</v>
      </c>
      <c r="FW2" t="s">
        <v>198</v>
      </c>
      <c r="FX2" t="s">
        <v>198</v>
      </c>
      <c r="FY2" t="s">
        <v>198</v>
      </c>
      <c r="FZ2" t="s">
        <v>198</v>
      </c>
      <c r="GA2">
        <v>31.2</v>
      </c>
      <c r="GB2">
        <v>31.2</v>
      </c>
      <c r="GC2" t="s">
        <v>203</v>
      </c>
      <c r="GD2">
        <v>0</v>
      </c>
      <c r="GE2">
        <v>504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 t="s">
        <v>198</v>
      </c>
      <c r="GM2" t="s">
        <v>198</v>
      </c>
      <c r="GN2" t="s">
        <v>198</v>
      </c>
    </row>
    <row r="3" spans="1:196">
      <c r="A3" s="19">
        <v>46316.90391600694</v>
      </c>
      <c r="B3">
        <v>0</v>
      </c>
      <c r="C3">
        <v>0</v>
      </c>
      <c r="D3">
        <v>360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584.2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210</v>
      </c>
      <c r="U3">
        <v>0</v>
      </c>
      <c r="V3">
        <v>0</v>
      </c>
      <c r="W3">
        <v>0</v>
      </c>
      <c r="X3" t="s">
        <v>197</v>
      </c>
      <c r="Y3">
        <v>0</v>
      </c>
      <c r="Z3" t="s">
        <v>197</v>
      </c>
      <c r="AA3" t="s">
        <v>197</v>
      </c>
      <c r="AB3" t="s">
        <v>197</v>
      </c>
      <c r="AC3" t="s">
        <v>198</v>
      </c>
      <c r="AD3" t="s">
        <v>199</v>
      </c>
      <c r="AE3">
        <v>0</v>
      </c>
      <c r="AF3">
        <v>44</v>
      </c>
      <c r="AG3">
        <v>255</v>
      </c>
      <c r="AH3">
        <v>0</v>
      </c>
      <c r="AI3">
        <v>0</v>
      </c>
      <c r="AJ3">
        <v>0</v>
      </c>
      <c r="AK3">
        <v>12.6</v>
      </c>
      <c r="AL3">
        <v>0</v>
      </c>
      <c r="AM3">
        <v>0</v>
      </c>
      <c r="AN3" t="s">
        <v>197</v>
      </c>
      <c r="AO3">
        <v>100</v>
      </c>
      <c r="AP3" t="s">
        <v>197</v>
      </c>
      <c r="AQ3" t="s">
        <v>200</v>
      </c>
      <c r="AR3">
        <v>1</v>
      </c>
      <c r="AS3">
        <v>0</v>
      </c>
      <c r="AT3" t="s">
        <v>211</v>
      </c>
      <c r="AU3" t="s">
        <v>211</v>
      </c>
      <c r="AV3" t="s">
        <v>202</v>
      </c>
      <c r="AW3" t="s">
        <v>203</v>
      </c>
      <c r="AX3" t="s">
        <v>203</v>
      </c>
      <c r="AY3" t="s">
        <v>203</v>
      </c>
      <c r="AZ3" t="s">
        <v>203</v>
      </c>
      <c r="BA3" t="s">
        <v>203</v>
      </c>
      <c r="BB3" t="s">
        <v>203</v>
      </c>
      <c r="BC3" t="s">
        <v>203</v>
      </c>
      <c r="BD3" t="s">
        <v>203</v>
      </c>
      <c r="BE3" t="s">
        <v>203</v>
      </c>
      <c r="BF3">
        <v>0</v>
      </c>
      <c r="BG3">
        <v>0.2</v>
      </c>
      <c r="BH3">
        <v>50</v>
      </c>
      <c r="BI3">
        <v>0</v>
      </c>
      <c r="BJ3" t="s">
        <v>198</v>
      </c>
      <c r="BK3" t="s">
        <v>198</v>
      </c>
      <c r="BL3" t="s">
        <v>198</v>
      </c>
      <c r="BM3" t="s">
        <v>198</v>
      </c>
      <c r="BN3" t="s">
        <v>198</v>
      </c>
      <c r="BO3" t="s">
        <v>198</v>
      </c>
      <c r="BP3" t="s">
        <v>198</v>
      </c>
      <c r="BQ3" t="s">
        <v>198</v>
      </c>
      <c r="BR3" t="s">
        <v>198</v>
      </c>
      <c r="BS3" t="s">
        <v>198</v>
      </c>
      <c r="BT3" t="s">
        <v>198</v>
      </c>
      <c r="BU3" t="s">
        <v>198</v>
      </c>
      <c r="BV3" t="s">
        <v>198</v>
      </c>
      <c r="BW3" t="s">
        <v>198</v>
      </c>
      <c r="BX3" t="s">
        <v>198</v>
      </c>
      <c r="BY3" t="s">
        <v>198</v>
      </c>
      <c r="BZ3" t="s">
        <v>198</v>
      </c>
      <c r="CA3" t="s">
        <v>198</v>
      </c>
      <c r="CB3" t="s">
        <v>204</v>
      </c>
      <c r="CC3" t="s">
        <v>204</v>
      </c>
      <c r="CD3" t="s">
        <v>204</v>
      </c>
      <c r="CE3" t="s">
        <v>204</v>
      </c>
      <c r="CF3" t="s">
        <v>204</v>
      </c>
      <c r="CG3" t="s">
        <v>204</v>
      </c>
      <c r="CH3" t="s">
        <v>204</v>
      </c>
      <c r="CI3" t="s">
        <v>204</v>
      </c>
      <c r="CJ3" t="s">
        <v>204</v>
      </c>
      <c r="CK3" t="s">
        <v>204</v>
      </c>
      <c r="CL3" t="s">
        <v>204</v>
      </c>
      <c r="CM3" t="s">
        <v>204</v>
      </c>
      <c r="CN3" t="s">
        <v>203</v>
      </c>
      <c r="CO3" t="s">
        <v>203</v>
      </c>
      <c r="CP3" t="s">
        <v>203</v>
      </c>
      <c r="CQ3" t="s">
        <v>203</v>
      </c>
      <c r="CR3" t="s">
        <v>203</v>
      </c>
      <c r="CS3" t="s">
        <v>203</v>
      </c>
      <c r="CT3" t="s">
        <v>203</v>
      </c>
      <c r="CU3" t="s">
        <v>203</v>
      </c>
      <c r="CV3">
        <v>0</v>
      </c>
      <c r="CW3">
        <v>0</v>
      </c>
      <c r="CX3" t="s">
        <v>198</v>
      </c>
      <c r="CY3" t="s">
        <v>198</v>
      </c>
      <c r="CZ3" t="s">
        <v>198</v>
      </c>
      <c r="DA3" t="s">
        <v>198</v>
      </c>
      <c r="DB3" t="s">
        <v>198</v>
      </c>
      <c r="DC3">
        <v>0</v>
      </c>
      <c r="DD3">
        <v>0</v>
      </c>
      <c r="DE3">
        <v>0</v>
      </c>
      <c r="DF3">
        <v>0</v>
      </c>
      <c r="DG3">
        <v>-35.3632621</v>
      </c>
      <c r="DH3">
        <v>149.1652374</v>
      </c>
      <c r="DI3" t="s">
        <v>205</v>
      </c>
      <c r="DJ3">
        <v>1.2</v>
      </c>
      <c r="DK3">
        <v>2</v>
      </c>
      <c r="DL3">
        <v>0</v>
      </c>
      <c r="DM3">
        <v>0</v>
      </c>
      <c r="DN3">
        <v>6</v>
      </c>
      <c r="DO3">
        <v>10</v>
      </c>
      <c r="DP3">
        <v>0</v>
      </c>
      <c r="DQ3">
        <v>255</v>
      </c>
      <c r="DR3">
        <v>255</v>
      </c>
      <c r="DS3">
        <v>255</v>
      </c>
      <c r="DT3">
        <v>255</v>
      </c>
      <c r="DU3">
        <v>255</v>
      </c>
      <c r="DV3">
        <v>255</v>
      </c>
      <c r="DW3">
        <v>255</v>
      </c>
      <c r="DX3" t="s">
        <v>206</v>
      </c>
      <c r="DY3" t="s">
        <v>206</v>
      </c>
      <c r="DZ3" t="s">
        <v>207</v>
      </c>
      <c r="EA3" t="s">
        <v>198</v>
      </c>
      <c r="EB3" t="s">
        <v>198</v>
      </c>
      <c r="EC3" t="s">
        <v>198</v>
      </c>
      <c r="ED3">
        <v>0</v>
      </c>
      <c r="EE3">
        <v>0</v>
      </c>
      <c r="EF3">
        <v>0</v>
      </c>
      <c r="EG3">
        <v>0</v>
      </c>
      <c r="EH3">
        <v>255</v>
      </c>
      <c r="EI3">
        <v>255</v>
      </c>
      <c r="EJ3">
        <v>255</v>
      </c>
      <c r="EK3">
        <v>255</v>
      </c>
      <c r="EL3">
        <v>255</v>
      </c>
      <c r="EM3">
        <v>255</v>
      </c>
      <c r="EN3">
        <v>255</v>
      </c>
      <c r="EO3">
        <v>255</v>
      </c>
      <c r="EP3">
        <v>255</v>
      </c>
      <c r="EQ3">
        <v>255</v>
      </c>
      <c r="ER3" t="s">
        <v>208</v>
      </c>
      <c r="ES3" t="s">
        <v>209</v>
      </c>
      <c r="ET3" t="s">
        <v>209</v>
      </c>
      <c r="EU3">
        <v>0</v>
      </c>
      <c r="EV3">
        <v>0</v>
      </c>
      <c r="EW3">
        <v>0</v>
      </c>
      <c r="EX3">
        <v>-0.2</v>
      </c>
      <c r="EY3">
        <v>0</v>
      </c>
      <c r="EZ3">
        <v>0</v>
      </c>
      <c r="FA3">
        <v>0</v>
      </c>
      <c r="FB3" t="s">
        <v>198</v>
      </c>
      <c r="FC3" t="s">
        <v>198</v>
      </c>
      <c r="FD3" t="s">
        <v>198</v>
      </c>
      <c r="FE3" t="s">
        <v>198</v>
      </c>
      <c r="FF3" t="s">
        <v>198</v>
      </c>
      <c r="FG3" t="s">
        <v>198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 t="s">
        <v>203</v>
      </c>
      <c r="FP3" t="s">
        <v>203</v>
      </c>
      <c r="FQ3" t="s">
        <v>203</v>
      </c>
      <c r="FR3" t="s">
        <v>203</v>
      </c>
      <c r="FS3" t="s">
        <v>203</v>
      </c>
      <c r="FT3" t="s">
        <v>203</v>
      </c>
      <c r="FU3" t="s">
        <v>198</v>
      </c>
      <c r="FV3" t="s">
        <v>198</v>
      </c>
      <c r="FW3" t="s">
        <v>198</v>
      </c>
      <c r="FX3" t="s">
        <v>198</v>
      </c>
      <c r="FY3" t="s">
        <v>198</v>
      </c>
      <c r="FZ3" t="s">
        <v>198</v>
      </c>
      <c r="GA3">
        <v>31.2</v>
      </c>
      <c r="GB3">
        <v>31.2</v>
      </c>
      <c r="GC3" t="s">
        <v>203</v>
      </c>
      <c r="GD3">
        <v>0</v>
      </c>
      <c r="GE3">
        <v>504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 t="s">
        <v>198</v>
      </c>
      <c r="GM3" t="s">
        <v>198</v>
      </c>
      <c r="GN3" t="s">
        <v>198</v>
      </c>
    </row>
    <row r="4" spans="1:196">
      <c r="A4" s="19">
        <v>46316.90392758102</v>
      </c>
      <c r="B4">
        <v>0</v>
      </c>
      <c r="C4">
        <v>0</v>
      </c>
      <c r="D4">
        <v>360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584.2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212</v>
      </c>
      <c r="U4">
        <v>0</v>
      </c>
      <c r="V4">
        <v>0</v>
      </c>
      <c r="W4">
        <v>0</v>
      </c>
      <c r="X4" t="s">
        <v>197</v>
      </c>
      <c r="Y4">
        <v>0</v>
      </c>
      <c r="Z4" t="s">
        <v>197</v>
      </c>
      <c r="AA4" t="s">
        <v>197</v>
      </c>
      <c r="AB4" t="s">
        <v>197</v>
      </c>
      <c r="AC4" t="s">
        <v>198</v>
      </c>
      <c r="AD4" t="s">
        <v>199</v>
      </c>
      <c r="AE4">
        <v>0</v>
      </c>
      <c r="AF4">
        <v>44</v>
      </c>
      <c r="AG4">
        <v>255</v>
      </c>
      <c r="AH4">
        <v>0</v>
      </c>
      <c r="AI4">
        <v>0</v>
      </c>
      <c r="AJ4">
        <v>0</v>
      </c>
      <c r="AK4">
        <v>12.6</v>
      </c>
      <c r="AL4">
        <v>0</v>
      </c>
      <c r="AM4">
        <v>0</v>
      </c>
      <c r="AN4" t="s">
        <v>197</v>
      </c>
      <c r="AO4">
        <v>100</v>
      </c>
      <c r="AP4" t="s">
        <v>197</v>
      </c>
      <c r="AQ4" t="s">
        <v>200</v>
      </c>
      <c r="AR4">
        <v>1</v>
      </c>
      <c r="AS4">
        <v>0</v>
      </c>
      <c r="AT4" t="s">
        <v>213</v>
      </c>
      <c r="AU4" t="s">
        <v>213</v>
      </c>
      <c r="AV4" t="s">
        <v>202</v>
      </c>
      <c r="AW4" t="s">
        <v>203</v>
      </c>
      <c r="AX4" t="s">
        <v>203</v>
      </c>
      <c r="AY4" t="s">
        <v>203</v>
      </c>
      <c r="AZ4" t="s">
        <v>203</v>
      </c>
      <c r="BA4" t="s">
        <v>203</v>
      </c>
      <c r="BB4" t="s">
        <v>203</v>
      </c>
      <c r="BC4" t="s">
        <v>203</v>
      </c>
      <c r="BD4" t="s">
        <v>203</v>
      </c>
      <c r="BE4" t="s">
        <v>203</v>
      </c>
      <c r="BF4">
        <v>0</v>
      </c>
      <c r="BG4">
        <v>0.2</v>
      </c>
      <c r="BH4">
        <v>50</v>
      </c>
      <c r="BI4">
        <v>0</v>
      </c>
      <c r="BJ4" t="s">
        <v>198</v>
      </c>
      <c r="BK4" t="s">
        <v>198</v>
      </c>
      <c r="BL4" t="s">
        <v>198</v>
      </c>
      <c r="BM4" t="s">
        <v>198</v>
      </c>
      <c r="BN4" t="s">
        <v>198</v>
      </c>
      <c r="BO4" t="s">
        <v>198</v>
      </c>
      <c r="BP4" t="s">
        <v>198</v>
      </c>
      <c r="BQ4" t="s">
        <v>198</v>
      </c>
      <c r="BR4" t="s">
        <v>198</v>
      </c>
      <c r="BS4" t="s">
        <v>198</v>
      </c>
      <c r="BT4" t="s">
        <v>198</v>
      </c>
      <c r="BU4" t="s">
        <v>198</v>
      </c>
      <c r="BV4" t="s">
        <v>198</v>
      </c>
      <c r="BW4" t="s">
        <v>198</v>
      </c>
      <c r="BX4" t="s">
        <v>198</v>
      </c>
      <c r="BY4" t="s">
        <v>198</v>
      </c>
      <c r="BZ4" t="s">
        <v>198</v>
      </c>
      <c r="CA4" t="s">
        <v>198</v>
      </c>
      <c r="CB4" t="s">
        <v>204</v>
      </c>
      <c r="CC4" t="s">
        <v>204</v>
      </c>
      <c r="CD4" t="s">
        <v>204</v>
      </c>
      <c r="CE4" t="s">
        <v>204</v>
      </c>
      <c r="CF4" t="s">
        <v>204</v>
      </c>
      <c r="CG4" t="s">
        <v>204</v>
      </c>
      <c r="CH4" t="s">
        <v>204</v>
      </c>
      <c r="CI4" t="s">
        <v>204</v>
      </c>
      <c r="CJ4" t="s">
        <v>204</v>
      </c>
      <c r="CK4" t="s">
        <v>204</v>
      </c>
      <c r="CL4" t="s">
        <v>204</v>
      </c>
      <c r="CM4" t="s">
        <v>204</v>
      </c>
      <c r="CN4" t="s">
        <v>203</v>
      </c>
      <c r="CO4" t="s">
        <v>203</v>
      </c>
      <c r="CP4" t="s">
        <v>203</v>
      </c>
      <c r="CQ4" t="s">
        <v>203</v>
      </c>
      <c r="CR4" t="s">
        <v>203</v>
      </c>
      <c r="CS4" t="s">
        <v>203</v>
      </c>
      <c r="CT4" t="s">
        <v>203</v>
      </c>
      <c r="CU4" t="s">
        <v>203</v>
      </c>
      <c r="CV4">
        <v>0</v>
      </c>
      <c r="CW4">
        <v>0</v>
      </c>
      <c r="CX4" t="s">
        <v>198</v>
      </c>
      <c r="CY4" t="s">
        <v>198</v>
      </c>
      <c r="CZ4" t="s">
        <v>198</v>
      </c>
      <c r="DA4" t="s">
        <v>198</v>
      </c>
      <c r="DB4" t="s">
        <v>198</v>
      </c>
      <c r="DC4">
        <v>0</v>
      </c>
      <c r="DD4">
        <v>0</v>
      </c>
      <c r="DE4">
        <v>0</v>
      </c>
      <c r="DF4">
        <v>0</v>
      </c>
      <c r="DG4">
        <v>-35.3632621</v>
      </c>
      <c r="DH4">
        <v>149.1652374</v>
      </c>
      <c r="DI4" t="s">
        <v>205</v>
      </c>
      <c r="DJ4">
        <v>1.2</v>
      </c>
      <c r="DK4">
        <v>2</v>
      </c>
      <c r="DL4">
        <v>0</v>
      </c>
      <c r="DM4">
        <v>0</v>
      </c>
      <c r="DN4">
        <v>6</v>
      </c>
      <c r="DO4">
        <v>10</v>
      </c>
      <c r="DP4">
        <v>0</v>
      </c>
      <c r="DQ4">
        <v>255</v>
      </c>
      <c r="DR4">
        <v>255</v>
      </c>
      <c r="DS4">
        <v>255</v>
      </c>
      <c r="DT4">
        <v>255</v>
      </c>
      <c r="DU4">
        <v>255</v>
      </c>
      <c r="DV4">
        <v>255</v>
      </c>
      <c r="DW4">
        <v>255</v>
      </c>
      <c r="DX4" t="s">
        <v>206</v>
      </c>
      <c r="DY4" t="s">
        <v>206</v>
      </c>
      <c r="DZ4" t="s">
        <v>207</v>
      </c>
      <c r="EA4" t="s">
        <v>198</v>
      </c>
      <c r="EB4" t="s">
        <v>198</v>
      </c>
      <c r="EC4" t="s">
        <v>198</v>
      </c>
      <c r="ED4">
        <v>0</v>
      </c>
      <c r="EE4">
        <v>0</v>
      </c>
      <c r="EF4">
        <v>0</v>
      </c>
      <c r="EG4">
        <v>0</v>
      </c>
      <c r="EH4">
        <v>255</v>
      </c>
      <c r="EI4">
        <v>255</v>
      </c>
      <c r="EJ4">
        <v>255</v>
      </c>
      <c r="EK4">
        <v>255</v>
      </c>
      <c r="EL4">
        <v>255</v>
      </c>
      <c r="EM4">
        <v>255</v>
      </c>
      <c r="EN4">
        <v>255</v>
      </c>
      <c r="EO4">
        <v>255</v>
      </c>
      <c r="EP4">
        <v>255</v>
      </c>
      <c r="EQ4">
        <v>255</v>
      </c>
      <c r="ER4" t="s">
        <v>208</v>
      </c>
      <c r="ES4" t="s">
        <v>209</v>
      </c>
      <c r="ET4" t="s">
        <v>209</v>
      </c>
      <c r="EU4">
        <v>0</v>
      </c>
      <c r="EV4">
        <v>0</v>
      </c>
      <c r="EW4">
        <v>0</v>
      </c>
      <c r="EX4">
        <v>-0.2</v>
      </c>
      <c r="EY4">
        <v>0</v>
      </c>
      <c r="EZ4">
        <v>0</v>
      </c>
      <c r="FA4">
        <v>0</v>
      </c>
      <c r="FB4" t="s">
        <v>198</v>
      </c>
      <c r="FC4" t="s">
        <v>198</v>
      </c>
      <c r="FD4" t="s">
        <v>198</v>
      </c>
      <c r="FE4" t="s">
        <v>198</v>
      </c>
      <c r="FF4" t="s">
        <v>198</v>
      </c>
      <c r="FG4" t="s">
        <v>198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 t="s">
        <v>203</v>
      </c>
      <c r="FP4" t="s">
        <v>203</v>
      </c>
      <c r="FQ4" t="s">
        <v>203</v>
      </c>
      <c r="FR4" t="s">
        <v>203</v>
      </c>
      <c r="FS4" t="s">
        <v>203</v>
      </c>
      <c r="FT4" t="s">
        <v>203</v>
      </c>
      <c r="FU4" t="s">
        <v>198</v>
      </c>
      <c r="FV4" t="s">
        <v>198</v>
      </c>
      <c r="FW4" t="s">
        <v>198</v>
      </c>
      <c r="FX4" t="s">
        <v>198</v>
      </c>
      <c r="FY4" t="s">
        <v>198</v>
      </c>
      <c r="FZ4" t="s">
        <v>198</v>
      </c>
      <c r="GA4">
        <v>31.2</v>
      </c>
      <c r="GB4">
        <v>31.2</v>
      </c>
      <c r="GC4" t="s">
        <v>203</v>
      </c>
      <c r="GD4">
        <v>0</v>
      </c>
      <c r="GE4">
        <v>504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 t="s">
        <v>198</v>
      </c>
      <c r="GM4" t="s">
        <v>198</v>
      </c>
      <c r="GN4" t="s">
        <v>198</v>
      </c>
    </row>
    <row r="5" spans="1:196">
      <c r="A5" s="19">
        <v>46316.90393915509</v>
      </c>
      <c r="B5">
        <v>0</v>
      </c>
      <c r="C5">
        <v>0</v>
      </c>
      <c r="D5">
        <v>360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584.2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214</v>
      </c>
      <c r="U5">
        <v>0</v>
      </c>
      <c r="V5">
        <v>0</v>
      </c>
      <c r="W5">
        <v>0</v>
      </c>
      <c r="X5" t="s">
        <v>197</v>
      </c>
      <c r="Y5">
        <v>0</v>
      </c>
      <c r="Z5" t="s">
        <v>197</v>
      </c>
      <c r="AA5" t="s">
        <v>197</v>
      </c>
      <c r="AB5" t="s">
        <v>197</v>
      </c>
      <c r="AC5" t="s">
        <v>198</v>
      </c>
      <c r="AD5" t="s">
        <v>199</v>
      </c>
      <c r="AE5">
        <v>0</v>
      </c>
      <c r="AF5">
        <v>44</v>
      </c>
      <c r="AG5">
        <v>255</v>
      </c>
      <c r="AH5">
        <v>0</v>
      </c>
      <c r="AI5">
        <v>0</v>
      </c>
      <c r="AJ5">
        <v>0</v>
      </c>
      <c r="AK5">
        <v>12.6</v>
      </c>
      <c r="AL5">
        <v>0</v>
      </c>
      <c r="AM5">
        <v>0</v>
      </c>
      <c r="AN5" t="s">
        <v>197</v>
      </c>
      <c r="AO5">
        <v>100</v>
      </c>
      <c r="AP5" t="s">
        <v>197</v>
      </c>
      <c r="AQ5" t="s">
        <v>200</v>
      </c>
      <c r="AR5">
        <v>1</v>
      </c>
      <c r="AS5">
        <v>0</v>
      </c>
      <c r="AT5" t="s">
        <v>215</v>
      </c>
      <c r="AU5" t="s">
        <v>215</v>
      </c>
      <c r="AV5" t="s">
        <v>202</v>
      </c>
      <c r="AW5" t="s">
        <v>203</v>
      </c>
      <c r="AX5" t="s">
        <v>203</v>
      </c>
      <c r="AY5" t="s">
        <v>203</v>
      </c>
      <c r="AZ5" t="s">
        <v>203</v>
      </c>
      <c r="BA5" t="s">
        <v>203</v>
      </c>
      <c r="BB5" t="s">
        <v>203</v>
      </c>
      <c r="BC5" t="s">
        <v>203</v>
      </c>
      <c r="BD5" t="s">
        <v>203</v>
      </c>
      <c r="BE5" t="s">
        <v>203</v>
      </c>
      <c r="BF5">
        <v>0</v>
      </c>
      <c r="BG5">
        <v>0.2</v>
      </c>
      <c r="BH5">
        <v>50</v>
      </c>
      <c r="BI5">
        <v>0</v>
      </c>
      <c r="BJ5" t="s">
        <v>198</v>
      </c>
      <c r="BK5" t="s">
        <v>198</v>
      </c>
      <c r="BL5" t="s">
        <v>198</v>
      </c>
      <c r="BM5" t="s">
        <v>198</v>
      </c>
      <c r="BN5" t="s">
        <v>198</v>
      </c>
      <c r="BO5" t="s">
        <v>198</v>
      </c>
      <c r="BP5" t="s">
        <v>198</v>
      </c>
      <c r="BQ5" t="s">
        <v>198</v>
      </c>
      <c r="BR5" t="s">
        <v>198</v>
      </c>
      <c r="BS5" t="s">
        <v>198</v>
      </c>
      <c r="BT5" t="s">
        <v>198</v>
      </c>
      <c r="BU5" t="s">
        <v>198</v>
      </c>
      <c r="BV5" t="s">
        <v>198</v>
      </c>
      <c r="BW5" t="s">
        <v>198</v>
      </c>
      <c r="BX5" t="s">
        <v>198</v>
      </c>
      <c r="BY5" t="s">
        <v>198</v>
      </c>
      <c r="BZ5" t="s">
        <v>198</v>
      </c>
      <c r="CA5" t="s">
        <v>198</v>
      </c>
      <c r="CB5" t="s">
        <v>204</v>
      </c>
      <c r="CC5" t="s">
        <v>204</v>
      </c>
      <c r="CD5" t="s">
        <v>204</v>
      </c>
      <c r="CE5" t="s">
        <v>204</v>
      </c>
      <c r="CF5" t="s">
        <v>204</v>
      </c>
      <c r="CG5" t="s">
        <v>204</v>
      </c>
      <c r="CH5" t="s">
        <v>204</v>
      </c>
      <c r="CI5" t="s">
        <v>204</v>
      </c>
      <c r="CJ5" t="s">
        <v>204</v>
      </c>
      <c r="CK5" t="s">
        <v>204</v>
      </c>
      <c r="CL5" t="s">
        <v>204</v>
      </c>
      <c r="CM5" t="s">
        <v>204</v>
      </c>
      <c r="CN5" t="s">
        <v>203</v>
      </c>
      <c r="CO5" t="s">
        <v>203</v>
      </c>
      <c r="CP5" t="s">
        <v>203</v>
      </c>
      <c r="CQ5" t="s">
        <v>203</v>
      </c>
      <c r="CR5" t="s">
        <v>203</v>
      </c>
      <c r="CS5" t="s">
        <v>203</v>
      </c>
      <c r="CT5" t="s">
        <v>203</v>
      </c>
      <c r="CU5" t="s">
        <v>203</v>
      </c>
      <c r="CV5">
        <v>0</v>
      </c>
      <c r="CW5">
        <v>0</v>
      </c>
      <c r="CX5" t="s">
        <v>198</v>
      </c>
      <c r="CY5" t="s">
        <v>198</v>
      </c>
      <c r="CZ5" t="s">
        <v>198</v>
      </c>
      <c r="DA5" t="s">
        <v>198</v>
      </c>
      <c r="DB5" t="s">
        <v>198</v>
      </c>
      <c r="DC5">
        <v>0</v>
      </c>
      <c r="DD5">
        <v>0</v>
      </c>
      <c r="DE5">
        <v>0</v>
      </c>
      <c r="DF5">
        <v>0</v>
      </c>
      <c r="DG5">
        <v>-35.3632621</v>
      </c>
      <c r="DH5">
        <v>149.1652374</v>
      </c>
      <c r="DI5" t="s">
        <v>205</v>
      </c>
      <c r="DJ5">
        <v>1.2</v>
      </c>
      <c r="DK5">
        <v>2</v>
      </c>
      <c r="DL5">
        <v>0</v>
      </c>
      <c r="DM5">
        <v>0</v>
      </c>
      <c r="DN5">
        <v>6</v>
      </c>
      <c r="DO5">
        <v>10</v>
      </c>
      <c r="DP5">
        <v>0</v>
      </c>
      <c r="DQ5">
        <v>255</v>
      </c>
      <c r="DR5">
        <v>255</v>
      </c>
      <c r="DS5">
        <v>255</v>
      </c>
      <c r="DT5">
        <v>255</v>
      </c>
      <c r="DU5">
        <v>255</v>
      </c>
      <c r="DV5">
        <v>255</v>
      </c>
      <c r="DW5">
        <v>255</v>
      </c>
      <c r="DX5" t="s">
        <v>206</v>
      </c>
      <c r="DY5" t="s">
        <v>206</v>
      </c>
      <c r="DZ5" t="s">
        <v>207</v>
      </c>
      <c r="EA5" t="s">
        <v>198</v>
      </c>
      <c r="EB5" t="s">
        <v>198</v>
      </c>
      <c r="EC5" t="s">
        <v>198</v>
      </c>
      <c r="ED5">
        <v>0</v>
      </c>
      <c r="EE5">
        <v>0</v>
      </c>
      <c r="EF5">
        <v>0</v>
      </c>
      <c r="EG5">
        <v>0</v>
      </c>
      <c r="EH5">
        <v>255</v>
      </c>
      <c r="EI5">
        <v>255</v>
      </c>
      <c r="EJ5">
        <v>255</v>
      </c>
      <c r="EK5">
        <v>255</v>
      </c>
      <c r="EL5">
        <v>255</v>
      </c>
      <c r="EM5">
        <v>255</v>
      </c>
      <c r="EN5">
        <v>255</v>
      </c>
      <c r="EO5">
        <v>255</v>
      </c>
      <c r="EP5">
        <v>255</v>
      </c>
      <c r="EQ5">
        <v>255</v>
      </c>
      <c r="ER5" t="s">
        <v>208</v>
      </c>
      <c r="ES5" t="s">
        <v>209</v>
      </c>
      <c r="ET5" t="s">
        <v>209</v>
      </c>
      <c r="EU5">
        <v>0</v>
      </c>
      <c r="EV5">
        <v>0</v>
      </c>
      <c r="EW5">
        <v>0</v>
      </c>
      <c r="EX5">
        <v>-0.2</v>
      </c>
      <c r="EY5">
        <v>0</v>
      </c>
      <c r="EZ5">
        <v>0</v>
      </c>
      <c r="FA5">
        <v>0</v>
      </c>
      <c r="FB5" t="s">
        <v>198</v>
      </c>
      <c r="FC5" t="s">
        <v>198</v>
      </c>
      <c r="FD5" t="s">
        <v>198</v>
      </c>
      <c r="FE5" t="s">
        <v>198</v>
      </c>
      <c r="FF5" t="s">
        <v>198</v>
      </c>
      <c r="FG5" t="s">
        <v>198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 t="s">
        <v>203</v>
      </c>
      <c r="FP5" t="s">
        <v>203</v>
      </c>
      <c r="FQ5" t="s">
        <v>203</v>
      </c>
      <c r="FR5" t="s">
        <v>203</v>
      </c>
      <c r="FS5" t="s">
        <v>203</v>
      </c>
      <c r="FT5" t="s">
        <v>203</v>
      </c>
      <c r="FU5" t="s">
        <v>198</v>
      </c>
      <c r="FV5" t="s">
        <v>198</v>
      </c>
      <c r="FW5" t="s">
        <v>198</v>
      </c>
      <c r="FX5" t="s">
        <v>198</v>
      </c>
      <c r="FY5" t="s">
        <v>198</v>
      </c>
      <c r="FZ5" t="s">
        <v>198</v>
      </c>
      <c r="GA5">
        <v>31.2</v>
      </c>
      <c r="GB5">
        <v>31.2</v>
      </c>
      <c r="GC5" t="s">
        <v>203</v>
      </c>
      <c r="GD5">
        <v>0</v>
      </c>
      <c r="GE5">
        <v>504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 t="s">
        <v>198</v>
      </c>
      <c r="GM5" t="s">
        <v>198</v>
      </c>
      <c r="GN5" t="s">
        <v>198</v>
      </c>
    </row>
    <row r="6" spans="1:196">
      <c r="A6" s="19">
        <v>46316.90395072917</v>
      </c>
      <c r="B6">
        <v>0</v>
      </c>
      <c r="C6">
        <v>0</v>
      </c>
      <c r="D6">
        <v>360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584.2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216</v>
      </c>
      <c r="U6">
        <v>0</v>
      </c>
      <c r="V6">
        <v>0</v>
      </c>
      <c r="W6">
        <v>0</v>
      </c>
      <c r="X6" t="s">
        <v>197</v>
      </c>
      <c r="Y6">
        <v>0</v>
      </c>
      <c r="Z6" t="s">
        <v>197</v>
      </c>
      <c r="AA6" t="s">
        <v>197</v>
      </c>
      <c r="AB6" t="s">
        <v>197</v>
      </c>
      <c r="AC6" t="s">
        <v>198</v>
      </c>
      <c r="AD6" t="s">
        <v>199</v>
      </c>
      <c r="AE6">
        <v>0</v>
      </c>
      <c r="AF6">
        <v>44</v>
      </c>
      <c r="AG6">
        <v>255</v>
      </c>
      <c r="AH6">
        <v>0</v>
      </c>
      <c r="AI6">
        <v>0</v>
      </c>
      <c r="AJ6">
        <v>0</v>
      </c>
      <c r="AK6">
        <v>12.6</v>
      </c>
      <c r="AL6">
        <v>0</v>
      </c>
      <c r="AM6">
        <v>0</v>
      </c>
      <c r="AN6" t="s">
        <v>197</v>
      </c>
      <c r="AO6">
        <v>100</v>
      </c>
      <c r="AP6" t="s">
        <v>197</v>
      </c>
      <c r="AQ6" t="s">
        <v>200</v>
      </c>
      <c r="AR6">
        <v>1</v>
      </c>
      <c r="AS6">
        <v>0</v>
      </c>
      <c r="AT6" t="s">
        <v>217</v>
      </c>
      <c r="AU6" t="s">
        <v>217</v>
      </c>
      <c r="AV6" t="s">
        <v>202</v>
      </c>
      <c r="AW6" t="s">
        <v>203</v>
      </c>
      <c r="AX6" t="s">
        <v>203</v>
      </c>
      <c r="AY6" t="s">
        <v>203</v>
      </c>
      <c r="AZ6" t="s">
        <v>203</v>
      </c>
      <c r="BA6" t="s">
        <v>203</v>
      </c>
      <c r="BB6" t="s">
        <v>203</v>
      </c>
      <c r="BC6" t="s">
        <v>203</v>
      </c>
      <c r="BD6" t="s">
        <v>203</v>
      </c>
      <c r="BE6" t="s">
        <v>203</v>
      </c>
      <c r="BF6">
        <v>0</v>
      </c>
      <c r="BG6">
        <v>0.2</v>
      </c>
      <c r="BH6">
        <v>50</v>
      </c>
      <c r="BI6">
        <v>0</v>
      </c>
      <c r="BJ6" t="s">
        <v>198</v>
      </c>
      <c r="BK6" t="s">
        <v>198</v>
      </c>
      <c r="BL6" t="s">
        <v>198</v>
      </c>
      <c r="BM6" t="s">
        <v>198</v>
      </c>
      <c r="BN6" t="s">
        <v>198</v>
      </c>
      <c r="BO6" t="s">
        <v>198</v>
      </c>
      <c r="BP6" t="s">
        <v>198</v>
      </c>
      <c r="BQ6" t="s">
        <v>198</v>
      </c>
      <c r="BR6" t="s">
        <v>198</v>
      </c>
      <c r="BS6" t="s">
        <v>198</v>
      </c>
      <c r="BT6" t="s">
        <v>198</v>
      </c>
      <c r="BU6" t="s">
        <v>198</v>
      </c>
      <c r="BV6" t="s">
        <v>198</v>
      </c>
      <c r="BW6" t="s">
        <v>198</v>
      </c>
      <c r="BX6" t="s">
        <v>198</v>
      </c>
      <c r="BY6" t="s">
        <v>198</v>
      </c>
      <c r="BZ6" t="s">
        <v>198</v>
      </c>
      <c r="CA6" t="s">
        <v>198</v>
      </c>
      <c r="CB6" t="s">
        <v>204</v>
      </c>
      <c r="CC6" t="s">
        <v>204</v>
      </c>
      <c r="CD6" t="s">
        <v>204</v>
      </c>
      <c r="CE6" t="s">
        <v>204</v>
      </c>
      <c r="CF6" t="s">
        <v>204</v>
      </c>
      <c r="CG6" t="s">
        <v>204</v>
      </c>
      <c r="CH6" t="s">
        <v>204</v>
      </c>
      <c r="CI6" t="s">
        <v>204</v>
      </c>
      <c r="CJ6" t="s">
        <v>204</v>
      </c>
      <c r="CK6" t="s">
        <v>204</v>
      </c>
      <c r="CL6" t="s">
        <v>204</v>
      </c>
      <c r="CM6" t="s">
        <v>204</v>
      </c>
      <c r="CN6" t="s">
        <v>203</v>
      </c>
      <c r="CO6" t="s">
        <v>203</v>
      </c>
      <c r="CP6" t="s">
        <v>203</v>
      </c>
      <c r="CQ6" t="s">
        <v>203</v>
      </c>
      <c r="CR6" t="s">
        <v>203</v>
      </c>
      <c r="CS6" t="s">
        <v>203</v>
      </c>
      <c r="CT6" t="s">
        <v>203</v>
      </c>
      <c r="CU6" t="s">
        <v>203</v>
      </c>
      <c r="CV6">
        <v>0</v>
      </c>
      <c r="CW6">
        <v>0</v>
      </c>
      <c r="CX6" t="s">
        <v>198</v>
      </c>
      <c r="CY6" t="s">
        <v>198</v>
      </c>
      <c r="CZ6" t="s">
        <v>198</v>
      </c>
      <c r="DA6" t="s">
        <v>198</v>
      </c>
      <c r="DB6" t="s">
        <v>198</v>
      </c>
      <c r="DC6">
        <v>0</v>
      </c>
      <c r="DD6">
        <v>0</v>
      </c>
      <c r="DE6">
        <v>0</v>
      </c>
      <c r="DF6">
        <v>0</v>
      </c>
      <c r="DG6">
        <v>-35.3632621</v>
      </c>
      <c r="DH6">
        <v>149.1652374</v>
      </c>
      <c r="DI6" t="s">
        <v>205</v>
      </c>
      <c r="DJ6">
        <v>1.2</v>
      </c>
      <c r="DK6">
        <v>2</v>
      </c>
      <c r="DL6">
        <v>0</v>
      </c>
      <c r="DM6">
        <v>0</v>
      </c>
      <c r="DN6">
        <v>6</v>
      </c>
      <c r="DO6">
        <v>10</v>
      </c>
      <c r="DP6">
        <v>0</v>
      </c>
      <c r="DQ6">
        <v>255</v>
      </c>
      <c r="DR6">
        <v>255</v>
      </c>
      <c r="DS6">
        <v>255</v>
      </c>
      <c r="DT6">
        <v>255</v>
      </c>
      <c r="DU6">
        <v>255</v>
      </c>
      <c r="DV6">
        <v>255</v>
      </c>
      <c r="DW6">
        <v>255</v>
      </c>
      <c r="DX6" t="s">
        <v>206</v>
      </c>
      <c r="DY6" t="s">
        <v>206</v>
      </c>
      <c r="DZ6" t="s">
        <v>207</v>
      </c>
      <c r="EA6" t="s">
        <v>198</v>
      </c>
      <c r="EB6" t="s">
        <v>198</v>
      </c>
      <c r="EC6" t="s">
        <v>198</v>
      </c>
      <c r="ED6">
        <v>0</v>
      </c>
      <c r="EE6">
        <v>0</v>
      </c>
      <c r="EF6">
        <v>0</v>
      </c>
      <c r="EG6">
        <v>0</v>
      </c>
      <c r="EH6">
        <v>255</v>
      </c>
      <c r="EI6">
        <v>255</v>
      </c>
      <c r="EJ6">
        <v>255</v>
      </c>
      <c r="EK6">
        <v>255</v>
      </c>
      <c r="EL6">
        <v>255</v>
      </c>
      <c r="EM6">
        <v>255</v>
      </c>
      <c r="EN6">
        <v>255</v>
      </c>
      <c r="EO6">
        <v>255</v>
      </c>
      <c r="EP6">
        <v>255</v>
      </c>
      <c r="EQ6">
        <v>255</v>
      </c>
      <c r="ER6" t="s">
        <v>208</v>
      </c>
      <c r="ES6" t="s">
        <v>209</v>
      </c>
      <c r="ET6" t="s">
        <v>209</v>
      </c>
      <c r="EU6">
        <v>0</v>
      </c>
      <c r="EV6">
        <v>0</v>
      </c>
      <c r="EW6">
        <v>0</v>
      </c>
      <c r="EX6">
        <v>-0.2</v>
      </c>
      <c r="EY6">
        <v>0</v>
      </c>
      <c r="EZ6">
        <v>0</v>
      </c>
      <c r="FA6">
        <v>0</v>
      </c>
      <c r="FB6" t="s">
        <v>198</v>
      </c>
      <c r="FC6" t="s">
        <v>198</v>
      </c>
      <c r="FD6" t="s">
        <v>198</v>
      </c>
      <c r="FE6" t="s">
        <v>198</v>
      </c>
      <c r="FF6" t="s">
        <v>198</v>
      </c>
      <c r="FG6" t="s">
        <v>198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 t="s">
        <v>203</v>
      </c>
      <c r="FP6" t="s">
        <v>203</v>
      </c>
      <c r="FQ6" t="s">
        <v>203</v>
      </c>
      <c r="FR6" t="s">
        <v>203</v>
      </c>
      <c r="FS6" t="s">
        <v>203</v>
      </c>
      <c r="FT6" t="s">
        <v>203</v>
      </c>
      <c r="FU6" t="s">
        <v>198</v>
      </c>
      <c r="FV6" t="s">
        <v>198</v>
      </c>
      <c r="FW6" t="s">
        <v>198</v>
      </c>
      <c r="FX6" t="s">
        <v>198</v>
      </c>
      <c r="FY6" t="s">
        <v>198</v>
      </c>
      <c r="FZ6" t="s">
        <v>198</v>
      </c>
      <c r="GA6">
        <v>31.2</v>
      </c>
      <c r="GB6">
        <v>31.2</v>
      </c>
      <c r="GC6" t="s">
        <v>203</v>
      </c>
      <c r="GD6">
        <v>0</v>
      </c>
      <c r="GE6">
        <v>504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 t="s">
        <v>198</v>
      </c>
      <c r="GM6" t="s">
        <v>198</v>
      </c>
      <c r="GN6" t="s">
        <v>198</v>
      </c>
    </row>
    <row r="7" spans="1:196">
      <c r="A7" s="19">
        <v>46316.90396230324</v>
      </c>
      <c r="B7">
        <v>0</v>
      </c>
      <c r="C7">
        <v>0</v>
      </c>
      <c r="D7">
        <v>360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584.2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218</v>
      </c>
      <c r="U7">
        <v>0</v>
      </c>
      <c r="V7">
        <v>0</v>
      </c>
      <c r="W7">
        <v>0</v>
      </c>
      <c r="X7" t="s">
        <v>197</v>
      </c>
      <c r="Y7">
        <v>0</v>
      </c>
      <c r="Z7" t="s">
        <v>197</v>
      </c>
      <c r="AA7" t="s">
        <v>197</v>
      </c>
      <c r="AB7" t="s">
        <v>197</v>
      </c>
      <c r="AC7" t="s">
        <v>198</v>
      </c>
      <c r="AD7" t="s">
        <v>199</v>
      </c>
      <c r="AE7">
        <v>0</v>
      </c>
      <c r="AF7">
        <v>44</v>
      </c>
      <c r="AG7">
        <v>255</v>
      </c>
      <c r="AH7">
        <v>0</v>
      </c>
      <c r="AI7">
        <v>0</v>
      </c>
      <c r="AJ7">
        <v>0</v>
      </c>
      <c r="AK7">
        <v>12.6</v>
      </c>
      <c r="AL7">
        <v>0</v>
      </c>
      <c r="AM7">
        <v>0</v>
      </c>
      <c r="AN7" t="s">
        <v>197</v>
      </c>
      <c r="AO7">
        <v>100</v>
      </c>
      <c r="AP7" t="s">
        <v>197</v>
      </c>
      <c r="AQ7" t="s">
        <v>200</v>
      </c>
      <c r="AR7">
        <v>1</v>
      </c>
      <c r="AS7">
        <v>0</v>
      </c>
      <c r="AT7" t="s">
        <v>219</v>
      </c>
      <c r="AU7" t="s">
        <v>219</v>
      </c>
      <c r="AV7" t="s">
        <v>202</v>
      </c>
      <c r="AW7" t="s">
        <v>203</v>
      </c>
      <c r="AX7" t="s">
        <v>203</v>
      </c>
      <c r="AY7" t="s">
        <v>203</v>
      </c>
      <c r="AZ7" t="s">
        <v>203</v>
      </c>
      <c r="BA7" t="s">
        <v>203</v>
      </c>
      <c r="BB7" t="s">
        <v>203</v>
      </c>
      <c r="BC7" t="s">
        <v>203</v>
      </c>
      <c r="BD7" t="s">
        <v>203</v>
      </c>
      <c r="BE7" t="s">
        <v>203</v>
      </c>
      <c r="BF7">
        <v>0</v>
      </c>
      <c r="BG7">
        <v>0.2</v>
      </c>
      <c r="BH7">
        <v>50</v>
      </c>
      <c r="BI7">
        <v>0</v>
      </c>
      <c r="BJ7" t="s">
        <v>198</v>
      </c>
      <c r="BK7" t="s">
        <v>198</v>
      </c>
      <c r="BL7" t="s">
        <v>198</v>
      </c>
      <c r="BM7" t="s">
        <v>198</v>
      </c>
      <c r="BN7" t="s">
        <v>198</v>
      </c>
      <c r="BO7" t="s">
        <v>198</v>
      </c>
      <c r="BP7" t="s">
        <v>198</v>
      </c>
      <c r="BQ7" t="s">
        <v>198</v>
      </c>
      <c r="BR7" t="s">
        <v>198</v>
      </c>
      <c r="BS7" t="s">
        <v>198</v>
      </c>
      <c r="BT7" t="s">
        <v>198</v>
      </c>
      <c r="BU7" t="s">
        <v>198</v>
      </c>
      <c r="BV7" t="s">
        <v>198</v>
      </c>
      <c r="BW7" t="s">
        <v>198</v>
      </c>
      <c r="BX7" t="s">
        <v>198</v>
      </c>
      <c r="BY7" t="s">
        <v>198</v>
      </c>
      <c r="BZ7" t="s">
        <v>198</v>
      </c>
      <c r="CA7" t="s">
        <v>198</v>
      </c>
      <c r="CB7" t="s">
        <v>204</v>
      </c>
      <c r="CC7" t="s">
        <v>204</v>
      </c>
      <c r="CD7" t="s">
        <v>204</v>
      </c>
      <c r="CE7" t="s">
        <v>204</v>
      </c>
      <c r="CF7" t="s">
        <v>204</v>
      </c>
      <c r="CG7" t="s">
        <v>204</v>
      </c>
      <c r="CH7" t="s">
        <v>204</v>
      </c>
      <c r="CI7" t="s">
        <v>204</v>
      </c>
      <c r="CJ7" t="s">
        <v>204</v>
      </c>
      <c r="CK7" t="s">
        <v>204</v>
      </c>
      <c r="CL7" t="s">
        <v>204</v>
      </c>
      <c r="CM7" t="s">
        <v>204</v>
      </c>
      <c r="CN7" t="s">
        <v>203</v>
      </c>
      <c r="CO7" t="s">
        <v>203</v>
      </c>
      <c r="CP7" t="s">
        <v>203</v>
      </c>
      <c r="CQ7" t="s">
        <v>203</v>
      </c>
      <c r="CR7" t="s">
        <v>203</v>
      </c>
      <c r="CS7" t="s">
        <v>203</v>
      </c>
      <c r="CT7" t="s">
        <v>203</v>
      </c>
      <c r="CU7" t="s">
        <v>203</v>
      </c>
      <c r="CV7">
        <v>0</v>
      </c>
      <c r="CW7">
        <v>0</v>
      </c>
      <c r="CX7" t="s">
        <v>198</v>
      </c>
      <c r="CY7" t="s">
        <v>198</v>
      </c>
      <c r="CZ7" t="s">
        <v>198</v>
      </c>
      <c r="DA7" t="s">
        <v>198</v>
      </c>
      <c r="DB7" t="s">
        <v>198</v>
      </c>
      <c r="DC7">
        <v>0</v>
      </c>
      <c r="DD7">
        <v>0</v>
      </c>
      <c r="DE7">
        <v>0</v>
      </c>
      <c r="DF7">
        <v>0</v>
      </c>
      <c r="DG7">
        <v>-35.3632621</v>
      </c>
      <c r="DH7">
        <v>149.1652374</v>
      </c>
      <c r="DI7" t="s">
        <v>205</v>
      </c>
      <c r="DJ7">
        <v>1.2</v>
      </c>
      <c r="DK7">
        <v>2</v>
      </c>
      <c r="DL7">
        <v>0</v>
      </c>
      <c r="DM7">
        <v>0</v>
      </c>
      <c r="DN7">
        <v>6</v>
      </c>
      <c r="DO7">
        <v>10</v>
      </c>
      <c r="DP7">
        <v>0</v>
      </c>
      <c r="DQ7">
        <v>255</v>
      </c>
      <c r="DR7">
        <v>255</v>
      </c>
      <c r="DS7">
        <v>255</v>
      </c>
      <c r="DT7">
        <v>255</v>
      </c>
      <c r="DU7">
        <v>255</v>
      </c>
      <c r="DV7">
        <v>255</v>
      </c>
      <c r="DW7">
        <v>255</v>
      </c>
      <c r="DX7" t="s">
        <v>206</v>
      </c>
      <c r="DY7" t="s">
        <v>206</v>
      </c>
      <c r="DZ7" t="s">
        <v>207</v>
      </c>
      <c r="EA7" t="s">
        <v>198</v>
      </c>
      <c r="EB7" t="s">
        <v>198</v>
      </c>
      <c r="EC7" t="s">
        <v>198</v>
      </c>
      <c r="ED7">
        <v>0</v>
      </c>
      <c r="EE7">
        <v>0</v>
      </c>
      <c r="EF7">
        <v>0</v>
      </c>
      <c r="EG7">
        <v>0</v>
      </c>
      <c r="EH7">
        <v>255</v>
      </c>
      <c r="EI7">
        <v>255</v>
      </c>
      <c r="EJ7">
        <v>255</v>
      </c>
      <c r="EK7">
        <v>255</v>
      </c>
      <c r="EL7">
        <v>255</v>
      </c>
      <c r="EM7">
        <v>255</v>
      </c>
      <c r="EN7">
        <v>255</v>
      </c>
      <c r="EO7">
        <v>255</v>
      </c>
      <c r="EP7">
        <v>255</v>
      </c>
      <c r="EQ7">
        <v>255</v>
      </c>
      <c r="ER7" t="s">
        <v>208</v>
      </c>
      <c r="ES7" t="s">
        <v>209</v>
      </c>
      <c r="ET7" t="s">
        <v>209</v>
      </c>
      <c r="EU7">
        <v>0</v>
      </c>
      <c r="EV7">
        <v>0</v>
      </c>
      <c r="EW7">
        <v>0</v>
      </c>
      <c r="EX7">
        <v>-0.2</v>
      </c>
      <c r="EY7">
        <v>0</v>
      </c>
      <c r="EZ7">
        <v>0</v>
      </c>
      <c r="FA7">
        <v>0</v>
      </c>
      <c r="FB7" t="s">
        <v>198</v>
      </c>
      <c r="FC7" t="s">
        <v>198</v>
      </c>
      <c r="FD7" t="s">
        <v>198</v>
      </c>
      <c r="FE7" t="s">
        <v>198</v>
      </c>
      <c r="FF7" t="s">
        <v>198</v>
      </c>
      <c r="FG7" t="s">
        <v>198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 t="s">
        <v>203</v>
      </c>
      <c r="FP7" t="s">
        <v>203</v>
      </c>
      <c r="FQ7" t="s">
        <v>203</v>
      </c>
      <c r="FR7" t="s">
        <v>203</v>
      </c>
      <c r="FS7" t="s">
        <v>203</v>
      </c>
      <c r="FT7" t="s">
        <v>203</v>
      </c>
      <c r="FU7" t="s">
        <v>198</v>
      </c>
      <c r="FV7" t="s">
        <v>198</v>
      </c>
      <c r="FW7" t="s">
        <v>198</v>
      </c>
      <c r="FX7" t="s">
        <v>198</v>
      </c>
      <c r="FY7" t="s">
        <v>198</v>
      </c>
      <c r="FZ7" t="s">
        <v>198</v>
      </c>
      <c r="GA7">
        <v>31.2</v>
      </c>
      <c r="GB7">
        <v>31.2</v>
      </c>
      <c r="GC7" t="s">
        <v>203</v>
      </c>
      <c r="GD7">
        <v>0</v>
      </c>
      <c r="GE7">
        <v>504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 t="s">
        <v>198</v>
      </c>
      <c r="GM7" t="s">
        <v>198</v>
      </c>
      <c r="GN7" t="s">
        <v>198</v>
      </c>
    </row>
    <row r="8" spans="1:196">
      <c r="A8" s="19">
        <v>46316.90397387731</v>
      </c>
      <c r="B8">
        <v>0</v>
      </c>
      <c r="C8">
        <v>0</v>
      </c>
      <c r="D8">
        <v>360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584.2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220</v>
      </c>
      <c r="U8">
        <v>0</v>
      </c>
      <c r="V8">
        <v>0</v>
      </c>
      <c r="W8">
        <v>0</v>
      </c>
      <c r="X8" t="s">
        <v>197</v>
      </c>
      <c r="Y8">
        <v>0</v>
      </c>
      <c r="Z8" t="s">
        <v>197</v>
      </c>
      <c r="AA8" t="s">
        <v>197</v>
      </c>
      <c r="AB8" t="s">
        <v>197</v>
      </c>
      <c r="AC8" t="s">
        <v>198</v>
      </c>
      <c r="AD8" t="s">
        <v>199</v>
      </c>
      <c r="AE8">
        <v>0</v>
      </c>
      <c r="AF8">
        <v>44</v>
      </c>
      <c r="AG8">
        <v>255</v>
      </c>
      <c r="AH8">
        <v>0</v>
      </c>
      <c r="AI8">
        <v>0</v>
      </c>
      <c r="AJ8">
        <v>0</v>
      </c>
      <c r="AK8">
        <v>12.6</v>
      </c>
      <c r="AL8">
        <v>0</v>
      </c>
      <c r="AM8">
        <v>0</v>
      </c>
      <c r="AN8" t="s">
        <v>197</v>
      </c>
      <c r="AO8">
        <v>100</v>
      </c>
      <c r="AP8" t="s">
        <v>197</v>
      </c>
      <c r="AQ8" t="s">
        <v>200</v>
      </c>
      <c r="AR8">
        <v>1</v>
      </c>
      <c r="AS8">
        <v>0</v>
      </c>
      <c r="AT8" t="s">
        <v>221</v>
      </c>
      <c r="AU8" t="s">
        <v>221</v>
      </c>
      <c r="AV8" t="s">
        <v>202</v>
      </c>
      <c r="AW8" t="s">
        <v>203</v>
      </c>
      <c r="AX8" t="s">
        <v>203</v>
      </c>
      <c r="AY8" t="s">
        <v>203</v>
      </c>
      <c r="AZ8" t="s">
        <v>203</v>
      </c>
      <c r="BA8" t="s">
        <v>203</v>
      </c>
      <c r="BB8" t="s">
        <v>203</v>
      </c>
      <c r="BC8" t="s">
        <v>203</v>
      </c>
      <c r="BD8" t="s">
        <v>203</v>
      </c>
      <c r="BE8" t="s">
        <v>203</v>
      </c>
      <c r="BF8">
        <v>0</v>
      </c>
      <c r="BG8">
        <v>0.2</v>
      </c>
      <c r="BH8">
        <v>50</v>
      </c>
      <c r="BI8">
        <v>0</v>
      </c>
      <c r="BJ8" t="s">
        <v>198</v>
      </c>
      <c r="BK8" t="s">
        <v>198</v>
      </c>
      <c r="BL8" t="s">
        <v>198</v>
      </c>
      <c r="BM8" t="s">
        <v>198</v>
      </c>
      <c r="BN8" t="s">
        <v>198</v>
      </c>
      <c r="BO8" t="s">
        <v>198</v>
      </c>
      <c r="BP8" t="s">
        <v>198</v>
      </c>
      <c r="BQ8" t="s">
        <v>198</v>
      </c>
      <c r="BR8" t="s">
        <v>198</v>
      </c>
      <c r="BS8" t="s">
        <v>198</v>
      </c>
      <c r="BT8" t="s">
        <v>198</v>
      </c>
      <c r="BU8" t="s">
        <v>198</v>
      </c>
      <c r="BV8" t="s">
        <v>198</v>
      </c>
      <c r="BW8" t="s">
        <v>198</v>
      </c>
      <c r="BX8" t="s">
        <v>198</v>
      </c>
      <c r="BY8" t="s">
        <v>198</v>
      </c>
      <c r="BZ8" t="s">
        <v>198</v>
      </c>
      <c r="CA8" t="s">
        <v>198</v>
      </c>
      <c r="CB8" t="s">
        <v>204</v>
      </c>
      <c r="CC8" t="s">
        <v>204</v>
      </c>
      <c r="CD8" t="s">
        <v>204</v>
      </c>
      <c r="CE8" t="s">
        <v>204</v>
      </c>
      <c r="CF8" t="s">
        <v>204</v>
      </c>
      <c r="CG8" t="s">
        <v>204</v>
      </c>
      <c r="CH8" t="s">
        <v>204</v>
      </c>
      <c r="CI8" t="s">
        <v>204</v>
      </c>
      <c r="CJ8" t="s">
        <v>204</v>
      </c>
      <c r="CK8" t="s">
        <v>204</v>
      </c>
      <c r="CL8" t="s">
        <v>204</v>
      </c>
      <c r="CM8" t="s">
        <v>204</v>
      </c>
      <c r="CN8" t="s">
        <v>203</v>
      </c>
      <c r="CO8" t="s">
        <v>203</v>
      </c>
      <c r="CP8" t="s">
        <v>203</v>
      </c>
      <c r="CQ8" t="s">
        <v>203</v>
      </c>
      <c r="CR8" t="s">
        <v>203</v>
      </c>
      <c r="CS8" t="s">
        <v>203</v>
      </c>
      <c r="CT8" t="s">
        <v>203</v>
      </c>
      <c r="CU8" t="s">
        <v>203</v>
      </c>
      <c r="CV8">
        <v>0</v>
      </c>
      <c r="CW8">
        <v>0</v>
      </c>
      <c r="CX8" t="s">
        <v>198</v>
      </c>
      <c r="CY8" t="s">
        <v>198</v>
      </c>
      <c r="CZ8" t="s">
        <v>198</v>
      </c>
      <c r="DA8" t="s">
        <v>198</v>
      </c>
      <c r="DB8" t="s">
        <v>198</v>
      </c>
      <c r="DC8">
        <v>0</v>
      </c>
      <c r="DD8">
        <v>0</v>
      </c>
      <c r="DE8">
        <v>0</v>
      </c>
      <c r="DF8">
        <v>0</v>
      </c>
      <c r="DG8">
        <v>-35.3632621</v>
      </c>
      <c r="DH8">
        <v>149.1652374</v>
      </c>
      <c r="DI8" t="s">
        <v>205</v>
      </c>
      <c r="DJ8">
        <v>1.2</v>
      </c>
      <c r="DK8">
        <v>2</v>
      </c>
      <c r="DL8">
        <v>0</v>
      </c>
      <c r="DM8">
        <v>0</v>
      </c>
      <c r="DN8">
        <v>6</v>
      </c>
      <c r="DO8">
        <v>10</v>
      </c>
      <c r="DP8">
        <v>0</v>
      </c>
      <c r="DQ8">
        <v>255</v>
      </c>
      <c r="DR8">
        <v>255</v>
      </c>
      <c r="DS8">
        <v>255</v>
      </c>
      <c r="DT8">
        <v>255</v>
      </c>
      <c r="DU8">
        <v>255</v>
      </c>
      <c r="DV8">
        <v>255</v>
      </c>
      <c r="DW8">
        <v>255</v>
      </c>
      <c r="DX8" t="s">
        <v>206</v>
      </c>
      <c r="DY8" t="s">
        <v>206</v>
      </c>
      <c r="DZ8" t="s">
        <v>207</v>
      </c>
      <c r="EA8" t="s">
        <v>198</v>
      </c>
      <c r="EB8" t="s">
        <v>198</v>
      </c>
      <c r="EC8" t="s">
        <v>198</v>
      </c>
      <c r="ED8">
        <v>0</v>
      </c>
      <c r="EE8">
        <v>0</v>
      </c>
      <c r="EF8">
        <v>0</v>
      </c>
      <c r="EG8">
        <v>0</v>
      </c>
      <c r="EH8">
        <v>255</v>
      </c>
      <c r="EI8">
        <v>255</v>
      </c>
      <c r="EJ8">
        <v>255</v>
      </c>
      <c r="EK8">
        <v>255</v>
      </c>
      <c r="EL8">
        <v>255</v>
      </c>
      <c r="EM8">
        <v>255</v>
      </c>
      <c r="EN8">
        <v>255</v>
      </c>
      <c r="EO8">
        <v>255</v>
      </c>
      <c r="EP8">
        <v>255</v>
      </c>
      <c r="EQ8">
        <v>255</v>
      </c>
      <c r="ER8" t="s">
        <v>208</v>
      </c>
      <c r="ES8" t="s">
        <v>209</v>
      </c>
      <c r="ET8" t="s">
        <v>209</v>
      </c>
      <c r="EU8">
        <v>0</v>
      </c>
      <c r="EV8">
        <v>0</v>
      </c>
      <c r="EW8">
        <v>0</v>
      </c>
      <c r="EX8">
        <v>-0.2</v>
      </c>
      <c r="EY8">
        <v>0</v>
      </c>
      <c r="EZ8">
        <v>0</v>
      </c>
      <c r="FA8">
        <v>0</v>
      </c>
      <c r="FB8" t="s">
        <v>198</v>
      </c>
      <c r="FC8" t="s">
        <v>198</v>
      </c>
      <c r="FD8" t="s">
        <v>198</v>
      </c>
      <c r="FE8" t="s">
        <v>198</v>
      </c>
      <c r="FF8" t="s">
        <v>198</v>
      </c>
      <c r="FG8" t="s">
        <v>198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 t="s">
        <v>203</v>
      </c>
      <c r="FP8" t="s">
        <v>203</v>
      </c>
      <c r="FQ8" t="s">
        <v>203</v>
      </c>
      <c r="FR8" t="s">
        <v>203</v>
      </c>
      <c r="FS8" t="s">
        <v>203</v>
      </c>
      <c r="FT8" t="s">
        <v>203</v>
      </c>
      <c r="FU8" t="s">
        <v>198</v>
      </c>
      <c r="FV8" t="s">
        <v>198</v>
      </c>
      <c r="FW8" t="s">
        <v>198</v>
      </c>
      <c r="FX8" t="s">
        <v>198</v>
      </c>
      <c r="FY8" t="s">
        <v>198</v>
      </c>
      <c r="FZ8" t="s">
        <v>198</v>
      </c>
      <c r="GA8">
        <v>31.2</v>
      </c>
      <c r="GB8">
        <v>31.2</v>
      </c>
      <c r="GC8" t="s">
        <v>203</v>
      </c>
      <c r="GD8">
        <v>0</v>
      </c>
      <c r="GE8">
        <v>504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 t="s">
        <v>198</v>
      </c>
      <c r="GM8" t="s">
        <v>198</v>
      </c>
      <c r="GN8" t="s">
        <v>198</v>
      </c>
    </row>
    <row r="9" spans="1:196">
      <c r="A9" s="19">
        <v>46316.90398545139</v>
      </c>
      <c r="B9">
        <v>0</v>
      </c>
      <c r="C9">
        <v>0</v>
      </c>
      <c r="D9">
        <v>360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584.2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222</v>
      </c>
      <c r="U9">
        <v>0</v>
      </c>
      <c r="V9">
        <v>0</v>
      </c>
      <c r="W9">
        <v>0</v>
      </c>
      <c r="X9" t="s">
        <v>197</v>
      </c>
      <c r="Y9">
        <v>0</v>
      </c>
      <c r="Z9" t="s">
        <v>197</v>
      </c>
      <c r="AA9" t="s">
        <v>197</v>
      </c>
      <c r="AB9" t="s">
        <v>197</v>
      </c>
      <c r="AC9" t="s">
        <v>198</v>
      </c>
      <c r="AD9" t="s">
        <v>199</v>
      </c>
      <c r="AE9">
        <v>0</v>
      </c>
      <c r="AF9">
        <v>44</v>
      </c>
      <c r="AG9">
        <v>255</v>
      </c>
      <c r="AH9">
        <v>0</v>
      </c>
      <c r="AI9">
        <v>0</v>
      </c>
      <c r="AJ9">
        <v>0</v>
      </c>
      <c r="AK9">
        <v>12.6</v>
      </c>
      <c r="AL9">
        <v>0</v>
      </c>
      <c r="AM9">
        <v>0</v>
      </c>
      <c r="AN9" t="s">
        <v>197</v>
      </c>
      <c r="AO9">
        <v>100</v>
      </c>
      <c r="AP9" t="s">
        <v>197</v>
      </c>
      <c r="AQ9" t="s">
        <v>200</v>
      </c>
      <c r="AR9">
        <v>1</v>
      </c>
      <c r="AS9">
        <v>0</v>
      </c>
      <c r="AT9" t="s">
        <v>223</v>
      </c>
      <c r="AU9" t="s">
        <v>223</v>
      </c>
      <c r="AV9" t="s">
        <v>202</v>
      </c>
      <c r="AW9" t="s">
        <v>203</v>
      </c>
      <c r="AX9" t="s">
        <v>203</v>
      </c>
      <c r="AY9" t="s">
        <v>203</v>
      </c>
      <c r="AZ9" t="s">
        <v>203</v>
      </c>
      <c r="BA9" t="s">
        <v>203</v>
      </c>
      <c r="BB9" t="s">
        <v>203</v>
      </c>
      <c r="BC9" t="s">
        <v>203</v>
      </c>
      <c r="BD9" t="s">
        <v>203</v>
      </c>
      <c r="BE9" t="s">
        <v>203</v>
      </c>
      <c r="BF9">
        <v>0</v>
      </c>
      <c r="BG9">
        <v>0.2</v>
      </c>
      <c r="BH9">
        <v>50</v>
      </c>
      <c r="BI9">
        <v>0</v>
      </c>
      <c r="BJ9" t="s">
        <v>198</v>
      </c>
      <c r="BK9" t="s">
        <v>198</v>
      </c>
      <c r="BL9" t="s">
        <v>198</v>
      </c>
      <c r="BM9" t="s">
        <v>198</v>
      </c>
      <c r="BN9" t="s">
        <v>198</v>
      </c>
      <c r="BO9" t="s">
        <v>198</v>
      </c>
      <c r="BP9" t="s">
        <v>198</v>
      </c>
      <c r="BQ9" t="s">
        <v>198</v>
      </c>
      <c r="BR9" t="s">
        <v>198</v>
      </c>
      <c r="BS9" t="s">
        <v>198</v>
      </c>
      <c r="BT9" t="s">
        <v>198</v>
      </c>
      <c r="BU9" t="s">
        <v>198</v>
      </c>
      <c r="BV9" t="s">
        <v>198</v>
      </c>
      <c r="BW9" t="s">
        <v>198</v>
      </c>
      <c r="BX9" t="s">
        <v>198</v>
      </c>
      <c r="BY9" t="s">
        <v>198</v>
      </c>
      <c r="BZ9" t="s">
        <v>198</v>
      </c>
      <c r="CA9" t="s">
        <v>198</v>
      </c>
      <c r="CB9" t="s">
        <v>204</v>
      </c>
      <c r="CC9" t="s">
        <v>204</v>
      </c>
      <c r="CD9" t="s">
        <v>204</v>
      </c>
      <c r="CE9" t="s">
        <v>204</v>
      </c>
      <c r="CF9" t="s">
        <v>204</v>
      </c>
      <c r="CG9" t="s">
        <v>204</v>
      </c>
      <c r="CH9" t="s">
        <v>204</v>
      </c>
      <c r="CI9" t="s">
        <v>204</v>
      </c>
      <c r="CJ9" t="s">
        <v>204</v>
      </c>
      <c r="CK9" t="s">
        <v>204</v>
      </c>
      <c r="CL9" t="s">
        <v>204</v>
      </c>
      <c r="CM9" t="s">
        <v>204</v>
      </c>
      <c r="CN9" t="s">
        <v>203</v>
      </c>
      <c r="CO9" t="s">
        <v>203</v>
      </c>
      <c r="CP9" t="s">
        <v>203</v>
      </c>
      <c r="CQ9" t="s">
        <v>203</v>
      </c>
      <c r="CR9" t="s">
        <v>203</v>
      </c>
      <c r="CS9" t="s">
        <v>203</v>
      </c>
      <c r="CT9" t="s">
        <v>203</v>
      </c>
      <c r="CU9" t="s">
        <v>203</v>
      </c>
      <c r="CV9">
        <v>0</v>
      </c>
      <c r="CW9">
        <v>0</v>
      </c>
      <c r="CX9" t="s">
        <v>198</v>
      </c>
      <c r="CY9" t="s">
        <v>198</v>
      </c>
      <c r="CZ9" t="s">
        <v>198</v>
      </c>
      <c r="DA9" t="s">
        <v>198</v>
      </c>
      <c r="DB9" t="s">
        <v>198</v>
      </c>
      <c r="DC9">
        <v>0</v>
      </c>
      <c r="DD9">
        <v>0</v>
      </c>
      <c r="DE9">
        <v>0</v>
      </c>
      <c r="DF9">
        <v>0</v>
      </c>
      <c r="DG9">
        <v>-35.3632621</v>
      </c>
      <c r="DH9">
        <v>149.1652374</v>
      </c>
      <c r="DI9" t="s">
        <v>205</v>
      </c>
      <c r="DJ9">
        <v>1.2</v>
      </c>
      <c r="DK9">
        <v>2</v>
      </c>
      <c r="DL9">
        <v>0</v>
      </c>
      <c r="DM9">
        <v>0</v>
      </c>
      <c r="DN9">
        <v>6</v>
      </c>
      <c r="DO9">
        <v>10</v>
      </c>
      <c r="DP9">
        <v>0</v>
      </c>
      <c r="DQ9">
        <v>255</v>
      </c>
      <c r="DR9">
        <v>255</v>
      </c>
      <c r="DS9">
        <v>255</v>
      </c>
      <c r="DT9">
        <v>255</v>
      </c>
      <c r="DU9">
        <v>255</v>
      </c>
      <c r="DV9">
        <v>255</v>
      </c>
      <c r="DW9">
        <v>255</v>
      </c>
      <c r="DX9" t="s">
        <v>206</v>
      </c>
      <c r="DY9" t="s">
        <v>206</v>
      </c>
      <c r="DZ9" t="s">
        <v>207</v>
      </c>
      <c r="EA9" t="s">
        <v>198</v>
      </c>
      <c r="EB9" t="s">
        <v>198</v>
      </c>
      <c r="EC9" t="s">
        <v>198</v>
      </c>
      <c r="ED9">
        <v>0</v>
      </c>
      <c r="EE9">
        <v>0</v>
      </c>
      <c r="EF9">
        <v>0</v>
      </c>
      <c r="EG9">
        <v>0</v>
      </c>
      <c r="EH9">
        <v>255</v>
      </c>
      <c r="EI9">
        <v>255</v>
      </c>
      <c r="EJ9">
        <v>255</v>
      </c>
      <c r="EK9">
        <v>255</v>
      </c>
      <c r="EL9">
        <v>255</v>
      </c>
      <c r="EM9">
        <v>255</v>
      </c>
      <c r="EN9">
        <v>255</v>
      </c>
      <c r="EO9">
        <v>255</v>
      </c>
      <c r="EP9">
        <v>255</v>
      </c>
      <c r="EQ9">
        <v>255</v>
      </c>
      <c r="ER9" t="s">
        <v>208</v>
      </c>
      <c r="ES9" t="s">
        <v>209</v>
      </c>
      <c r="ET9" t="s">
        <v>209</v>
      </c>
      <c r="EU9">
        <v>0</v>
      </c>
      <c r="EV9">
        <v>0</v>
      </c>
      <c r="EW9">
        <v>0</v>
      </c>
      <c r="EX9">
        <v>-0.2</v>
      </c>
      <c r="EY9">
        <v>0</v>
      </c>
      <c r="EZ9">
        <v>0</v>
      </c>
      <c r="FA9">
        <v>0</v>
      </c>
      <c r="FB9" t="s">
        <v>198</v>
      </c>
      <c r="FC9" t="s">
        <v>198</v>
      </c>
      <c r="FD9" t="s">
        <v>198</v>
      </c>
      <c r="FE9" t="s">
        <v>198</v>
      </c>
      <c r="FF9" t="s">
        <v>198</v>
      </c>
      <c r="FG9" t="s">
        <v>198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 t="s">
        <v>203</v>
      </c>
      <c r="FP9" t="s">
        <v>203</v>
      </c>
      <c r="FQ9" t="s">
        <v>203</v>
      </c>
      <c r="FR9" t="s">
        <v>203</v>
      </c>
      <c r="FS9" t="s">
        <v>203</v>
      </c>
      <c r="FT9" t="s">
        <v>203</v>
      </c>
      <c r="FU9" t="s">
        <v>198</v>
      </c>
      <c r="FV9" t="s">
        <v>198</v>
      </c>
      <c r="FW9" t="s">
        <v>198</v>
      </c>
      <c r="FX9" t="s">
        <v>198</v>
      </c>
      <c r="FY9" t="s">
        <v>198</v>
      </c>
      <c r="FZ9" t="s">
        <v>198</v>
      </c>
      <c r="GA9">
        <v>31.2</v>
      </c>
      <c r="GB9">
        <v>31.2</v>
      </c>
      <c r="GC9" t="s">
        <v>203</v>
      </c>
      <c r="GD9">
        <v>0</v>
      </c>
      <c r="GE9">
        <v>504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 t="s">
        <v>198</v>
      </c>
      <c r="GM9" t="s">
        <v>198</v>
      </c>
      <c r="GN9" t="s">
        <v>198</v>
      </c>
    </row>
    <row r="10" spans="1:196">
      <c r="A10" s="19">
        <v>46316.90399702546</v>
      </c>
      <c r="B10">
        <v>0</v>
      </c>
      <c r="C10">
        <v>0</v>
      </c>
      <c r="D10">
        <v>360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584.2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224</v>
      </c>
      <c r="U10">
        <v>0</v>
      </c>
      <c r="V10">
        <v>0</v>
      </c>
      <c r="W10">
        <v>0</v>
      </c>
      <c r="X10" t="s">
        <v>197</v>
      </c>
      <c r="Y10">
        <v>0</v>
      </c>
      <c r="Z10" t="s">
        <v>197</v>
      </c>
      <c r="AA10" t="s">
        <v>197</v>
      </c>
      <c r="AB10" t="s">
        <v>197</v>
      </c>
      <c r="AC10" t="s">
        <v>198</v>
      </c>
      <c r="AD10" t="s">
        <v>199</v>
      </c>
      <c r="AE10">
        <v>0</v>
      </c>
      <c r="AF10">
        <v>44</v>
      </c>
      <c r="AG10">
        <v>255</v>
      </c>
      <c r="AH10">
        <v>0</v>
      </c>
      <c r="AI10">
        <v>0</v>
      </c>
      <c r="AJ10">
        <v>0</v>
      </c>
      <c r="AK10">
        <v>12.6</v>
      </c>
      <c r="AL10">
        <v>0</v>
      </c>
      <c r="AM10">
        <v>0</v>
      </c>
      <c r="AN10" t="s">
        <v>197</v>
      </c>
      <c r="AO10">
        <v>100</v>
      </c>
      <c r="AP10" t="s">
        <v>197</v>
      </c>
      <c r="AQ10" t="s">
        <v>200</v>
      </c>
      <c r="AR10">
        <v>1</v>
      </c>
      <c r="AS10">
        <v>0</v>
      </c>
      <c r="AT10" t="s">
        <v>225</v>
      </c>
      <c r="AU10" t="s">
        <v>225</v>
      </c>
      <c r="AV10" t="s">
        <v>202</v>
      </c>
      <c r="AW10" t="s">
        <v>203</v>
      </c>
      <c r="AX10" t="s">
        <v>203</v>
      </c>
      <c r="AY10" t="s">
        <v>203</v>
      </c>
      <c r="AZ10" t="s">
        <v>203</v>
      </c>
      <c r="BA10" t="s">
        <v>203</v>
      </c>
      <c r="BB10" t="s">
        <v>203</v>
      </c>
      <c r="BC10" t="s">
        <v>203</v>
      </c>
      <c r="BD10" t="s">
        <v>203</v>
      </c>
      <c r="BE10" t="s">
        <v>203</v>
      </c>
      <c r="BF10">
        <v>0</v>
      </c>
      <c r="BG10">
        <v>0.2</v>
      </c>
      <c r="BH10">
        <v>50</v>
      </c>
      <c r="BI10">
        <v>0</v>
      </c>
      <c r="BJ10" t="s">
        <v>198</v>
      </c>
      <c r="BK10" t="s">
        <v>198</v>
      </c>
      <c r="BL10" t="s">
        <v>198</v>
      </c>
      <c r="BM10" t="s">
        <v>198</v>
      </c>
      <c r="BN10" t="s">
        <v>198</v>
      </c>
      <c r="BO10" t="s">
        <v>198</v>
      </c>
      <c r="BP10" t="s">
        <v>198</v>
      </c>
      <c r="BQ10" t="s">
        <v>198</v>
      </c>
      <c r="BR10" t="s">
        <v>198</v>
      </c>
      <c r="BS10" t="s">
        <v>198</v>
      </c>
      <c r="BT10" t="s">
        <v>198</v>
      </c>
      <c r="BU10" t="s">
        <v>198</v>
      </c>
      <c r="BV10" t="s">
        <v>198</v>
      </c>
      <c r="BW10" t="s">
        <v>198</v>
      </c>
      <c r="BX10" t="s">
        <v>198</v>
      </c>
      <c r="BY10" t="s">
        <v>198</v>
      </c>
      <c r="BZ10" t="s">
        <v>198</v>
      </c>
      <c r="CA10" t="s">
        <v>198</v>
      </c>
      <c r="CB10" t="s">
        <v>204</v>
      </c>
      <c r="CC10" t="s">
        <v>204</v>
      </c>
      <c r="CD10" t="s">
        <v>204</v>
      </c>
      <c r="CE10" t="s">
        <v>204</v>
      </c>
      <c r="CF10" t="s">
        <v>204</v>
      </c>
      <c r="CG10" t="s">
        <v>204</v>
      </c>
      <c r="CH10" t="s">
        <v>204</v>
      </c>
      <c r="CI10" t="s">
        <v>204</v>
      </c>
      <c r="CJ10" t="s">
        <v>204</v>
      </c>
      <c r="CK10" t="s">
        <v>204</v>
      </c>
      <c r="CL10" t="s">
        <v>204</v>
      </c>
      <c r="CM10" t="s">
        <v>204</v>
      </c>
      <c r="CN10" t="s">
        <v>203</v>
      </c>
      <c r="CO10" t="s">
        <v>203</v>
      </c>
      <c r="CP10" t="s">
        <v>203</v>
      </c>
      <c r="CQ10" t="s">
        <v>203</v>
      </c>
      <c r="CR10" t="s">
        <v>203</v>
      </c>
      <c r="CS10" t="s">
        <v>203</v>
      </c>
      <c r="CT10" t="s">
        <v>203</v>
      </c>
      <c r="CU10" t="s">
        <v>203</v>
      </c>
      <c r="CV10">
        <v>0</v>
      </c>
      <c r="CW10">
        <v>0</v>
      </c>
      <c r="CX10" t="s">
        <v>198</v>
      </c>
      <c r="CY10" t="s">
        <v>198</v>
      </c>
      <c r="CZ10" t="s">
        <v>198</v>
      </c>
      <c r="DA10" t="s">
        <v>198</v>
      </c>
      <c r="DB10" t="s">
        <v>198</v>
      </c>
      <c r="DC10">
        <v>0</v>
      </c>
      <c r="DD10">
        <v>0</v>
      </c>
      <c r="DE10">
        <v>0</v>
      </c>
      <c r="DF10">
        <v>0</v>
      </c>
      <c r="DG10">
        <v>-35.3632621</v>
      </c>
      <c r="DH10">
        <v>149.1652374</v>
      </c>
      <c r="DI10" t="s">
        <v>205</v>
      </c>
      <c r="DJ10">
        <v>1.2</v>
      </c>
      <c r="DK10">
        <v>2</v>
      </c>
      <c r="DL10">
        <v>0</v>
      </c>
      <c r="DM10">
        <v>0</v>
      </c>
      <c r="DN10">
        <v>6</v>
      </c>
      <c r="DO10">
        <v>10</v>
      </c>
      <c r="DP10">
        <v>0</v>
      </c>
      <c r="DQ10">
        <v>255</v>
      </c>
      <c r="DR10">
        <v>255</v>
      </c>
      <c r="DS10">
        <v>255</v>
      </c>
      <c r="DT10">
        <v>255</v>
      </c>
      <c r="DU10">
        <v>255</v>
      </c>
      <c r="DV10">
        <v>255</v>
      </c>
      <c r="DW10">
        <v>255</v>
      </c>
      <c r="DX10" t="s">
        <v>206</v>
      </c>
      <c r="DY10" t="s">
        <v>206</v>
      </c>
      <c r="DZ10" t="s">
        <v>207</v>
      </c>
      <c r="EA10" t="s">
        <v>198</v>
      </c>
      <c r="EB10" t="s">
        <v>198</v>
      </c>
      <c r="EC10" t="s">
        <v>198</v>
      </c>
      <c r="ED10">
        <v>0</v>
      </c>
      <c r="EE10">
        <v>0</v>
      </c>
      <c r="EF10">
        <v>0</v>
      </c>
      <c r="EG10">
        <v>0</v>
      </c>
      <c r="EH10">
        <v>255</v>
      </c>
      <c r="EI10">
        <v>255</v>
      </c>
      <c r="EJ10">
        <v>255</v>
      </c>
      <c r="EK10">
        <v>255</v>
      </c>
      <c r="EL10">
        <v>255</v>
      </c>
      <c r="EM10">
        <v>255</v>
      </c>
      <c r="EN10">
        <v>255</v>
      </c>
      <c r="EO10">
        <v>255</v>
      </c>
      <c r="EP10">
        <v>255</v>
      </c>
      <c r="EQ10">
        <v>255</v>
      </c>
      <c r="ER10" t="s">
        <v>208</v>
      </c>
      <c r="ES10" t="s">
        <v>209</v>
      </c>
      <c r="ET10" t="s">
        <v>209</v>
      </c>
      <c r="EU10">
        <v>0</v>
      </c>
      <c r="EV10">
        <v>0</v>
      </c>
      <c r="EW10">
        <v>0</v>
      </c>
      <c r="EX10">
        <v>-0.2</v>
      </c>
      <c r="EY10">
        <v>0</v>
      </c>
      <c r="EZ10">
        <v>0</v>
      </c>
      <c r="FA10">
        <v>0</v>
      </c>
      <c r="FB10" t="s">
        <v>198</v>
      </c>
      <c r="FC10" t="s">
        <v>198</v>
      </c>
      <c r="FD10" t="s">
        <v>198</v>
      </c>
      <c r="FE10" t="s">
        <v>198</v>
      </c>
      <c r="FF10" t="s">
        <v>198</v>
      </c>
      <c r="FG10" t="s">
        <v>198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 t="s">
        <v>203</v>
      </c>
      <c r="FP10" t="s">
        <v>203</v>
      </c>
      <c r="FQ10" t="s">
        <v>203</v>
      </c>
      <c r="FR10" t="s">
        <v>203</v>
      </c>
      <c r="FS10" t="s">
        <v>203</v>
      </c>
      <c r="FT10" t="s">
        <v>203</v>
      </c>
      <c r="FU10" t="s">
        <v>198</v>
      </c>
      <c r="FV10" t="s">
        <v>198</v>
      </c>
      <c r="FW10" t="s">
        <v>198</v>
      </c>
      <c r="FX10" t="s">
        <v>198</v>
      </c>
      <c r="FY10" t="s">
        <v>198</v>
      </c>
      <c r="FZ10" t="s">
        <v>198</v>
      </c>
      <c r="GA10">
        <v>31.2</v>
      </c>
      <c r="GB10">
        <v>31.2</v>
      </c>
      <c r="GC10" t="s">
        <v>203</v>
      </c>
      <c r="GD10">
        <v>0</v>
      </c>
      <c r="GE10">
        <v>504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 t="s">
        <v>198</v>
      </c>
      <c r="GM10" t="s">
        <v>198</v>
      </c>
      <c r="GN10" t="s">
        <v>198</v>
      </c>
    </row>
    <row r="11" spans="1:196">
      <c r="A11" s="19">
        <v>46316.90400859954</v>
      </c>
      <c r="B11">
        <v>0</v>
      </c>
      <c r="C11">
        <v>0</v>
      </c>
      <c r="D11">
        <v>360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584.2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226</v>
      </c>
      <c r="U11">
        <v>0</v>
      </c>
      <c r="V11">
        <v>0</v>
      </c>
      <c r="W11">
        <v>0</v>
      </c>
      <c r="X11" t="s">
        <v>197</v>
      </c>
      <c r="Y11">
        <v>0</v>
      </c>
      <c r="Z11" t="s">
        <v>197</v>
      </c>
      <c r="AA11" t="s">
        <v>197</v>
      </c>
      <c r="AB11" t="s">
        <v>197</v>
      </c>
      <c r="AC11" t="s">
        <v>198</v>
      </c>
      <c r="AD11" t="s">
        <v>199</v>
      </c>
      <c r="AE11">
        <v>0</v>
      </c>
      <c r="AF11">
        <v>44</v>
      </c>
      <c r="AG11">
        <v>255</v>
      </c>
      <c r="AH11">
        <v>0</v>
      </c>
      <c r="AI11">
        <v>0</v>
      </c>
      <c r="AJ11">
        <v>0</v>
      </c>
      <c r="AK11">
        <v>12.6</v>
      </c>
      <c r="AL11">
        <v>0</v>
      </c>
      <c r="AM11">
        <v>0</v>
      </c>
      <c r="AN11" t="s">
        <v>197</v>
      </c>
      <c r="AO11">
        <v>100</v>
      </c>
      <c r="AP11" t="s">
        <v>197</v>
      </c>
      <c r="AQ11" t="s">
        <v>200</v>
      </c>
      <c r="AR11">
        <v>1</v>
      </c>
      <c r="AS11">
        <v>0</v>
      </c>
      <c r="AT11" t="s">
        <v>227</v>
      </c>
      <c r="AU11" t="s">
        <v>227</v>
      </c>
      <c r="AV11" t="s">
        <v>202</v>
      </c>
      <c r="AW11" t="s">
        <v>203</v>
      </c>
      <c r="AX11" t="s">
        <v>203</v>
      </c>
      <c r="AY11" t="s">
        <v>203</v>
      </c>
      <c r="AZ11" t="s">
        <v>203</v>
      </c>
      <c r="BA11" t="s">
        <v>203</v>
      </c>
      <c r="BB11" t="s">
        <v>203</v>
      </c>
      <c r="BC11" t="s">
        <v>203</v>
      </c>
      <c r="BD11" t="s">
        <v>203</v>
      </c>
      <c r="BE11" t="s">
        <v>203</v>
      </c>
      <c r="BF11">
        <v>0</v>
      </c>
      <c r="BG11">
        <v>0.2</v>
      </c>
      <c r="BH11">
        <v>50</v>
      </c>
      <c r="BI11">
        <v>0</v>
      </c>
      <c r="BJ11" t="s">
        <v>198</v>
      </c>
      <c r="BK11" t="s">
        <v>198</v>
      </c>
      <c r="BL11" t="s">
        <v>198</v>
      </c>
      <c r="BM11" t="s">
        <v>198</v>
      </c>
      <c r="BN11" t="s">
        <v>198</v>
      </c>
      <c r="BO11" t="s">
        <v>198</v>
      </c>
      <c r="BP11" t="s">
        <v>198</v>
      </c>
      <c r="BQ11" t="s">
        <v>198</v>
      </c>
      <c r="BR11" t="s">
        <v>198</v>
      </c>
      <c r="BS11" t="s">
        <v>198</v>
      </c>
      <c r="BT11" t="s">
        <v>198</v>
      </c>
      <c r="BU11" t="s">
        <v>198</v>
      </c>
      <c r="BV11" t="s">
        <v>198</v>
      </c>
      <c r="BW11" t="s">
        <v>198</v>
      </c>
      <c r="BX11" t="s">
        <v>198</v>
      </c>
      <c r="BY11" t="s">
        <v>198</v>
      </c>
      <c r="BZ11" t="s">
        <v>198</v>
      </c>
      <c r="CA11" t="s">
        <v>198</v>
      </c>
      <c r="CB11" t="s">
        <v>204</v>
      </c>
      <c r="CC11" t="s">
        <v>204</v>
      </c>
      <c r="CD11" t="s">
        <v>204</v>
      </c>
      <c r="CE11" t="s">
        <v>204</v>
      </c>
      <c r="CF11" t="s">
        <v>204</v>
      </c>
      <c r="CG11" t="s">
        <v>204</v>
      </c>
      <c r="CH11" t="s">
        <v>204</v>
      </c>
      <c r="CI11" t="s">
        <v>204</v>
      </c>
      <c r="CJ11" t="s">
        <v>204</v>
      </c>
      <c r="CK11" t="s">
        <v>204</v>
      </c>
      <c r="CL11" t="s">
        <v>204</v>
      </c>
      <c r="CM11" t="s">
        <v>204</v>
      </c>
      <c r="CN11" t="s">
        <v>203</v>
      </c>
      <c r="CO11" t="s">
        <v>203</v>
      </c>
      <c r="CP11" t="s">
        <v>203</v>
      </c>
      <c r="CQ11" t="s">
        <v>203</v>
      </c>
      <c r="CR11" t="s">
        <v>203</v>
      </c>
      <c r="CS11" t="s">
        <v>203</v>
      </c>
      <c r="CT11" t="s">
        <v>203</v>
      </c>
      <c r="CU11" t="s">
        <v>203</v>
      </c>
      <c r="CV11">
        <v>0</v>
      </c>
      <c r="CW11">
        <v>0</v>
      </c>
      <c r="CX11" t="s">
        <v>198</v>
      </c>
      <c r="CY11" t="s">
        <v>198</v>
      </c>
      <c r="CZ11" t="s">
        <v>198</v>
      </c>
      <c r="DA11" t="s">
        <v>198</v>
      </c>
      <c r="DB11" t="s">
        <v>198</v>
      </c>
      <c r="DC11">
        <v>0</v>
      </c>
      <c r="DD11">
        <v>0</v>
      </c>
      <c r="DE11">
        <v>0</v>
      </c>
      <c r="DF11">
        <v>0</v>
      </c>
      <c r="DG11">
        <v>-35.3632621</v>
      </c>
      <c r="DH11">
        <v>149.1652374</v>
      </c>
      <c r="DI11" t="s">
        <v>205</v>
      </c>
      <c r="DJ11">
        <v>1.2</v>
      </c>
      <c r="DK11">
        <v>2</v>
      </c>
      <c r="DL11">
        <v>0</v>
      </c>
      <c r="DM11">
        <v>0</v>
      </c>
      <c r="DN11">
        <v>6</v>
      </c>
      <c r="DO11">
        <v>10</v>
      </c>
      <c r="DP11">
        <v>0</v>
      </c>
      <c r="DQ11">
        <v>255</v>
      </c>
      <c r="DR11">
        <v>255</v>
      </c>
      <c r="DS11">
        <v>255</v>
      </c>
      <c r="DT11">
        <v>255</v>
      </c>
      <c r="DU11">
        <v>255</v>
      </c>
      <c r="DV11">
        <v>255</v>
      </c>
      <c r="DW11">
        <v>255</v>
      </c>
      <c r="DX11" t="s">
        <v>206</v>
      </c>
      <c r="DY11" t="s">
        <v>206</v>
      </c>
      <c r="DZ11" t="s">
        <v>207</v>
      </c>
      <c r="EA11" t="s">
        <v>198</v>
      </c>
      <c r="EB11" t="s">
        <v>198</v>
      </c>
      <c r="EC11" t="s">
        <v>198</v>
      </c>
      <c r="ED11">
        <v>0</v>
      </c>
      <c r="EE11">
        <v>0</v>
      </c>
      <c r="EF11">
        <v>0</v>
      </c>
      <c r="EG11">
        <v>0</v>
      </c>
      <c r="EH11">
        <v>255</v>
      </c>
      <c r="EI11">
        <v>255</v>
      </c>
      <c r="EJ11">
        <v>255</v>
      </c>
      <c r="EK11">
        <v>255</v>
      </c>
      <c r="EL11">
        <v>255</v>
      </c>
      <c r="EM11">
        <v>255</v>
      </c>
      <c r="EN11">
        <v>255</v>
      </c>
      <c r="EO11">
        <v>255</v>
      </c>
      <c r="EP11">
        <v>255</v>
      </c>
      <c r="EQ11">
        <v>255</v>
      </c>
      <c r="ER11" t="s">
        <v>208</v>
      </c>
      <c r="ES11" t="s">
        <v>209</v>
      </c>
      <c r="ET11" t="s">
        <v>209</v>
      </c>
      <c r="EU11">
        <v>0</v>
      </c>
      <c r="EV11">
        <v>0</v>
      </c>
      <c r="EW11">
        <v>0</v>
      </c>
      <c r="EX11">
        <v>-0.2</v>
      </c>
      <c r="EY11">
        <v>0</v>
      </c>
      <c r="EZ11">
        <v>0</v>
      </c>
      <c r="FA11">
        <v>0</v>
      </c>
      <c r="FB11" t="s">
        <v>198</v>
      </c>
      <c r="FC11" t="s">
        <v>198</v>
      </c>
      <c r="FD11" t="s">
        <v>198</v>
      </c>
      <c r="FE11" t="s">
        <v>198</v>
      </c>
      <c r="FF11" t="s">
        <v>198</v>
      </c>
      <c r="FG11" t="s">
        <v>198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 t="s">
        <v>203</v>
      </c>
      <c r="FP11" t="s">
        <v>203</v>
      </c>
      <c r="FQ11" t="s">
        <v>203</v>
      </c>
      <c r="FR11" t="s">
        <v>203</v>
      </c>
      <c r="FS11" t="s">
        <v>203</v>
      </c>
      <c r="FT11" t="s">
        <v>203</v>
      </c>
      <c r="FU11" t="s">
        <v>198</v>
      </c>
      <c r="FV11" t="s">
        <v>198</v>
      </c>
      <c r="FW11" t="s">
        <v>198</v>
      </c>
      <c r="FX11" t="s">
        <v>198</v>
      </c>
      <c r="FY11" t="s">
        <v>198</v>
      </c>
      <c r="FZ11" t="s">
        <v>198</v>
      </c>
      <c r="GA11">
        <v>31.2</v>
      </c>
      <c r="GB11">
        <v>31.2</v>
      </c>
      <c r="GC11" t="s">
        <v>203</v>
      </c>
      <c r="GD11">
        <v>0</v>
      </c>
      <c r="GE11">
        <v>504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 t="s">
        <v>198</v>
      </c>
      <c r="GM11" t="s">
        <v>198</v>
      </c>
      <c r="GN11" t="s">
        <v>198</v>
      </c>
    </row>
    <row r="12" spans="1:196">
      <c r="A12" s="19">
        <v>46316.90402017361</v>
      </c>
      <c r="B12">
        <v>0</v>
      </c>
      <c r="C12">
        <v>0</v>
      </c>
      <c r="D12">
        <v>360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584.2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226</v>
      </c>
      <c r="U12">
        <v>0</v>
      </c>
      <c r="V12">
        <v>0</v>
      </c>
      <c r="W12">
        <v>0</v>
      </c>
      <c r="X12" t="s">
        <v>197</v>
      </c>
      <c r="Y12">
        <v>0</v>
      </c>
      <c r="Z12" t="s">
        <v>197</v>
      </c>
      <c r="AA12" t="s">
        <v>197</v>
      </c>
      <c r="AB12" t="s">
        <v>197</v>
      </c>
      <c r="AC12" t="s">
        <v>198</v>
      </c>
      <c r="AD12" t="s">
        <v>199</v>
      </c>
      <c r="AE12">
        <v>0</v>
      </c>
      <c r="AF12">
        <v>44</v>
      </c>
      <c r="AG12">
        <v>255</v>
      </c>
      <c r="AH12">
        <v>0</v>
      </c>
      <c r="AI12">
        <v>0</v>
      </c>
      <c r="AJ12">
        <v>0</v>
      </c>
      <c r="AK12">
        <v>12.6</v>
      </c>
      <c r="AL12">
        <v>0</v>
      </c>
      <c r="AM12">
        <v>0</v>
      </c>
      <c r="AN12" t="s">
        <v>197</v>
      </c>
      <c r="AO12">
        <v>100</v>
      </c>
      <c r="AP12" t="s">
        <v>197</v>
      </c>
      <c r="AQ12" t="s">
        <v>200</v>
      </c>
      <c r="AR12">
        <v>1</v>
      </c>
      <c r="AS12">
        <v>0</v>
      </c>
      <c r="AT12" t="s">
        <v>228</v>
      </c>
      <c r="AU12" t="s">
        <v>228</v>
      </c>
      <c r="AV12" t="s">
        <v>202</v>
      </c>
      <c r="AW12" t="s">
        <v>203</v>
      </c>
      <c r="AX12" t="s">
        <v>203</v>
      </c>
      <c r="AY12" t="s">
        <v>203</v>
      </c>
      <c r="AZ12" t="s">
        <v>203</v>
      </c>
      <c r="BA12" t="s">
        <v>203</v>
      </c>
      <c r="BB12" t="s">
        <v>203</v>
      </c>
      <c r="BC12" t="s">
        <v>203</v>
      </c>
      <c r="BD12" t="s">
        <v>203</v>
      </c>
      <c r="BE12" t="s">
        <v>203</v>
      </c>
      <c r="BF12">
        <v>0</v>
      </c>
      <c r="BG12">
        <v>0.2</v>
      </c>
      <c r="BH12">
        <v>50</v>
      </c>
      <c r="BI12">
        <v>0</v>
      </c>
      <c r="BJ12" t="s">
        <v>198</v>
      </c>
      <c r="BK12" t="s">
        <v>198</v>
      </c>
      <c r="BL12" t="s">
        <v>198</v>
      </c>
      <c r="BM12" t="s">
        <v>198</v>
      </c>
      <c r="BN12" t="s">
        <v>198</v>
      </c>
      <c r="BO12" t="s">
        <v>198</v>
      </c>
      <c r="BP12" t="s">
        <v>198</v>
      </c>
      <c r="BQ12" t="s">
        <v>198</v>
      </c>
      <c r="BR12" t="s">
        <v>198</v>
      </c>
      <c r="BS12" t="s">
        <v>198</v>
      </c>
      <c r="BT12" t="s">
        <v>198</v>
      </c>
      <c r="BU12" t="s">
        <v>198</v>
      </c>
      <c r="BV12" t="s">
        <v>198</v>
      </c>
      <c r="BW12" t="s">
        <v>198</v>
      </c>
      <c r="BX12" t="s">
        <v>198</v>
      </c>
      <c r="BY12" t="s">
        <v>198</v>
      </c>
      <c r="BZ12" t="s">
        <v>198</v>
      </c>
      <c r="CA12" t="s">
        <v>198</v>
      </c>
      <c r="CB12" t="s">
        <v>204</v>
      </c>
      <c r="CC12" t="s">
        <v>204</v>
      </c>
      <c r="CD12" t="s">
        <v>204</v>
      </c>
      <c r="CE12" t="s">
        <v>204</v>
      </c>
      <c r="CF12" t="s">
        <v>204</v>
      </c>
      <c r="CG12" t="s">
        <v>204</v>
      </c>
      <c r="CH12" t="s">
        <v>204</v>
      </c>
      <c r="CI12" t="s">
        <v>204</v>
      </c>
      <c r="CJ12" t="s">
        <v>204</v>
      </c>
      <c r="CK12" t="s">
        <v>204</v>
      </c>
      <c r="CL12" t="s">
        <v>204</v>
      </c>
      <c r="CM12" t="s">
        <v>204</v>
      </c>
      <c r="CN12" t="s">
        <v>203</v>
      </c>
      <c r="CO12" t="s">
        <v>203</v>
      </c>
      <c r="CP12" t="s">
        <v>203</v>
      </c>
      <c r="CQ12" t="s">
        <v>203</v>
      </c>
      <c r="CR12" t="s">
        <v>203</v>
      </c>
      <c r="CS12" t="s">
        <v>203</v>
      </c>
      <c r="CT12" t="s">
        <v>203</v>
      </c>
      <c r="CU12" t="s">
        <v>203</v>
      </c>
      <c r="CV12">
        <v>0</v>
      </c>
      <c r="CW12">
        <v>0</v>
      </c>
      <c r="CX12" t="s">
        <v>198</v>
      </c>
      <c r="CY12" t="s">
        <v>198</v>
      </c>
      <c r="CZ12" t="s">
        <v>198</v>
      </c>
      <c r="DA12" t="s">
        <v>198</v>
      </c>
      <c r="DB12" t="s">
        <v>198</v>
      </c>
      <c r="DC12">
        <v>0</v>
      </c>
      <c r="DD12">
        <v>0</v>
      </c>
      <c r="DE12">
        <v>0</v>
      </c>
      <c r="DF12">
        <v>0</v>
      </c>
      <c r="DG12">
        <v>-35.3632621</v>
      </c>
      <c r="DH12">
        <v>149.1652374</v>
      </c>
      <c r="DI12" t="s">
        <v>205</v>
      </c>
      <c r="DJ12">
        <v>1.2</v>
      </c>
      <c r="DK12">
        <v>2</v>
      </c>
      <c r="DL12">
        <v>0</v>
      </c>
      <c r="DM12">
        <v>0</v>
      </c>
      <c r="DN12">
        <v>6</v>
      </c>
      <c r="DO12">
        <v>10</v>
      </c>
      <c r="DP12">
        <v>0</v>
      </c>
      <c r="DQ12">
        <v>255</v>
      </c>
      <c r="DR12">
        <v>255</v>
      </c>
      <c r="DS12">
        <v>255</v>
      </c>
      <c r="DT12">
        <v>255</v>
      </c>
      <c r="DU12">
        <v>255</v>
      </c>
      <c r="DV12">
        <v>255</v>
      </c>
      <c r="DW12">
        <v>255</v>
      </c>
      <c r="DX12" t="s">
        <v>206</v>
      </c>
      <c r="DY12" t="s">
        <v>206</v>
      </c>
      <c r="DZ12" t="s">
        <v>207</v>
      </c>
      <c r="EA12" t="s">
        <v>198</v>
      </c>
      <c r="EB12" t="s">
        <v>198</v>
      </c>
      <c r="EC12" t="s">
        <v>198</v>
      </c>
      <c r="ED12">
        <v>0</v>
      </c>
      <c r="EE12">
        <v>0</v>
      </c>
      <c r="EF12">
        <v>0</v>
      </c>
      <c r="EG12">
        <v>0</v>
      </c>
      <c r="EH12">
        <v>255</v>
      </c>
      <c r="EI12">
        <v>255</v>
      </c>
      <c r="EJ12">
        <v>255</v>
      </c>
      <c r="EK12">
        <v>255</v>
      </c>
      <c r="EL12">
        <v>255</v>
      </c>
      <c r="EM12">
        <v>255</v>
      </c>
      <c r="EN12">
        <v>255</v>
      </c>
      <c r="EO12">
        <v>255</v>
      </c>
      <c r="EP12">
        <v>255</v>
      </c>
      <c r="EQ12">
        <v>255</v>
      </c>
      <c r="ER12" t="s">
        <v>208</v>
      </c>
      <c r="ES12" t="s">
        <v>209</v>
      </c>
      <c r="ET12" t="s">
        <v>209</v>
      </c>
      <c r="EU12">
        <v>0</v>
      </c>
      <c r="EV12">
        <v>0</v>
      </c>
      <c r="EW12">
        <v>0</v>
      </c>
      <c r="EX12">
        <v>-0.2</v>
      </c>
      <c r="EY12">
        <v>0</v>
      </c>
      <c r="EZ12">
        <v>0</v>
      </c>
      <c r="FA12">
        <v>0</v>
      </c>
      <c r="FB12" t="s">
        <v>198</v>
      </c>
      <c r="FC12" t="s">
        <v>198</v>
      </c>
      <c r="FD12" t="s">
        <v>198</v>
      </c>
      <c r="FE12" t="s">
        <v>198</v>
      </c>
      <c r="FF12" t="s">
        <v>198</v>
      </c>
      <c r="FG12" t="s">
        <v>198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 t="s">
        <v>203</v>
      </c>
      <c r="FP12" t="s">
        <v>203</v>
      </c>
      <c r="FQ12" t="s">
        <v>203</v>
      </c>
      <c r="FR12" t="s">
        <v>203</v>
      </c>
      <c r="FS12" t="s">
        <v>203</v>
      </c>
      <c r="FT12" t="s">
        <v>203</v>
      </c>
      <c r="FU12" t="s">
        <v>198</v>
      </c>
      <c r="FV12" t="s">
        <v>198</v>
      </c>
      <c r="FW12" t="s">
        <v>198</v>
      </c>
      <c r="FX12" t="s">
        <v>198</v>
      </c>
      <c r="FY12" t="s">
        <v>198</v>
      </c>
      <c r="FZ12" t="s">
        <v>198</v>
      </c>
      <c r="GA12">
        <v>31.2</v>
      </c>
      <c r="GB12">
        <v>31.2</v>
      </c>
      <c r="GC12" t="s">
        <v>203</v>
      </c>
      <c r="GD12">
        <v>0</v>
      </c>
      <c r="GE12">
        <v>504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 t="s">
        <v>198</v>
      </c>
      <c r="GM12" t="s">
        <v>198</v>
      </c>
      <c r="GN12" t="s">
        <v>198</v>
      </c>
    </row>
    <row r="13" spans="1:196">
      <c r="A13" s="19">
        <v>46316.90403174768</v>
      </c>
      <c r="B13">
        <v>0</v>
      </c>
      <c r="C13">
        <v>0</v>
      </c>
      <c r="D13">
        <v>360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584.2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226</v>
      </c>
      <c r="U13">
        <v>0</v>
      </c>
      <c r="V13">
        <v>0</v>
      </c>
      <c r="W13">
        <v>0</v>
      </c>
      <c r="X13" t="s">
        <v>197</v>
      </c>
      <c r="Y13">
        <v>0</v>
      </c>
      <c r="Z13" t="s">
        <v>197</v>
      </c>
      <c r="AA13" t="s">
        <v>197</v>
      </c>
      <c r="AB13" t="s">
        <v>197</v>
      </c>
      <c r="AC13" t="s">
        <v>198</v>
      </c>
      <c r="AD13" t="s">
        <v>199</v>
      </c>
      <c r="AE13">
        <v>0</v>
      </c>
      <c r="AF13">
        <v>44</v>
      </c>
      <c r="AG13">
        <v>255</v>
      </c>
      <c r="AH13">
        <v>0</v>
      </c>
      <c r="AI13">
        <v>0</v>
      </c>
      <c r="AJ13">
        <v>0</v>
      </c>
      <c r="AK13">
        <v>12.6</v>
      </c>
      <c r="AL13">
        <v>0</v>
      </c>
      <c r="AM13">
        <v>0</v>
      </c>
      <c r="AN13" t="s">
        <v>197</v>
      </c>
      <c r="AO13">
        <v>100</v>
      </c>
      <c r="AP13" t="s">
        <v>197</v>
      </c>
      <c r="AQ13" t="s">
        <v>200</v>
      </c>
      <c r="AR13">
        <v>1</v>
      </c>
      <c r="AS13">
        <v>0</v>
      </c>
      <c r="AT13" t="s">
        <v>229</v>
      </c>
      <c r="AU13" t="s">
        <v>229</v>
      </c>
      <c r="AV13" t="s">
        <v>202</v>
      </c>
      <c r="AW13" t="s">
        <v>203</v>
      </c>
      <c r="AX13" t="s">
        <v>203</v>
      </c>
      <c r="AY13" t="s">
        <v>203</v>
      </c>
      <c r="AZ13" t="s">
        <v>203</v>
      </c>
      <c r="BA13" t="s">
        <v>203</v>
      </c>
      <c r="BB13" t="s">
        <v>203</v>
      </c>
      <c r="BC13" t="s">
        <v>203</v>
      </c>
      <c r="BD13" t="s">
        <v>203</v>
      </c>
      <c r="BE13" t="s">
        <v>203</v>
      </c>
      <c r="BF13">
        <v>0</v>
      </c>
      <c r="BG13">
        <v>0.2</v>
      </c>
      <c r="BH13">
        <v>50</v>
      </c>
      <c r="BI13">
        <v>0</v>
      </c>
      <c r="BJ13" t="s">
        <v>198</v>
      </c>
      <c r="BK13" t="s">
        <v>198</v>
      </c>
      <c r="BL13" t="s">
        <v>198</v>
      </c>
      <c r="BM13" t="s">
        <v>198</v>
      </c>
      <c r="BN13" t="s">
        <v>198</v>
      </c>
      <c r="BO13" t="s">
        <v>198</v>
      </c>
      <c r="BP13" t="s">
        <v>198</v>
      </c>
      <c r="BQ13" t="s">
        <v>198</v>
      </c>
      <c r="BR13" t="s">
        <v>198</v>
      </c>
      <c r="BS13" t="s">
        <v>198</v>
      </c>
      <c r="BT13" t="s">
        <v>198</v>
      </c>
      <c r="BU13" t="s">
        <v>198</v>
      </c>
      <c r="BV13" t="s">
        <v>198</v>
      </c>
      <c r="BW13" t="s">
        <v>198</v>
      </c>
      <c r="BX13" t="s">
        <v>198</v>
      </c>
      <c r="BY13" t="s">
        <v>198</v>
      </c>
      <c r="BZ13" t="s">
        <v>198</v>
      </c>
      <c r="CA13" t="s">
        <v>198</v>
      </c>
      <c r="CB13" t="s">
        <v>204</v>
      </c>
      <c r="CC13" t="s">
        <v>204</v>
      </c>
      <c r="CD13" t="s">
        <v>204</v>
      </c>
      <c r="CE13" t="s">
        <v>204</v>
      </c>
      <c r="CF13" t="s">
        <v>204</v>
      </c>
      <c r="CG13" t="s">
        <v>204</v>
      </c>
      <c r="CH13" t="s">
        <v>204</v>
      </c>
      <c r="CI13" t="s">
        <v>204</v>
      </c>
      <c r="CJ13" t="s">
        <v>204</v>
      </c>
      <c r="CK13" t="s">
        <v>204</v>
      </c>
      <c r="CL13" t="s">
        <v>204</v>
      </c>
      <c r="CM13" t="s">
        <v>204</v>
      </c>
      <c r="CN13" t="s">
        <v>203</v>
      </c>
      <c r="CO13" t="s">
        <v>203</v>
      </c>
      <c r="CP13" t="s">
        <v>203</v>
      </c>
      <c r="CQ13" t="s">
        <v>203</v>
      </c>
      <c r="CR13" t="s">
        <v>203</v>
      </c>
      <c r="CS13" t="s">
        <v>203</v>
      </c>
      <c r="CT13" t="s">
        <v>203</v>
      </c>
      <c r="CU13" t="s">
        <v>203</v>
      </c>
      <c r="CV13">
        <v>0</v>
      </c>
      <c r="CW13">
        <v>0</v>
      </c>
      <c r="CX13" t="s">
        <v>198</v>
      </c>
      <c r="CY13" t="s">
        <v>198</v>
      </c>
      <c r="CZ13" t="s">
        <v>198</v>
      </c>
      <c r="DA13" t="s">
        <v>198</v>
      </c>
      <c r="DB13" t="s">
        <v>198</v>
      </c>
      <c r="DC13">
        <v>0</v>
      </c>
      <c r="DD13">
        <v>0</v>
      </c>
      <c r="DE13">
        <v>0</v>
      </c>
      <c r="DF13">
        <v>0</v>
      </c>
      <c r="DG13">
        <v>-35.3632621</v>
      </c>
      <c r="DH13">
        <v>149.1652374</v>
      </c>
      <c r="DI13" t="s">
        <v>205</v>
      </c>
      <c r="DJ13">
        <v>1.2</v>
      </c>
      <c r="DK13">
        <v>2</v>
      </c>
      <c r="DL13">
        <v>0</v>
      </c>
      <c r="DM13">
        <v>0</v>
      </c>
      <c r="DN13">
        <v>6</v>
      </c>
      <c r="DO13">
        <v>10</v>
      </c>
      <c r="DP13">
        <v>0</v>
      </c>
      <c r="DQ13">
        <v>255</v>
      </c>
      <c r="DR13">
        <v>255</v>
      </c>
      <c r="DS13">
        <v>255</v>
      </c>
      <c r="DT13">
        <v>255</v>
      </c>
      <c r="DU13">
        <v>255</v>
      </c>
      <c r="DV13">
        <v>255</v>
      </c>
      <c r="DW13">
        <v>255</v>
      </c>
      <c r="DX13" t="s">
        <v>206</v>
      </c>
      <c r="DY13" t="s">
        <v>206</v>
      </c>
      <c r="DZ13" t="s">
        <v>207</v>
      </c>
      <c r="EA13" t="s">
        <v>198</v>
      </c>
      <c r="EB13" t="s">
        <v>198</v>
      </c>
      <c r="EC13" t="s">
        <v>198</v>
      </c>
      <c r="ED13">
        <v>0</v>
      </c>
      <c r="EE13">
        <v>0</v>
      </c>
      <c r="EF13">
        <v>0</v>
      </c>
      <c r="EG13">
        <v>0</v>
      </c>
      <c r="EH13">
        <v>255</v>
      </c>
      <c r="EI13">
        <v>255</v>
      </c>
      <c r="EJ13">
        <v>255</v>
      </c>
      <c r="EK13">
        <v>255</v>
      </c>
      <c r="EL13">
        <v>255</v>
      </c>
      <c r="EM13">
        <v>255</v>
      </c>
      <c r="EN13">
        <v>255</v>
      </c>
      <c r="EO13">
        <v>255</v>
      </c>
      <c r="EP13">
        <v>255</v>
      </c>
      <c r="EQ13">
        <v>255</v>
      </c>
      <c r="ER13" t="s">
        <v>208</v>
      </c>
      <c r="ES13" t="s">
        <v>209</v>
      </c>
      <c r="ET13" t="s">
        <v>209</v>
      </c>
      <c r="EU13">
        <v>0</v>
      </c>
      <c r="EV13">
        <v>0</v>
      </c>
      <c r="EW13">
        <v>0</v>
      </c>
      <c r="EX13">
        <v>-0.2</v>
      </c>
      <c r="EY13">
        <v>0</v>
      </c>
      <c r="EZ13">
        <v>0</v>
      </c>
      <c r="FA13">
        <v>0</v>
      </c>
      <c r="FB13" t="s">
        <v>198</v>
      </c>
      <c r="FC13" t="s">
        <v>198</v>
      </c>
      <c r="FD13" t="s">
        <v>198</v>
      </c>
      <c r="FE13" t="s">
        <v>198</v>
      </c>
      <c r="FF13" t="s">
        <v>198</v>
      </c>
      <c r="FG13" t="s">
        <v>198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 t="s">
        <v>203</v>
      </c>
      <c r="FP13" t="s">
        <v>203</v>
      </c>
      <c r="FQ13" t="s">
        <v>203</v>
      </c>
      <c r="FR13" t="s">
        <v>203</v>
      </c>
      <c r="FS13" t="s">
        <v>203</v>
      </c>
      <c r="FT13" t="s">
        <v>203</v>
      </c>
      <c r="FU13" t="s">
        <v>198</v>
      </c>
      <c r="FV13" t="s">
        <v>198</v>
      </c>
      <c r="FW13" t="s">
        <v>198</v>
      </c>
      <c r="FX13" t="s">
        <v>198</v>
      </c>
      <c r="FY13" t="s">
        <v>198</v>
      </c>
      <c r="FZ13" t="s">
        <v>198</v>
      </c>
      <c r="GA13">
        <v>31.2</v>
      </c>
      <c r="GB13">
        <v>31.2</v>
      </c>
      <c r="GC13" t="s">
        <v>203</v>
      </c>
      <c r="GD13">
        <v>0</v>
      </c>
      <c r="GE13">
        <v>504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 t="s">
        <v>198</v>
      </c>
      <c r="GM13" t="s">
        <v>198</v>
      </c>
      <c r="GN13" t="s">
        <v>198</v>
      </c>
    </row>
    <row r="14" spans="1:196">
      <c r="A14" s="19">
        <v>46316.90404332176</v>
      </c>
      <c r="B14">
        <v>0</v>
      </c>
      <c r="C14">
        <v>0</v>
      </c>
      <c r="D14">
        <v>360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584.2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226</v>
      </c>
      <c r="U14">
        <v>0</v>
      </c>
      <c r="V14">
        <v>0</v>
      </c>
      <c r="W14">
        <v>0</v>
      </c>
      <c r="X14" t="s">
        <v>197</v>
      </c>
      <c r="Y14">
        <v>0</v>
      </c>
      <c r="Z14" t="s">
        <v>197</v>
      </c>
      <c r="AA14" t="s">
        <v>197</v>
      </c>
      <c r="AB14" t="s">
        <v>197</v>
      </c>
      <c r="AC14" t="s">
        <v>198</v>
      </c>
      <c r="AD14" t="s">
        <v>199</v>
      </c>
      <c r="AE14">
        <v>0</v>
      </c>
      <c r="AF14">
        <v>44</v>
      </c>
      <c r="AG14">
        <v>255</v>
      </c>
      <c r="AH14">
        <v>0</v>
      </c>
      <c r="AI14">
        <v>0</v>
      </c>
      <c r="AJ14">
        <v>0</v>
      </c>
      <c r="AK14">
        <v>12.6</v>
      </c>
      <c r="AL14">
        <v>0</v>
      </c>
      <c r="AM14">
        <v>0</v>
      </c>
      <c r="AN14" t="s">
        <v>197</v>
      </c>
      <c r="AO14">
        <v>100</v>
      </c>
      <c r="AP14" t="s">
        <v>197</v>
      </c>
      <c r="AQ14" t="s">
        <v>200</v>
      </c>
      <c r="AR14">
        <v>1</v>
      </c>
      <c r="AS14">
        <v>0</v>
      </c>
      <c r="AT14" t="s">
        <v>230</v>
      </c>
      <c r="AU14" t="s">
        <v>230</v>
      </c>
      <c r="AV14" t="s">
        <v>202</v>
      </c>
      <c r="AW14" t="s">
        <v>203</v>
      </c>
      <c r="AX14" t="s">
        <v>203</v>
      </c>
      <c r="AY14" t="s">
        <v>203</v>
      </c>
      <c r="AZ14" t="s">
        <v>203</v>
      </c>
      <c r="BA14" t="s">
        <v>203</v>
      </c>
      <c r="BB14" t="s">
        <v>203</v>
      </c>
      <c r="BC14" t="s">
        <v>203</v>
      </c>
      <c r="BD14" t="s">
        <v>203</v>
      </c>
      <c r="BE14" t="s">
        <v>203</v>
      </c>
      <c r="BF14">
        <v>0</v>
      </c>
      <c r="BG14">
        <v>0.2</v>
      </c>
      <c r="BH14">
        <v>50</v>
      </c>
      <c r="BI14">
        <v>0</v>
      </c>
      <c r="BJ14" t="s">
        <v>198</v>
      </c>
      <c r="BK14" t="s">
        <v>198</v>
      </c>
      <c r="BL14" t="s">
        <v>198</v>
      </c>
      <c r="BM14" t="s">
        <v>198</v>
      </c>
      <c r="BN14" t="s">
        <v>198</v>
      </c>
      <c r="BO14" t="s">
        <v>198</v>
      </c>
      <c r="BP14" t="s">
        <v>198</v>
      </c>
      <c r="BQ14" t="s">
        <v>198</v>
      </c>
      <c r="BR14" t="s">
        <v>198</v>
      </c>
      <c r="BS14" t="s">
        <v>198</v>
      </c>
      <c r="BT14" t="s">
        <v>198</v>
      </c>
      <c r="BU14" t="s">
        <v>198</v>
      </c>
      <c r="BV14" t="s">
        <v>198</v>
      </c>
      <c r="BW14" t="s">
        <v>198</v>
      </c>
      <c r="BX14" t="s">
        <v>198</v>
      </c>
      <c r="BY14" t="s">
        <v>198</v>
      </c>
      <c r="BZ14" t="s">
        <v>198</v>
      </c>
      <c r="CA14" t="s">
        <v>198</v>
      </c>
      <c r="CB14" t="s">
        <v>204</v>
      </c>
      <c r="CC14" t="s">
        <v>204</v>
      </c>
      <c r="CD14" t="s">
        <v>204</v>
      </c>
      <c r="CE14" t="s">
        <v>204</v>
      </c>
      <c r="CF14" t="s">
        <v>204</v>
      </c>
      <c r="CG14" t="s">
        <v>204</v>
      </c>
      <c r="CH14" t="s">
        <v>204</v>
      </c>
      <c r="CI14" t="s">
        <v>204</v>
      </c>
      <c r="CJ14" t="s">
        <v>204</v>
      </c>
      <c r="CK14" t="s">
        <v>204</v>
      </c>
      <c r="CL14" t="s">
        <v>204</v>
      </c>
      <c r="CM14" t="s">
        <v>204</v>
      </c>
      <c r="CN14" t="s">
        <v>203</v>
      </c>
      <c r="CO14" t="s">
        <v>203</v>
      </c>
      <c r="CP14" t="s">
        <v>203</v>
      </c>
      <c r="CQ14" t="s">
        <v>203</v>
      </c>
      <c r="CR14" t="s">
        <v>203</v>
      </c>
      <c r="CS14" t="s">
        <v>203</v>
      </c>
      <c r="CT14" t="s">
        <v>203</v>
      </c>
      <c r="CU14" t="s">
        <v>203</v>
      </c>
      <c r="CV14">
        <v>0</v>
      </c>
      <c r="CW14">
        <v>0</v>
      </c>
      <c r="CX14" t="s">
        <v>198</v>
      </c>
      <c r="CY14" t="s">
        <v>198</v>
      </c>
      <c r="CZ14" t="s">
        <v>198</v>
      </c>
      <c r="DA14" t="s">
        <v>198</v>
      </c>
      <c r="DB14" t="s">
        <v>198</v>
      </c>
      <c r="DC14">
        <v>0</v>
      </c>
      <c r="DD14">
        <v>0</v>
      </c>
      <c r="DE14">
        <v>0</v>
      </c>
      <c r="DF14">
        <v>0</v>
      </c>
      <c r="DG14">
        <v>-35.3632621</v>
      </c>
      <c r="DH14">
        <v>149.1652374</v>
      </c>
      <c r="DI14" t="s">
        <v>205</v>
      </c>
      <c r="DJ14">
        <v>1.2</v>
      </c>
      <c r="DK14">
        <v>2</v>
      </c>
      <c r="DL14">
        <v>0</v>
      </c>
      <c r="DM14">
        <v>0</v>
      </c>
      <c r="DN14">
        <v>6</v>
      </c>
      <c r="DO14">
        <v>10</v>
      </c>
      <c r="DP14">
        <v>0</v>
      </c>
      <c r="DQ14">
        <v>255</v>
      </c>
      <c r="DR14">
        <v>255</v>
      </c>
      <c r="DS14">
        <v>255</v>
      </c>
      <c r="DT14">
        <v>255</v>
      </c>
      <c r="DU14">
        <v>255</v>
      </c>
      <c r="DV14">
        <v>255</v>
      </c>
      <c r="DW14">
        <v>255</v>
      </c>
      <c r="DX14" t="s">
        <v>206</v>
      </c>
      <c r="DY14" t="s">
        <v>206</v>
      </c>
      <c r="DZ14" t="s">
        <v>207</v>
      </c>
      <c r="EA14" t="s">
        <v>198</v>
      </c>
      <c r="EB14" t="s">
        <v>198</v>
      </c>
      <c r="EC14" t="s">
        <v>198</v>
      </c>
      <c r="ED14">
        <v>0</v>
      </c>
      <c r="EE14">
        <v>0</v>
      </c>
      <c r="EF14">
        <v>0</v>
      </c>
      <c r="EG14">
        <v>0</v>
      </c>
      <c r="EH14">
        <v>255</v>
      </c>
      <c r="EI14">
        <v>255</v>
      </c>
      <c r="EJ14">
        <v>255</v>
      </c>
      <c r="EK14">
        <v>255</v>
      </c>
      <c r="EL14">
        <v>255</v>
      </c>
      <c r="EM14">
        <v>255</v>
      </c>
      <c r="EN14">
        <v>255</v>
      </c>
      <c r="EO14">
        <v>255</v>
      </c>
      <c r="EP14">
        <v>255</v>
      </c>
      <c r="EQ14">
        <v>255</v>
      </c>
      <c r="ER14" t="s">
        <v>208</v>
      </c>
      <c r="ES14" t="s">
        <v>209</v>
      </c>
      <c r="ET14" t="s">
        <v>209</v>
      </c>
      <c r="EU14">
        <v>0</v>
      </c>
      <c r="EV14">
        <v>0</v>
      </c>
      <c r="EW14">
        <v>0</v>
      </c>
      <c r="EX14">
        <v>-0.2</v>
      </c>
      <c r="EY14">
        <v>0</v>
      </c>
      <c r="EZ14">
        <v>0</v>
      </c>
      <c r="FA14">
        <v>0</v>
      </c>
      <c r="FB14" t="s">
        <v>198</v>
      </c>
      <c r="FC14" t="s">
        <v>198</v>
      </c>
      <c r="FD14" t="s">
        <v>198</v>
      </c>
      <c r="FE14" t="s">
        <v>198</v>
      </c>
      <c r="FF14" t="s">
        <v>198</v>
      </c>
      <c r="FG14" t="s">
        <v>198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 t="s">
        <v>203</v>
      </c>
      <c r="FP14" t="s">
        <v>203</v>
      </c>
      <c r="FQ14" t="s">
        <v>203</v>
      </c>
      <c r="FR14" t="s">
        <v>203</v>
      </c>
      <c r="FS14" t="s">
        <v>203</v>
      </c>
      <c r="FT14" t="s">
        <v>203</v>
      </c>
      <c r="FU14" t="s">
        <v>198</v>
      </c>
      <c r="FV14" t="s">
        <v>198</v>
      </c>
      <c r="FW14" t="s">
        <v>198</v>
      </c>
      <c r="FX14" t="s">
        <v>198</v>
      </c>
      <c r="FY14" t="s">
        <v>198</v>
      </c>
      <c r="FZ14" t="s">
        <v>198</v>
      </c>
      <c r="GA14">
        <v>31.2</v>
      </c>
      <c r="GB14">
        <v>31.2</v>
      </c>
      <c r="GC14" t="s">
        <v>203</v>
      </c>
      <c r="GD14">
        <v>0</v>
      </c>
      <c r="GE14">
        <v>504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 t="s">
        <v>198</v>
      </c>
      <c r="GM14" t="s">
        <v>198</v>
      </c>
      <c r="GN14" t="s">
        <v>198</v>
      </c>
    </row>
    <row r="15" spans="1:196">
      <c r="A15" s="19">
        <v>46316.90405489584</v>
      </c>
      <c r="B15">
        <v>0</v>
      </c>
      <c r="C15">
        <v>0</v>
      </c>
      <c r="D15">
        <v>360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584.2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226</v>
      </c>
      <c r="U15">
        <v>0</v>
      </c>
      <c r="V15">
        <v>0</v>
      </c>
      <c r="W15">
        <v>0</v>
      </c>
      <c r="X15" t="s">
        <v>197</v>
      </c>
      <c r="Y15">
        <v>0</v>
      </c>
      <c r="Z15" t="s">
        <v>197</v>
      </c>
      <c r="AA15" t="s">
        <v>197</v>
      </c>
      <c r="AB15" t="s">
        <v>197</v>
      </c>
      <c r="AC15" t="s">
        <v>198</v>
      </c>
      <c r="AD15" t="s">
        <v>199</v>
      </c>
      <c r="AE15">
        <v>0</v>
      </c>
      <c r="AF15">
        <v>44</v>
      </c>
      <c r="AG15">
        <v>255</v>
      </c>
      <c r="AH15">
        <v>0</v>
      </c>
      <c r="AI15">
        <v>0</v>
      </c>
      <c r="AJ15">
        <v>0</v>
      </c>
      <c r="AK15">
        <v>12.6</v>
      </c>
      <c r="AL15">
        <v>0</v>
      </c>
      <c r="AM15">
        <v>0</v>
      </c>
      <c r="AN15" t="s">
        <v>197</v>
      </c>
      <c r="AO15">
        <v>100</v>
      </c>
      <c r="AP15" t="s">
        <v>197</v>
      </c>
      <c r="AQ15" t="s">
        <v>200</v>
      </c>
      <c r="AR15">
        <v>1</v>
      </c>
      <c r="AS15">
        <v>0</v>
      </c>
      <c r="AT15" t="s">
        <v>231</v>
      </c>
      <c r="AU15" t="s">
        <v>231</v>
      </c>
      <c r="AV15" t="s">
        <v>202</v>
      </c>
      <c r="AW15" t="s">
        <v>203</v>
      </c>
      <c r="AX15" t="s">
        <v>203</v>
      </c>
      <c r="AY15" t="s">
        <v>203</v>
      </c>
      <c r="AZ15" t="s">
        <v>203</v>
      </c>
      <c r="BA15" t="s">
        <v>203</v>
      </c>
      <c r="BB15" t="s">
        <v>203</v>
      </c>
      <c r="BC15" t="s">
        <v>203</v>
      </c>
      <c r="BD15" t="s">
        <v>203</v>
      </c>
      <c r="BE15" t="s">
        <v>203</v>
      </c>
      <c r="BF15">
        <v>0</v>
      </c>
      <c r="BG15">
        <v>0.2</v>
      </c>
      <c r="BH15">
        <v>50</v>
      </c>
      <c r="BI15">
        <v>0</v>
      </c>
      <c r="BJ15" t="s">
        <v>198</v>
      </c>
      <c r="BK15" t="s">
        <v>198</v>
      </c>
      <c r="BL15" t="s">
        <v>198</v>
      </c>
      <c r="BM15" t="s">
        <v>198</v>
      </c>
      <c r="BN15" t="s">
        <v>198</v>
      </c>
      <c r="BO15" t="s">
        <v>198</v>
      </c>
      <c r="BP15" t="s">
        <v>198</v>
      </c>
      <c r="BQ15" t="s">
        <v>198</v>
      </c>
      <c r="BR15" t="s">
        <v>198</v>
      </c>
      <c r="BS15" t="s">
        <v>198</v>
      </c>
      <c r="BT15" t="s">
        <v>198</v>
      </c>
      <c r="BU15" t="s">
        <v>198</v>
      </c>
      <c r="BV15" t="s">
        <v>198</v>
      </c>
      <c r="BW15" t="s">
        <v>198</v>
      </c>
      <c r="BX15" t="s">
        <v>198</v>
      </c>
      <c r="BY15" t="s">
        <v>198</v>
      </c>
      <c r="BZ15" t="s">
        <v>198</v>
      </c>
      <c r="CA15" t="s">
        <v>198</v>
      </c>
      <c r="CB15" t="s">
        <v>204</v>
      </c>
      <c r="CC15" t="s">
        <v>204</v>
      </c>
      <c r="CD15" t="s">
        <v>204</v>
      </c>
      <c r="CE15" t="s">
        <v>204</v>
      </c>
      <c r="CF15" t="s">
        <v>204</v>
      </c>
      <c r="CG15" t="s">
        <v>204</v>
      </c>
      <c r="CH15" t="s">
        <v>204</v>
      </c>
      <c r="CI15" t="s">
        <v>204</v>
      </c>
      <c r="CJ15" t="s">
        <v>204</v>
      </c>
      <c r="CK15" t="s">
        <v>204</v>
      </c>
      <c r="CL15" t="s">
        <v>204</v>
      </c>
      <c r="CM15" t="s">
        <v>204</v>
      </c>
      <c r="CN15" t="s">
        <v>203</v>
      </c>
      <c r="CO15" t="s">
        <v>203</v>
      </c>
      <c r="CP15" t="s">
        <v>203</v>
      </c>
      <c r="CQ15" t="s">
        <v>203</v>
      </c>
      <c r="CR15" t="s">
        <v>203</v>
      </c>
      <c r="CS15" t="s">
        <v>203</v>
      </c>
      <c r="CT15" t="s">
        <v>203</v>
      </c>
      <c r="CU15" t="s">
        <v>203</v>
      </c>
      <c r="CV15">
        <v>0</v>
      </c>
      <c r="CW15">
        <v>0</v>
      </c>
      <c r="CX15" t="s">
        <v>198</v>
      </c>
      <c r="CY15" t="s">
        <v>198</v>
      </c>
      <c r="CZ15" t="s">
        <v>198</v>
      </c>
      <c r="DA15" t="s">
        <v>198</v>
      </c>
      <c r="DB15" t="s">
        <v>198</v>
      </c>
      <c r="DC15">
        <v>0</v>
      </c>
      <c r="DD15">
        <v>0</v>
      </c>
      <c r="DE15">
        <v>0</v>
      </c>
      <c r="DF15">
        <v>0</v>
      </c>
      <c r="DG15">
        <v>-35.3632621</v>
      </c>
      <c r="DH15">
        <v>149.1652374</v>
      </c>
      <c r="DI15" t="s">
        <v>205</v>
      </c>
      <c r="DJ15">
        <v>1.2</v>
      </c>
      <c r="DK15">
        <v>2</v>
      </c>
      <c r="DL15">
        <v>0</v>
      </c>
      <c r="DM15">
        <v>0</v>
      </c>
      <c r="DN15">
        <v>6</v>
      </c>
      <c r="DO15">
        <v>10</v>
      </c>
      <c r="DP15">
        <v>0</v>
      </c>
      <c r="DQ15">
        <v>255</v>
      </c>
      <c r="DR15">
        <v>255</v>
      </c>
      <c r="DS15">
        <v>255</v>
      </c>
      <c r="DT15">
        <v>255</v>
      </c>
      <c r="DU15">
        <v>255</v>
      </c>
      <c r="DV15">
        <v>255</v>
      </c>
      <c r="DW15">
        <v>255</v>
      </c>
      <c r="DX15" t="s">
        <v>206</v>
      </c>
      <c r="DY15" t="s">
        <v>206</v>
      </c>
      <c r="DZ15" t="s">
        <v>207</v>
      </c>
      <c r="EA15" t="s">
        <v>198</v>
      </c>
      <c r="EB15" t="s">
        <v>198</v>
      </c>
      <c r="EC15" t="s">
        <v>198</v>
      </c>
      <c r="ED15">
        <v>0</v>
      </c>
      <c r="EE15">
        <v>0</v>
      </c>
      <c r="EF15">
        <v>0</v>
      </c>
      <c r="EG15">
        <v>0</v>
      </c>
      <c r="EH15">
        <v>255</v>
      </c>
      <c r="EI15">
        <v>255</v>
      </c>
      <c r="EJ15">
        <v>255</v>
      </c>
      <c r="EK15">
        <v>255</v>
      </c>
      <c r="EL15">
        <v>255</v>
      </c>
      <c r="EM15">
        <v>255</v>
      </c>
      <c r="EN15">
        <v>255</v>
      </c>
      <c r="EO15">
        <v>255</v>
      </c>
      <c r="EP15">
        <v>255</v>
      </c>
      <c r="EQ15">
        <v>255</v>
      </c>
      <c r="ER15" t="s">
        <v>208</v>
      </c>
      <c r="ES15" t="s">
        <v>209</v>
      </c>
      <c r="ET15" t="s">
        <v>209</v>
      </c>
      <c r="EU15">
        <v>0</v>
      </c>
      <c r="EV15">
        <v>0</v>
      </c>
      <c r="EW15">
        <v>0</v>
      </c>
      <c r="EX15">
        <v>-0.2</v>
      </c>
      <c r="EY15">
        <v>0</v>
      </c>
      <c r="EZ15">
        <v>0</v>
      </c>
      <c r="FA15">
        <v>0</v>
      </c>
      <c r="FB15" t="s">
        <v>198</v>
      </c>
      <c r="FC15" t="s">
        <v>198</v>
      </c>
      <c r="FD15" t="s">
        <v>198</v>
      </c>
      <c r="FE15" t="s">
        <v>198</v>
      </c>
      <c r="FF15" t="s">
        <v>198</v>
      </c>
      <c r="FG15" t="s">
        <v>198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 t="s">
        <v>203</v>
      </c>
      <c r="FP15" t="s">
        <v>203</v>
      </c>
      <c r="FQ15" t="s">
        <v>203</v>
      </c>
      <c r="FR15" t="s">
        <v>203</v>
      </c>
      <c r="FS15" t="s">
        <v>203</v>
      </c>
      <c r="FT15" t="s">
        <v>203</v>
      </c>
      <c r="FU15" t="s">
        <v>198</v>
      </c>
      <c r="FV15" t="s">
        <v>198</v>
      </c>
      <c r="FW15" t="s">
        <v>198</v>
      </c>
      <c r="FX15" t="s">
        <v>198</v>
      </c>
      <c r="FY15" t="s">
        <v>198</v>
      </c>
      <c r="FZ15" t="s">
        <v>198</v>
      </c>
      <c r="GA15">
        <v>31.2</v>
      </c>
      <c r="GB15">
        <v>31.2</v>
      </c>
      <c r="GC15" t="s">
        <v>203</v>
      </c>
      <c r="GD15">
        <v>0</v>
      </c>
      <c r="GE15">
        <v>504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 t="s">
        <v>198</v>
      </c>
      <c r="GM15" t="s">
        <v>198</v>
      </c>
      <c r="GN15" t="s">
        <v>198</v>
      </c>
    </row>
    <row r="16" spans="1:196">
      <c r="A16" s="19">
        <v>46316.90406646991</v>
      </c>
      <c r="B16">
        <v>0</v>
      </c>
      <c r="C16">
        <v>0</v>
      </c>
      <c r="D16">
        <v>360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584.2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226</v>
      </c>
      <c r="U16">
        <v>0</v>
      </c>
      <c r="V16">
        <v>0</v>
      </c>
      <c r="W16">
        <v>0</v>
      </c>
      <c r="X16" t="s">
        <v>197</v>
      </c>
      <c r="Y16">
        <v>0</v>
      </c>
      <c r="Z16" t="s">
        <v>197</v>
      </c>
      <c r="AA16" t="s">
        <v>197</v>
      </c>
      <c r="AB16" t="s">
        <v>197</v>
      </c>
      <c r="AC16" t="s">
        <v>198</v>
      </c>
      <c r="AD16" t="s">
        <v>199</v>
      </c>
      <c r="AE16">
        <v>0</v>
      </c>
      <c r="AF16">
        <v>44</v>
      </c>
      <c r="AG16">
        <v>255</v>
      </c>
      <c r="AH16">
        <v>0</v>
      </c>
      <c r="AI16">
        <v>0</v>
      </c>
      <c r="AJ16">
        <v>0</v>
      </c>
      <c r="AK16">
        <v>12.6</v>
      </c>
      <c r="AL16">
        <v>0</v>
      </c>
      <c r="AM16">
        <v>0</v>
      </c>
      <c r="AN16" t="s">
        <v>197</v>
      </c>
      <c r="AO16">
        <v>100</v>
      </c>
      <c r="AP16" t="s">
        <v>197</v>
      </c>
      <c r="AQ16" t="s">
        <v>200</v>
      </c>
      <c r="AR16">
        <v>1</v>
      </c>
      <c r="AS16">
        <v>0</v>
      </c>
      <c r="AT16" t="s">
        <v>232</v>
      </c>
      <c r="AU16" t="s">
        <v>232</v>
      </c>
      <c r="AV16" t="s">
        <v>202</v>
      </c>
      <c r="AW16" t="s">
        <v>203</v>
      </c>
      <c r="AX16" t="s">
        <v>203</v>
      </c>
      <c r="AY16" t="s">
        <v>203</v>
      </c>
      <c r="AZ16" t="s">
        <v>203</v>
      </c>
      <c r="BA16" t="s">
        <v>203</v>
      </c>
      <c r="BB16" t="s">
        <v>203</v>
      </c>
      <c r="BC16" t="s">
        <v>203</v>
      </c>
      <c r="BD16" t="s">
        <v>203</v>
      </c>
      <c r="BE16" t="s">
        <v>203</v>
      </c>
      <c r="BF16">
        <v>0</v>
      </c>
      <c r="BG16">
        <v>0.2</v>
      </c>
      <c r="BH16">
        <v>50</v>
      </c>
      <c r="BI16">
        <v>0</v>
      </c>
      <c r="BJ16" t="s">
        <v>198</v>
      </c>
      <c r="BK16" t="s">
        <v>198</v>
      </c>
      <c r="BL16" t="s">
        <v>198</v>
      </c>
      <c r="BM16" t="s">
        <v>198</v>
      </c>
      <c r="BN16" t="s">
        <v>198</v>
      </c>
      <c r="BO16" t="s">
        <v>198</v>
      </c>
      <c r="BP16" t="s">
        <v>198</v>
      </c>
      <c r="BQ16" t="s">
        <v>198</v>
      </c>
      <c r="BR16" t="s">
        <v>198</v>
      </c>
      <c r="BS16" t="s">
        <v>198</v>
      </c>
      <c r="BT16" t="s">
        <v>198</v>
      </c>
      <c r="BU16" t="s">
        <v>198</v>
      </c>
      <c r="BV16" t="s">
        <v>198</v>
      </c>
      <c r="BW16" t="s">
        <v>198</v>
      </c>
      <c r="BX16" t="s">
        <v>198</v>
      </c>
      <c r="BY16" t="s">
        <v>198</v>
      </c>
      <c r="BZ16" t="s">
        <v>198</v>
      </c>
      <c r="CA16" t="s">
        <v>198</v>
      </c>
      <c r="CB16" t="s">
        <v>204</v>
      </c>
      <c r="CC16" t="s">
        <v>204</v>
      </c>
      <c r="CD16" t="s">
        <v>204</v>
      </c>
      <c r="CE16" t="s">
        <v>204</v>
      </c>
      <c r="CF16" t="s">
        <v>204</v>
      </c>
      <c r="CG16" t="s">
        <v>204</v>
      </c>
      <c r="CH16" t="s">
        <v>204</v>
      </c>
      <c r="CI16" t="s">
        <v>204</v>
      </c>
      <c r="CJ16" t="s">
        <v>204</v>
      </c>
      <c r="CK16" t="s">
        <v>204</v>
      </c>
      <c r="CL16" t="s">
        <v>204</v>
      </c>
      <c r="CM16" t="s">
        <v>204</v>
      </c>
      <c r="CN16" t="s">
        <v>203</v>
      </c>
      <c r="CO16" t="s">
        <v>203</v>
      </c>
      <c r="CP16" t="s">
        <v>203</v>
      </c>
      <c r="CQ16" t="s">
        <v>203</v>
      </c>
      <c r="CR16" t="s">
        <v>203</v>
      </c>
      <c r="CS16" t="s">
        <v>203</v>
      </c>
      <c r="CT16" t="s">
        <v>203</v>
      </c>
      <c r="CU16" t="s">
        <v>203</v>
      </c>
      <c r="CV16">
        <v>0</v>
      </c>
      <c r="CW16">
        <v>0</v>
      </c>
      <c r="CX16" t="s">
        <v>198</v>
      </c>
      <c r="CY16" t="s">
        <v>198</v>
      </c>
      <c r="CZ16" t="s">
        <v>198</v>
      </c>
      <c r="DA16" t="s">
        <v>198</v>
      </c>
      <c r="DB16" t="s">
        <v>198</v>
      </c>
      <c r="DC16">
        <v>0</v>
      </c>
      <c r="DD16">
        <v>0</v>
      </c>
      <c r="DE16">
        <v>0</v>
      </c>
      <c r="DF16">
        <v>0</v>
      </c>
      <c r="DG16">
        <v>-35.3632621</v>
      </c>
      <c r="DH16">
        <v>149.1652374</v>
      </c>
      <c r="DI16" t="s">
        <v>205</v>
      </c>
      <c r="DJ16">
        <v>1.2</v>
      </c>
      <c r="DK16">
        <v>2</v>
      </c>
      <c r="DL16">
        <v>0</v>
      </c>
      <c r="DM16">
        <v>0</v>
      </c>
      <c r="DN16">
        <v>6</v>
      </c>
      <c r="DO16">
        <v>10</v>
      </c>
      <c r="DP16">
        <v>0</v>
      </c>
      <c r="DQ16">
        <v>255</v>
      </c>
      <c r="DR16">
        <v>255</v>
      </c>
      <c r="DS16">
        <v>255</v>
      </c>
      <c r="DT16">
        <v>255</v>
      </c>
      <c r="DU16">
        <v>255</v>
      </c>
      <c r="DV16">
        <v>255</v>
      </c>
      <c r="DW16">
        <v>255</v>
      </c>
      <c r="DX16" t="s">
        <v>206</v>
      </c>
      <c r="DY16" t="s">
        <v>206</v>
      </c>
      <c r="DZ16" t="s">
        <v>207</v>
      </c>
      <c r="EA16" t="s">
        <v>198</v>
      </c>
      <c r="EB16" t="s">
        <v>198</v>
      </c>
      <c r="EC16" t="s">
        <v>198</v>
      </c>
      <c r="ED16">
        <v>0</v>
      </c>
      <c r="EE16">
        <v>0</v>
      </c>
      <c r="EF16">
        <v>0</v>
      </c>
      <c r="EG16">
        <v>0</v>
      </c>
      <c r="EH16">
        <v>255</v>
      </c>
      <c r="EI16">
        <v>255</v>
      </c>
      <c r="EJ16">
        <v>255</v>
      </c>
      <c r="EK16">
        <v>255</v>
      </c>
      <c r="EL16">
        <v>255</v>
      </c>
      <c r="EM16">
        <v>255</v>
      </c>
      <c r="EN16">
        <v>255</v>
      </c>
      <c r="EO16">
        <v>255</v>
      </c>
      <c r="EP16">
        <v>255</v>
      </c>
      <c r="EQ16">
        <v>255</v>
      </c>
      <c r="ER16" t="s">
        <v>208</v>
      </c>
      <c r="ES16" t="s">
        <v>209</v>
      </c>
      <c r="ET16" t="s">
        <v>209</v>
      </c>
      <c r="EU16">
        <v>0</v>
      </c>
      <c r="EV16">
        <v>0</v>
      </c>
      <c r="EW16">
        <v>0</v>
      </c>
      <c r="EX16">
        <v>-0.2</v>
      </c>
      <c r="EY16">
        <v>0</v>
      </c>
      <c r="EZ16">
        <v>0</v>
      </c>
      <c r="FA16">
        <v>0</v>
      </c>
      <c r="FB16" t="s">
        <v>198</v>
      </c>
      <c r="FC16" t="s">
        <v>198</v>
      </c>
      <c r="FD16" t="s">
        <v>198</v>
      </c>
      <c r="FE16" t="s">
        <v>198</v>
      </c>
      <c r="FF16" t="s">
        <v>198</v>
      </c>
      <c r="FG16" t="s">
        <v>198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 t="s">
        <v>203</v>
      </c>
      <c r="FP16" t="s">
        <v>203</v>
      </c>
      <c r="FQ16" t="s">
        <v>203</v>
      </c>
      <c r="FR16" t="s">
        <v>203</v>
      </c>
      <c r="FS16" t="s">
        <v>203</v>
      </c>
      <c r="FT16" t="s">
        <v>203</v>
      </c>
      <c r="FU16" t="s">
        <v>198</v>
      </c>
      <c r="FV16" t="s">
        <v>198</v>
      </c>
      <c r="FW16" t="s">
        <v>198</v>
      </c>
      <c r="FX16" t="s">
        <v>198</v>
      </c>
      <c r="FY16" t="s">
        <v>198</v>
      </c>
      <c r="FZ16" t="s">
        <v>198</v>
      </c>
      <c r="GA16">
        <v>31.2</v>
      </c>
      <c r="GB16">
        <v>31.2</v>
      </c>
      <c r="GC16" t="s">
        <v>203</v>
      </c>
      <c r="GD16">
        <v>0</v>
      </c>
      <c r="GE16">
        <v>504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 t="s">
        <v>198</v>
      </c>
      <c r="GM16" t="s">
        <v>198</v>
      </c>
      <c r="GN16" t="s">
        <v>198</v>
      </c>
    </row>
    <row r="17" spans="1:196">
      <c r="A17" s="19">
        <v>46316.90407803241</v>
      </c>
      <c r="B17">
        <v>0</v>
      </c>
      <c r="C17">
        <v>0</v>
      </c>
      <c r="D17">
        <v>360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584.2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226</v>
      </c>
      <c r="U17">
        <v>0</v>
      </c>
      <c r="V17">
        <v>0</v>
      </c>
      <c r="W17">
        <v>0</v>
      </c>
      <c r="X17" t="s">
        <v>197</v>
      </c>
      <c r="Y17">
        <v>0</v>
      </c>
      <c r="Z17" t="s">
        <v>197</v>
      </c>
      <c r="AA17" t="s">
        <v>197</v>
      </c>
      <c r="AB17" t="s">
        <v>197</v>
      </c>
      <c r="AC17" t="s">
        <v>198</v>
      </c>
      <c r="AD17" t="s">
        <v>199</v>
      </c>
      <c r="AE17">
        <v>0</v>
      </c>
      <c r="AF17">
        <v>44</v>
      </c>
      <c r="AG17">
        <v>255</v>
      </c>
      <c r="AH17">
        <v>0</v>
      </c>
      <c r="AI17">
        <v>0</v>
      </c>
      <c r="AJ17">
        <v>0</v>
      </c>
      <c r="AK17">
        <v>12.6</v>
      </c>
      <c r="AL17">
        <v>0</v>
      </c>
      <c r="AM17">
        <v>0</v>
      </c>
      <c r="AN17" t="s">
        <v>197</v>
      </c>
      <c r="AO17">
        <v>100</v>
      </c>
      <c r="AP17" t="s">
        <v>197</v>
      </c>
      <c r="AQ17" t="s">
        <v>200</v>
      </c>
      <c r="AR17">
        <v>1</v>
      </c>
      <c r="AS17">
        <v>0</v>
      </c>
      <c r="AT17" t="s">
        <v>233</v>
      </c>
      <c r="AU17" t="s">
        <v>233</v>
      </c>
      <c r="AV17" t="s">
        <v>202</v>
      </c>
      <c r="AW17" t="s">
        <v>203</v>
      </c>
      <c r="AX17" t="s">
        <v>203</v>
      </c>
      <c r="AY17" t="s">
        <v>203</v>
      </c>
      <c r="AZ17" t="s">
        <v>203</v>
      </c>
      <c r="BA17" t="s">
        <v>203</v>
      </c>
      <c r="BB17" t="s">
        <v>203</v>
      </c>
      <c r="BC17" t="s">
        <v>203</v>
      </c>
      <c r="BD17" t="s">
        <v>203</v>
      </c>
      <c r="BE17" t="s">
        <v>203</v>
      </c>
      <c r="BF17">
        <v>0</v>
      </c>
      <c r="BG17">
        <v>0.2</v>
      </c>
      <c r="BH17">
        <v>50</v>
      </c>
      <c r="BI17">
        <v>0</v>
      </c>
      <c r="BJ17" t="s">
        <v>198</v>
      </c>
      <c r="BK17" t="s">
        <v>198</v>
      </c>
      <c r="BL17" t="s">
        <v>198</v>
      </c>
      <c r="BM17" t="s">
        <v>198</v>
      </c>
      <c r="BN17" t="s">
        <v>198</v>
      </c>
      <c r="BO17" t="s">
        <v>198</v>
      </c>
      <c r="BP17" t="s">
        <v>198</v>
      </c>
      <c r="BQ17" t="s">
        <v>198</v>
      </c>
      <c r="BR17" t="s">
        <v>198</v>
      </c>
      <c r="BS17" t="s">
        <v>198</v>
      </c>
      <c r="BT17" t="s">
        <v>198</v>
      </c>
      <c r="BU17" t="s">
        <v>198</v>
      </c>
      <c r="BV17" t="s">
        <v>198</v>
      </c>
      <c r="BW17" t="s">
        <v>198</v>
      </c>
      <c r="BX17" t="s">
        <v>198</v>
      </c>
      <c r="BY17" t="s">
        <v>198</v>
      </c>
      <c r="BZ17" t="s">
        <v>198</v>
      </c>
      <c r="CA17" t="s">
        <v>198</v>
      </c>
      <c r="CB17" t="s">
        <v>204</v>
      </c>
      <c r="CC17" t="s">
        <v>204</v>
      </c>
      <c r="CD17" t="s">
        <v>204</v>
      </c>
      <c r="CE17" t="s">
        <v>204</v>
      </c>
      <c r="CF17" t="s">
        <v>204</v>
      </c>
      <c r="CG17" t="s">
        <v>204</v>
      </c>
      <c r="CH17" t="s">
        <v>204</v>
      </c>
      <c r="CI17" t="s">
        <v>204</v>
      </c>
      <c r="CJ17" t="s">
        <v>204</v>
      </c>
      <c r="CK17" t="s">
        <v>204</v>
      </c>
      <c r="CL17" t="s">
        <v>204</v>
      </c>
      <c r="CM17" t="s">
        <v>204</v>
      </c>
      <c r="CN17" t="s">
        <v>203</v>
      </c>
      <c r="CO17" t="s">
        <v>203</v>
      </c>
      <c r="CP17" t="s">
        <v>203</v>
      </c>
      <c r="CQ17" t="s">
        <v>203</v>
      </c>
      <c r="CR17" t="s">
        <v>203</v>
      </c>
      <c r="CS17" t="s">
        <v>203</v>
      </c>
      <c r="CT17" t="s">
        <v>203</v>
      </c>
      <c r="CU17" t="s">
        <v>203</v>
      </c>
      <c r="CV17">
        <v>0</v>
      </c>
      <c r="CW17">
        <v>0</v>
      </c>
      <c r="CX17" t="s">
        <v>198</v>
      </c>
      <c r="CY17" t="s">
        <v>198</v>
      </c>
      <c r="CZ17" t="s">
        <v>198</v>
      </c>
      <c r="DA17" t="s">
        <v>198</v>
      </c>
      <c r="DB17" t="s">
        <v>198</v>
      </c>
      <c r="DC17">
        <v>0</v>
      </c>
      <c r="DD17">
        <v>0</v>
      </c>
      <c r="DE17">
        <v>0</v>
      </c>
      <c r="DF17">
        <v>0</v>
      </c>
      <c r="DG17">
        <v>-35.3632621</v>
      </c>
      <c r="DH17">
        <v>149.1652374</v>
      </c>
      <c r="DI17" t="s">
        <v>205</v>
      </c>
      <c r="DJ17">
        <v>1.2</v>
      </c>
      <c r="DK17">
        <v>2</v>
      </c>
      <c r="DL17">
        <v>0</v>
      </c>
      <c r="DM17">
        <v>0</v>
      </c>
      <c r="DN17">
        <v>6</v>
      </c>
      <c r="DO17">
        <v>10</v>
      </c>
      <c r="DP17">
        <v>0</v>
      </c>
      <c r="DQ17">
        <v>255</v>
      </c>
      <c r="DR17">
        <v>255</v>
      </c>
      <c r="DS17">
        <v>255</v>
      </c>
      <c r="DT17">
        <v>255</v>
      </c>
      <c r="DU17">
        <v>255</v>
      </c>
      <c r="DV17">
        <v>255</v>
      </c>
      <c r="DW17">
        <v>255</v>
      </c>
      <c r="DX17" t="s">
        <v>206</v>
      </c>
      <c r="DY17" t="s">
        <v>206</v>
      </c>
      <c r="DZ17" t="s">
        <v>207</v>
      </c>
      <c r="EA17" t="s">
        <v>198</v>
      </c>
      <c r="EB17" t="s">
        <v>198</v>
      </c>
      <c r="EC17" t="s">
        <v>198</v>
      </c>
      <c r="ED17">
        <v>0</v>
      </c>
      <c r="EE17">
        <v>0</v>
      </c>
      <c r="EF17">
        <v>0</v>
      </c>
      <c r="EG17">
        <v>0</v>
      </c>
      <c r="EH17">
        <v>255</v>
      </c>
      <c r="EI17">
        <v>255</v>
      </c>
      <c r="EJ17">
        <v>255</v>
      </c>
      <c r="EK17">
        <v>255</v>
      </c>
      <c r="EL17">
        <v>255</v>
      </c>
      <c r="EM17">
        <v>255</v>
      </c>
      <c r="EN17">
        <v>255</v>
      </c>
      <c r="EO17">
        <v>255</v>
      </c>
      <c r="EP17">
        <v>255</v>
      </c>
      <c r="EQ17">
        <v>255</v>
      </c>
      <c r="ER17" t="s">
        <v>208</v>
      </c>
      <c r="ES17" t="s">
        <v>209</v>
      </c>
      <c r="ET17" t="s">
        <v>209</v>
      </c>
      <c r="EU17">
        <v>0</v>
      </c>
      <c r="EV17">
        <v>0</v>
      </c>
      <c r="EW17">
        <v>0</v>
      </c>
      <c r="EX17">
        <v>-0.2</v>
      </c>
      <c r="EY17">
        <v>0</v>
      </c>
      <c r="EZ17">
        <v>0</v>
      </c>
      <c r="FA17">
        <v>0</v>
      </c>
      <c r="FB17" t="s">
        <v>198</v>
      </c>
      <c r="FC17" t="s">
        <v>198</v>
      </c>
      <c r="FD17" t="s">
        <v>198</v>
      </c>
      <c r="FE17" t="s">
        <v>198</v>
      </c>
      <c r="FF17" t="s">
        <v>198</v>
      </c>
      <c r="FG17" t="s">
        <v>198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 t="s">
        <v>203</v>
      </c>
      <c r="FP17" t="s">
        <v>203</v>
      </c>
      <c r="FQ17" t="s">
        <v>203</v>
      </c>
      <c r="FR17" t="s">
        <v>203</v>
      </c>
      <c r="FS17" t="s">
        <v>203</v>
      </c>
      <c r="FT17" t="s">
        <v>203</v>
      </c>
      <c r="FU17" t="s">
        <v>198</v>
      </c>
      <c r="FV17" t="s">
        <v>198</v>
      </c>
      <c r="FW17" t="s">
        <v>198</v>
      </c>
      <c r="FX17" t="s">
        <v>198</v>
      </c>
      <c r="FY17" t="s">
        <v>198</v>
      </c>
      <c r="FZ17" t="s">
        <v>198</v>
      </c>
      <c r="GA17">
        <v>31.2</v>
      </c>
      <c r="GB17">
        <v>31.2</v>
      </c>
      <c r="GC17" t="s">
        <v>203</v>
      </c>
      <c r="GD17">
        <v>0</v>
      </c>
      <c r="GE17">
        <v>504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 t="s">
        <v>198</v>
      </c>
      <c r="GM17" t="s">
        <v>198</v>
      </c>
      <c r="GN17" t="s">
        <v>198</v>
      </c>
    </row>
    <row r="18" spans="1:196">
      <c r="A18" s="19">
        <v>46316.90408961805</v>
      </c>
      <c r="B18">
        <v>0</v>
      </c>
      <c r="C18">
        <v>0</v>
      </c>
      <c r="D18">
        <v>360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584.2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226</v>
      </c>
      <c r="U18">
        <v>0</v>
      </c>
      <c r="V18">
        <v>0</v>
      </c>
      <c r="W18">
        <v>0</v>
      </c>
      <c r="X18" t="s">
        <v>197</v>
      </c>
      <c r="Y18">
        <v>0</v>
      </c>
      <c r="Z18" t="s">
        <v>197</v>
      </c>
      <c r="AA18" t="s">
        <v>197</v>
      </c>
      <c r="AB18" t="s">
        <v>197</v>
      </c>
      <c r="AC18" t="s">
        <v>198</v>
      </c>
      <c r="AD18" t="s">
        <v>199</v>
      </c>
      <c r="AE18">
        <v>0</v>
      </c>
      <c r="AF18">
        <v>44</v>
      </c>
      <c r="AG18">
        <v>255</v>
      </c>
      <c r="AH18">
        <v>0</v>
      </c>
      <c r="AI18">
        <v>0</v>
      </c>
      <c r="AJ18">
        <v>0</v>
      </c>
      <c r="AK18">
        <v>12.6</v>
      </c>
      <c r="AL18">
        <v>0</v>
      </c>
      <c r="AM18">
        <v>0</v>
      </c>
      <c r="AN18" t="s">
        <v>197</v>
      </c>
      <c r="AO18">
        <v>100</v>
      </c>
      <c r="AP18" t="s">
        <v>197</v>
      </c>
      <c r="AQ18" t="s">
        <v>200</v>
      </c>
      <c r="AR18">
        <v>1</v>
      </c>
      <c r="AS18">
        <v>0</v>
      </c>
      <c r="AT18" t="s">
        <v>234</v>
      </c>
      <c r="AU18" t="s">
        <v>234</v>
      </c>
      <c r="AV18" t="s">
        <v>202</v>
      </c>
      <c r="AW18" t="s">
        <v>203</v>
      </c>
      <c r="AX18" t="s">
        <v>203</v>
      </c>
      <c r="AY18" t="s">
        <v>203</v>
      </c>
      <c r="AZ18" t="s">
        <v>203</v>
      </c>
      <c r="BA18" t="s">
        <v>203</v>
      </c>
      <c r="BB18" t="s">
        <v>203</v>
      </c>
      <c r="BC18" t="s">
        <v>203</v>
      </c>
      <c r="BD18" t="s">
        <v>203</v>
      </c>
      <c r="BE18" t="s">
        <v>203</v>
      </c>
      <c r="BF18">
        <v>0</v>
      </c>
      <c r="BG18">
        <v>0.2</v>
      </c>
      <c r="BH18">
        <v>50</v>
      </c>
      <c r="BI18">
        <v>0</v>
      </c>
      <c r="BJ18" t="s">
        <v>198</v>
      </c>
      <c r="BK18" t="s">
        <v>198</v>
      </c>
      <c r="BL18" t="s">
        <v>198</v>
      </c>
      <c r="BM18" t="s">
        <v>198</v>
      </c>
      <c r="BN18" t="s">
        <v>198</v>
      </c>
      <c r="BO18" t="s">
        <v>198</v>
      </c>
      <c r="BP18" t="s">
        <v>198</v>
      </c>
      <c r="BQ18" t="s">
        <v>198</v>
      </c>
      <c r="BR18" t="s">
        <v>198</v>
      </c>
      <c r="BS18" t="s">
        <v>198</v>
      </c>
      <c r="BT18" t="s">
        <v>198</v>
      </c>
      <c r="BU18" t="s">
        <v>198</v>
      </c>
      <c r="BV18" t="s">
        <v>198</v>
      </c>
      <c r="BW18" t="s">
        <v>198</v>
      </c>
      <c r="BX18" t="s">
        <v>198</v>
      </c>
      <c r="BY18" t="s">
        <v>198</v>
      </c>
      <c r="BZ18" t="s">
        <v>198</v>
      </c>
      <c r="CA18" t="s">
        <v>198</v>
      </c>
      <c r="CB18" t="s">
        <v>204</v>
      </c>
      <c r="CC18" t="s">
        <v>204</v>
      </c>
      <c r="CD18" t="s">
        <v>204</v>
      </c>
      <c r="CE18" t="s">
        <v>204</v>
      </c>
      <c r="CF18" t="s">
        <v>204</v>
      </c>
      <c r="CG18" t="s">
        <v>204</v>
      </c>
      <c r="CH18" t="s">
        <v>204</v>
      </c>
      <c r="CI18" t="s">
        <v>204</v>
      </c>
      <c r="CJ18" t="s">
        <v>204</v>
      </c>
      <c r="CK18" t="s">
        <v>204</v>
      </c>
      <c r="CL18" t="s">
        <v>204</v>
      </c>
      <c r="CM18" t="s">
        <v>204</v>
      </c>
      <c r="CN18" t="s">
        <v>203</v>
      </c>
      <c r="CO18" t="s">
        <v>203</v>
      </c>
      <c r="CP18" t="s">
        <v>203</v>
      </c>
      <c r="CQ18" t="s">
        <v>203</v>
      </c>
      <c r="CR18" t="s">
        <v>203</v>
      </c>
      <c r="CS18" t="s">
        <v>203</v>
      </c>
      <c r="CT18" t="s">
        <v>203</v>
      </c>
      <c r="CU18" t="s">
        <v>203</v>
      </c>
      <c r="CV18">
        <v>0</v>
      </c>
      <c r="CW18">
        <v>0</v>
      </c>
      <c r="CX18" t="s">
        <v>198</v>
      </c>
      <c r="CY18" t="s">
        <v>198</v>
      </c>
      <c r="CZ18" t="s">
        <v>198</v>
      </c>
      <c r="DA18" t="s">
        <v>198</v>
      </c>
      <c r="DB18" t="s">
        <v>198</v>
      </c>
      <c r="DC18">
        <v>0</v>
      </c>
      <c r="DD18">
        <v>0</v>
      </c>
      <c r="DE18">
        <v>0</v>
      </c>
      <c r="DF18">
        <v>0</v>
      </c>
      <c r="DG18">
        <v>-35.3632621</v>
      </c>
      <c r="DH18">
        <v>149.1652374</v>
      </c>
      <c r="DI18" t="s">
        <v>205</v>
      </c>
      <c r="DJ18">
        <v>1.2</v>
      </c>
      <c r="DK18">
        <v>2</v>
      </c>
      <c r="DL18">
        <v>0</v>
      </c>
      <c r="DM18">
        <v>0</v>
      </c>
      <c r="DN18">
        <v>6</v>
      </c>
      <c r="DO18">
        <v>10</v>
      </c>
      <c r="DP18">
        <v>0</v>
      </c>
      <c r="DQ18">
        <v>255</v>
      </c>
      <c r="DR18">
        <v>255</v>
      </c>
      <c r="DS18">
        <v>255</v>
      </c>
      <c r="DT18">
        <v>255</v>
      </c>
      <c r="DU18">
        <v>255</v>
      </c>
      <c r="DV18">
        <v>255</v>
      </c>
      <c r="DW18">
        <v>255</v>
      </c>
      <c r="DX18" t="s">
        <v>206</v>
      </c>
      <c r="DY18" t="s">
        <v>206</v>
      </c>
      <c r="DZ18" t="s">
        <v>207</v>
      </c>
      <c r="EA18" t="s">
        <v>198</v>
      </c>
      <c r="EB18" t="s">
        <v>198</v>
      </c>
      <c r="EC18" t="s">
        <v>198</v>
      </c>
      <c r="ED18">
        <v>0</v>
      </c>
      <c r="EE18">
        <v>0</v>
      </c>
      <c r="EF18">
        <v>0</v>
      </c>
      <c r="EG18">
        <v>0</v>
      </c>
      <c r="EH18">
        <v>255</v>
      </c>
      <c r="EI18">
        <v>255</v>
      </c>
      <c r="EJ18">
        <v>255</v>
      </c>
      <c r="EK18">
        <v>255</v>
      </c>
      <c r="EL18">
        <v>255</v>
      </c>
      <c r="EM18">
        <v>255</v>
      </c>
      <c r="EN18">
        <v>255</v>
      </c>
      <c r="EO18">
        <v>255</v>
      </c>
      <c r="EP18">
        <v>255</v>
      </c>
      <c r="EQ18">
        <v>255</v>
      </c>
      <c r="ER18" t="s">
        <v>208</v>
      </c>
      <c r="ES18" t="s">
        <v>209</v>
      </c>
      <c r="ET18" t="s">
        <v>209</v>
      </c>
      <c r="EU18">
        <v>0</v>
      </c>
      <c r="EV18">
        <v>0</v>
      </c>
      <c r="EW18">
        <v>0</v>
      </c>
      <c r="EX18">
        <v>-0.2</v>
      </c>
      <c r="EY18">
        <v>0</v>
      </c>
      <c r="EZ18">
        <v>0</v>
      </c>
      <c r="FA18">
        <v>0</v>
      </c>
      <c r="FB18" t="s">
        <v>198</v>
      </c>
      <c r="FC18" t="s">
        <v>198</v>
      </c>
      <c r="FD18" t="s">
        <v>198</v>
      </c>
      <c r="FE18" t="s">
        <v>198</v>
      </c>
      <c r="FF18" t="s">
        <v>198</v>
      </c>
      <c r="FG18" t="s">
        <v>198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 t="s">
        <v>203</v>
      </c>
      <c r="FP18" t="s">
        <v>203</v>
      </c>
      <c r="FQ18" t="s">
        <v>203</v>
      </c>
      <c r="FR18" t="s">
        <v>203</v>
      </c>
      <c r="FS18" t="s">
        <v>203</v>
      </c>
      <c r="FT18" t="s">
        <v>203</v>
      </c>
      <c r="FU18" t="s">
        <v>198</v>
      </c>
      <c r="FV18" t="s">
        <v>198</v>
      </c>
      <c r="FW18" t="s">
        <v>198</v>
      </c>
      <c r="FX18" t="s">
        <v>198</v>
      </c>
      <c r="FY18" t="s">
        <v>198</v>
      </c>
      <c r="FZ18" t="s">
        <v>198</v>
      </c>
      <c r="GA18">
        <v>31.2</v>
      </c>
      <c r="GB18">
        <v>31.2</v>
      </c>
      <c r="GC18" t="s">
        <v>203</v>
      </c>
      <c r="GD18">
        <v>0</v>
      </c>
      <c r="GE18">
        <v>504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 t="s">
        <v>198</v>
      </c>
      <c r="GM18" t="s">
        <v>198</v>
      </c>
      <c r="GN18" t="s">
        <v>198</v>
      </c>
    </row>
    <row r="19" spans="1:196">
      <c r="A19" s="19">
        <v>46316.90410119213</v>
      </c>
      <c r="B19">
        <v>0</v>
      </c>
      <c r="C19">
        <v>0</v>
      </c>
      <c r="D19">
        <v>360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584.2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226</v>
      </c>
      <c r="U19">
        <v>0</v>
      </c>
      <c r="V19">
        <v>0</v>
      </c>
      <c r="W19">
        <v>0</v>
      </c>
      <c r="X19" t="s">
        <v>197</v>
      </c>
      <c r="Y19">
        <v>0</v>
      </c>
      <c r="Z19" t="s">
        <v>197</v>
      </c>
      <c r="AA19" t="s">
        <v>197</v>
      </c>
      <c r="AB19" t="s">
        <v>197</v>
      </c>
      <c r="AC19" t="s">
        <v>198</v>
      </c>
      <c r="AD19" t="s">
        <v>199</v>
      </c>
      <c r="AE19">
        <v>0</v>
      </c>
      <c r="AF19">
        <v>44</v>
      </c>
      <c r="AG19">
        <v>255</v>
      </c>
      <c r="AH19">
        <v>0</v>
      </c>
      <c r="AI19">
        <v>0</v>
      </c>
      <c r="AJ19">
        <v>0</v>
      </c>
      <c r="AK19">
        <v>12.6</v>
      </c>
      <c r="AL19">
        <v>0</v>
      </c>
      <c r="AM19">
        <v>0</v>
      </c>
      <c r="AN19" t="s">
        <v>197</v>
      </c>
      <c r="AO19">
        <v>100</v>
      </c>
      <c r="AP19" t="s">
        <v>197</v>
      </c>
      <c r="AQ19" t="s">
        <v>200</v>
      </c>
      <c r="AR19">
        <v>1</v>
      </c>
      <c r="AS19">
        <v>0</v>
      </c>
      <c r="AT19" t="s">
        <v>235</v>
      </c>
      <c r="AU19" t="s">
        <v>235</v>
      </c>
      <c r="AV19" t="s">
        <v>202</v>
      </c>
      <c r="AW19" t="s">
        <v>203</v>
      </c>
      <c r="AX19" t="s">
        <v>203</v>
      </c>
      <c r="AY19" t="s">
        <v>203</v>
      </c>
      <c r="AZ19" t="s">
        <v>203</v>
      </c>
      <c r="BA19" t="s">
        <v>203</v>
      </c>
      <c r="BB19" t="s">
        <v>203</v>
      </c>
      <c r="BC19" t="s">
        <v>203</v>
      </c>
      <c r="BD19" t="s">
        <v>203</v>
      </c>
      <c r="BE19" t="s">
        <v>203</v>
      </c>
      <c r="BF19">
        <v>0</v>
      </c>
      <c r="BG19">
        <v>0.2</v>
      </c>
      <c r="BH19">
        <v>50</v>
      </c>
      <c r="BI19">
        <v>0</v>
      </c>
      <c r="BJ19" t="s">
        <v>198</v>
      </c>
      <c r="BK19" t="s">
        <v>198</v>
      </c>
      <c r="BL19" t="s">
        <v>198</v>
      </c>
      <c r="BM19" t="s">
        <v>198</v>
      </c>
      <c r="BN19" t="s">
        <v>198</v>
      </c>
      <c r="BO19" t="s">
        <v>198</v>
      </c>
      <c r="BP19" t="s">
        <v>198</v>
      </c>
      <c r="BQ19" t="s">
        <v>198</v>
      </c>
      <c r="BR19" t="s">
        <v>198</v>
      </c>
      <c r="BS19" t="s">
        <v>198</v>
      </c>
      <c r="BT19" t="s">
        <v>198</v>
      </c>
      <c r="BU19" t="s">
        <v>198</v>
      </c>
      <c r="BV19" t="s">
        <v>198</v>
      </c>
      <c r="BW19" t="s">
        <v>198</v>
      </c>
      <c r="BX19" t="s">
        <v>198</v>
      </c>
      <c r="BY19" t="s">
        <v>198</v>
      </c>
      <c r="BZ19" t="s">
        <v>198</v>
      </c>
      <c r="CA19" t="s">
        <v>198</v>
      </c>
      <c r="CB19" t="s">
        <v>204</v>
      </c>
      <c r="CC19" t="s">
        <v>204</v>
      </c>
      <c r="CD19" t="s">
        <v>204</v>
      </c>
      <c r="CE19" t="s">
        <v>204</v>
      </c>
      <c r="CF19" t="s">
        <v>204</v>
      </c>
      <c r="CG19" t="s">
        <v>204</v>
      </c>
      <c r="CH19" t="s">
        <v>204</v>
      </c>
      <c r="CI19" t="s">
        <v>204</v>
      </c>
      <c r="CJ19" t="s">
        <v>204</v>
      </c>
      <c r="CK19" t="s">
        <v>204</v>
      </c>
      <c r="CL19" t="s">
        <v>204</v>
      </c>
      <c r="CM19" t="s">
        <v>204</v>
      </c>
      <c r="CN19" t="s">
        <v>203</v>
      </c>
      <c r="CO19" t="s">
        <v>203</v>
      </c>
      <c r="CP19" t="s">
        <v>203</v>
      </c>
      <c r="CQ19" t="s">
        <v>203</v>
      </c>
      <c r="CR19" t="s">
        <v>203</v>
      </c>
      <c r="CS19" t="s">
        <v>203</v>
      </c>
      <c r="CT19" t="s">
        <v>203</v>
      </c>
      <c r="CU19" t="s">
        <v>203</v>
      </c>
      <c r="CV19">
        <v>0</v>
      </c>
      <c r="CW19">
        <v>0</v>
      </c>
      <c r="CX19" t="s">
        <v>198</v>
      </c>
      <c r="CY19" t="s">
        <v>198</v>
      </c>
      <c r="CZ19" t="s">
        <v>198</v>
      </c>
      <c r="DA19" t="s">
        <v>198</v>
      </c>
      <c r="DB19" t="s">
        <v>198</v>
      </c>
      <c r="DC19">
        <v>0</v>
      </c>
      <c r="DD19">
        <v>0</v>
      </c>
      <c r="DE19">
        <v>0</v>
      </c>
      <c r="DF19">
        <v>0</v>
      </c>
      <c r="DG19">
        <v>-35.3632621</v>
      </c>
      <c r="DH19">
        <v>149.1652374</v>
      </c>
      <c r="DI19" t="s">
        <v>205</v>
      </c>
      <c r="DJ19">
        <v>1.2</v>
      </c>
      <c r="DK19">
        <v>2</v>
      </c>
      <c r="DL19">
        <v>0</v>
      </c>
      <c r="DM19">
        <v>0</v>
      </c>
      <c r="DN19">
        <v>6</v>
      </c>
      <c r="DO19">
        <v>10</v>
      </c>
      <c r="DP19">
        <v>0</v>
      </c>
      <c r="DQ19">
        <v>255</v>
      </c>
      <c r="DR19">
        <v>255</v>
      </c>
      <c r="DS19">
        <v>255</v>
      </c>
      <c r="DT19">
        <v>255</v>
      </c>
      <c r="DU19">
        <v>255</v>
      </c>
      <c r="DV19">
        <v>255</v>
      </c>
      <c r="DW19">
        <v>255</v>
      </c>
      <c r="DX19" t="s">
        <v>206</v>
      </c>
      <c r="DY19" t="s">
        <v>206</v>
      </c>
      <c r="DZ19" t="s">
        <v>207</v>
      </c>
      <c r="EA19" t="s">
        <v>198</v>
      </c>
      <c r="EB19" t="s">
        <v>198</v>
      </c>
      <c r="EC19" t="s">
        <v>198</v>
      </c>
      <c r="ED19">
        <v>0</v>
      </c>
      <c r="EE19">
        <v>0</v>
      </c>
      <c r="EF19">
        <v>0</v>
      </c>
      <c r="EG19">
        <v>0</v>
      </c>
      <c r="EH19">
        <v>255</v>
      </c>
      <c r="EI19">
        <v>255</v>
      </c>
      <c r="EJ19">
        <v>255</v>
      </c>
      <c r="EK19">
        <v>255</v>
      </c>
      <c r="EL19">
        <v>255</v>
      </c>
      <c r="EM19">
        <v>255</v>
      </c>
      <c r="EN19">
        <v>255</v>
      </c>
      <c r="EO19">
        <v>255</v>
      </c>
      <c r="EP19">
        <v>255</v>
      </c>
      <c r="EQ19">
        <v>255</v>
      </c>
      <c r="ER19" t="s">
        <v>208</v>
      </c>
      <c r="ES19" t="s">
        <v>209</v>
      </c>
      <c r="ET19" t="s">
        <v>209</v>
      </c>
      <c r="EU19">
        <v>0</v>
      </c>
      <c r="EV19">
        <v>0</v>
      </c>
      <c r="EW19">
        <v>0</v>
      </c>
      <c r="EX19">
        <v>-0.2</v>
      </c>
      <c r="EY19">
        <v>0</v>
      </c>
      <c r="EZ19">
        <v>0</v>
      </c>
      <c r="FA19">
        <v>0</v>
      </c>
      <c r="FB19" t="s">
        <v>198</v>
      </c>
      <c r="FC19" t="s">
        <v>198</v>
      </c>
      <c r="FD19" t="s">
        <v>198</v>
      </c>
      <c r="FE19" t="s">
        <v>198</v>
      </c>
      <c r="FF19" t="s">
        <v>198</v>
      </c>
      <c r="FG19" t="s">
        <v>198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 t="s">
        <v>203</v>
      </c>
      <c r="FP19" t="s">
        <v>203</v>
      </c>
      <c r="FQ19" t="s">
        <v>203</v>
      </c>
      <c r="FR19" t="s">
        <v>203</v>
      </c>
      <c r="FS19" t="s">
        <v>203</v>
      </c>
      <c r="FT19" t="s">
        <v>203</v>
      </c>
      <c r="FU19" t="s">
        <v>198</v>
      </c>
      <c r="FV19" t="s">
        <v>198</v>
      </c>
      <c r="FW19" t="s">
        <v>198</v>
      </c>
      <c r="FX19" t="s">
        <v>198</v>
      </c>
      <c r="FY19" t="s">
        <v>198</v>
      </c>
      <c r="FZ19" t="s">
        <v>198</v>
      </c>
      <c r="GA19">
        <v>31.2</v>
      </c>
      <c r="GB19">
        <v>31.2</v>
      </c>
      <c r="GC19" t="s">
        <v>203</v>
      </c>
      <c r="GD19">
        <v>0</v>
      </c>
      <c r="GE19">
        <v>504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 t="s">
        <v>198</v>
      </c>
      <c r="GM19" t="s">
        <v>198</v>
      </c>
      <c r="GN19" t="s">
        <v>198</v>
      </c>
    </row>
    <row r="20" spans="1:196">
      <c r="A20" s="19">
        <v>46316.90411276621</v>
      </c>
      <c r="B20">
        <v>0</v>
      </c>
      <c r="C20">
        <v>0</v>
      </c>
      <c r="D20">
        <v>360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584.2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226</v>
      </c>
      <c r="U20">
        <v>0</v>
      </c>
      <c r="V20">
        <v>0</v>
      </c>
      <c r="W20">
        <v>0</v>
      </c>
      <c r="X20" t="s">
        <v>197</v>
      </c>
      <c r="Y20">
        <v>0</v>
      </c>
      <c r="Z20" t="s">
        <v>197</v>
      </c>
      <c r="AA20" t="s">
        <v>197</v>
      </c>
      <c r="AB20" t="s">
        <v>197</v>
      </c>
      <c r="AC20" t="s">
        <v>198</v>
      </c>
      <c r="AD20" t="s">
        <v>199</v>
      </c>
      <c r="AE20">
        <v>0</v>
      </c>
      <c r="AF20">
        <v>44</v>
      </c>
      <c r="AG20">
        <v>255</v>
      </c>
      <c r="AH20">
        <v>0</v>
      </c>
      <c r="AI20">
        <v>0</v>
      </c>
      <c r="AJ20">
        <v>0</v>
      </c>
      <c r="AK20">
        <v>12.6</v>
      </c>
      <c r="AL20">
        <v>0</v>
      </c>
      <c r="AM20">
        <v>0</v>
      </c>
      <c r="AN20" t="s">
        <v>197</v>
      </c>
      <c r="AO20">
        <v>100</v>
      </c>
      <c r="AP20" t="s">
        <v>197</v>
      </c>
      <c r="AQ20" t="s">
        <v>200</v>
      </c>
      <c r="AR20">
        <v>1</v>
      </c>
      <c r="AS20">
        <v>0</v>
      </c>
      <c r="AT20" t="s">
        <v>236</v>
      </c>
      <c r="AU20" t="s">
        <v>236</v>
      </c>
      <c r="AV20" t="s">
        <v>202</v>
      </c>
      <c r="AW20" t="s">
        <v>203</v>
      </c>
      <c r="AX20" t="s">
        <v>203</v>
      </c>
      <c r="AY20" t="s">
        <v>203</v>
      </c>
      <c r="AZ20" t="s">
        <v>203</v>
      </c>
      <c r="BA20" t="s">
        <v>203</v>
      </c>
      <c r="BB20" t="s">
        <v>203</v>
      </c>
      <c r="BC20" t="s">
        <v>203</v>
      </c>
      <c r="BD20" t="s">
        <v>203</v>
      </c>
      <c r="BE20" t="s">
        <v>203</v>
      </c>
      <c r="BF20">
        <v>0</v>
      </c>
      <c r="BG20">
        <v>0.2</v>
      </c>
      <c r="BH20">
        <v>50</v>
      </c>
      <c r="BI20">
        <v>0</v>
      </c>
      <c r="BJ20" t="s">
        <v>198</v>
      </c>
      <c r="BK20" t="s">
        <v>198</v>
      </c>
      <c r="BL20" t="s">
        <v>198</v>
      </c>
      <c r="BM20" t="s">
        <v>198</v>
      </c>
      <c r="BN20" t="s">
        <v>198</v>
      </c>
      <c r="BO20" t="s">
        <v>198</v>
      </c>
      <c r="BP20" t="s">
        <v>198</v>
      </c>
      <c r="BQ20" t="s">
        <v>198</v>
      </c>
      <c r="BR20" t="s">
        <v>198</v>
      </c>
      <c r="BS20" t="s">
        <v>198</v>
      </c>
      <c r="BT20" t="s">
        <v>198</v>
      </c>
      <c r="BU20" t="s">
        <v>198</v>
      </c>
      <c r="BV20" t="s">
        <v>198</v>
      </c>
      <c r="BW20" t="s">
        <v>198</v>
      </c>
      <c r="BX20" t="s">
        <v>198</v>
      </c>
      <c r="BY20" t="s">
        <v>198</v>
      </c>
      <c r="BZ20" t="s">
        <v>198</v>
      </c>
      <c r="CA20" t="s">
        <v>198</v>
      </c>
      <c r="CB20" t="s">
        <v>204</v>
      </c>
      <c r="CC20" t="s">
        <v>204</v>
      </c>
      <c r="CD20" t="s">
        <v>204</v>
      </c>
      <c r="CE20" t="s">
        <v>204</v>
      </c>
      <c r="CF20" t="s">
        <v>204</v>
      </c>
      <c r="CG20" t="s">
        <v>204</v>
      </c>
      <c r="CH20" t="s">
        <v>204</v>
      </c>
      <c r="CI20" t="s">
        <v>204</v>
      </c>
      <c r="CJ20" t="s">
        <v>204</v>
      </c>
      <c r="CK20" t="s">
        <v>204</v>
      </c>
      <c r="CL20" t="s">
        <v>204</v>
      </c>
      <c r="CM20" t="s">
        <v>204</v>
      </c>
      <c r="CN20" t="s">
        <v>203</v>
      </c>
      <c r="CO20" t="s">
        <v>203</v>
      </c>
      <c r="CP20" t="s">
        <v>203</v>
      </c>
      <c r="CQ20" t="s">
        <v>203</v>
      </c>
      <c r="CR20" t="s">
        <v>203</v>
      </c>
      <c r="CS20" t="s">
        <v>203</v>
      </c>
      <c r="CT20" t="s">
        <v>203</v>
      </c>
      <c r="CU20" t="s">
        <v>203</v>
      </c>
      <c r="CV20">
        <v>0</v>
      </c>
      <c r="CW20">
        <v>0</v>
      </c>
      <c r="CX20" t="s">
        <v>198</v>
      </c>
      <c r="CY20" t="s">
        <v>198</v>
      </c>
      <c r="CZ20" t="s">
        <v>198</v>
      </c>
      <c r="DA20" t="s">
        <v>198</v>
      </c>
      <c r="DB20" t="s">
        <v>198</v>
      </c>
      <c r="DC20">
        <v>0</v>
      </c>
      <c r="DD20">
        <v>0</v>
      </c>
      <c r="DE20">
        <v>0</v>
      </c>
      <c r="DF20">
        <v>0</v>
      </c>
      <c r="DG20">
        <v>-35.3632621</v>
      </c>
      <c r="DH20">
        <v>149.1652374</v>
      </c>
      <c r="DI20" t="s">
        <v>205</v>
      </c>
      <c r="DJ20">
        <v>1.2</v>
      </c>
      <c r="DK20">
        <v>2</v>
      </c>
      <c r="DL20">
        <v>0</v>
      </c>
      <c r="DM20">
        <v>0</v>
      </c>
      <c r="DN20">
        <v>6</v>
      </c>
      <c r="DO20">
        <v>10</v>
      </c>
      <c r="DP20">
        <v>0</v>
      </c>
      <c r="DQ20">
        <v>255</v>
      </c>
      <c r="DR20">
        <v>255</v>
      </c>
      <c r="DS20">
        <v>255</v>
      </c>
      <c r="DT20">
        <v>255</v>
      </c>
      <c r="DU20">
        <v>255</v>
      </c>
      <c r="DV20">
        <v>255</v>
      </c>
      <c r="DW20">
        <v>255</v>
      </c>
      <c r="DX20" t="s">
        <v>206</v>
      </c>
      <c r="DY20" t="s">
        <v>206</v>
      </c>
      <c r="DZ20" t="s">
        <v>207</v>
      </c>
      <c r="EA20" t="s">
        <v>198</v>
      </c>
      <c r="EB20" t="s">
        <v>198</v>
      </c>
      <c r="EC20" t="s">
        <v>198</v>
      </c>
      <c r="ED20">
        <v>0</v>
      </c>
      <c r="EE20">
        <v>0</v>
      </c>
      <c r="EF20">
        <v>0</v>
      </c>
      <c r="EG20">
        <v>0</v>
      </c>
      <c r="EH20">
        <v>255</v>
      </c>
      <c r="EI20">
        <v>255</v>
      </c>
      <c r="EJ20">
        <v>255</v>
      </c>
      <c r="EK20">
        <v>255</v>
      </c>
      <c r="EL20">
        <v>255</v>
      </c>
      <c r="EM20">
        <v>255</v>
      </c>
      <c r="EN20">
        <v>255</v>
      </c>
      <c r="EO20">
        <v>255</v>
      </c>
      <c r="EP20">
        <v>255</v>
      </c>
      <c r="EQ20">
        <v>255</v>
      </c>
      <c r="ER20" t="s">
        <v>208</v>
      </c>
      <c r="ES20" t="s">
        <v>209</v>
      </c>
      <c r="ET20" t="s">
        <v>209</v>
      </c>
      <c r="EU20">
        <v>0</v>
      </c>
      <c r="EV20">
        <v>0</v>
      </c>
      <c r="EW20">
        <v>0</v>
      </c>
      <c r="EX20">
        <v>-0.2</v>
      </c>
      <c r="EY20">
        <v>0</v>
      </c>
      <c r="EZ20">
        <v>0</v>
      </c>
      <c r="FA20">
        <v>0</v>
      </c>
      <c r="FB20" t="s">
        <v>198</v>
      </c>
      <c r="FC20" t="s">
        <v>198</v>
      </c>
      <c r="FD20" t="s">
        <v>198</v>
      </c>
      <c r="FE20" t="s">
        <v>198</v>
      </c>
      <c r="FF20" t="s">
        <v>198</v>
      </c>
      <c r="FG20" t="s">
        <v>198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 t="s">
        <v>203</v>
      </c>
      <c r="FP20" t="s">
        <v>203</v>
      </c>
      <c r="FQ20" t="s">
        <v>203</v>
      </c>
      <c r="FR20" t="s">
        <v>203</v>
      </c>
      <c r="FS20" t="s">
        <v>203</v>
      </c>
      <c r="FT20" t="s">
        <v>203</v>
      </c>
      <c r="FU20" t="s">
        <v>198</v>
      </c>
      <c r="FV20" t="s">
        <v>198</v>
      </c>
      <c r="FW20" t="s">
        <v>198</v>
      </c>
      <c r="FX20" t="s">
        <v>198</v>
      </c>
      <c r="FY20" t="s">
        <v>198</v>
      </c>
      <c r="FZ20" t="s">
        <v>198</v>
      </c>
      <c r="GA20">
        <v>31.2</v>
      </c>
      <c r="GB20">
        <v>31.2</v>
      </c>
      <c r="GC20" t="s">
        <v>203</v>
      </c>
      <c r="GD20">
        <v>0</v>
      </c>
      <c r="GE20">
        <v>504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 t="s">
        <v>198</v>
      </c>
      <c r="GM20" t="s">
        <v>198</v>
      </c>
      <c r="GN20" t="s">
        <v>198</v>
      </c>
    </row>
    <row r="21" spans="1:196">
      <c r="A21" s="19">
        <v>46316.90412434028</v>
      </c>
      <c r="B21">
        <v>0</v>
      </c>
      <c r="C21">
        <v>0</v>
      </c>
      <c r="D21">
        <v>360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584.2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226</v>
      </c>
      <c r="U21">
        <v>0</v>
      </c>
      <c r="V21">
        <v>0</v>
      </c>
      <c r="W21">
        <v>0</v>
      </c>
      <c r="X21" t="s">
        <v>197</v>
      </c>
      <c r="Y21">
        <v>0</v>
      </c>
      <c r="Z21" t="s">
        <v>197</v>
      </c>
      <c r="AA21" t="s">
        <v>197</v>
      </c>
      <c r="AB21" t="s">
        <v>197</v>
      </c>
      <c r="AC21" t="s">
        <v>198</v>
      </c>
      <c r="AD21" t="s">
        <v>199</v>
      </c>
      <c r="AE21">
        <v>0</v>
      </c>
      <c r="AF21">
        <v>44</v>
      </c>
      <c r="AG21">
        <v>255</v>
      </c>
      <c r="AH21">
        <v>0</v>
      </c>
      <c r="AI21">
        <v>0</v>
      </c>
      <c r="AJ21">
        <v>0</v>
      </c>
      <c r="AK21">
        <v>12.6</v>
      </c>
      <c r="AL21">
        <v>0</v>
      </c>
      <c r="AM21">
        <v>0</v>
      </c>
      <c r="AN21" t="s">
        <v>197</v>
      </c>
      <c r="AO21">
        <v>100</v>
      </c>
      <c r="AP21" t="s">
        <v>197</v>
      </c>
      <c r="AQ21" t="s">
        <v>200</v>
      </c>
      <c r="AR21">
        <v>1</v>
      </c>
      <c r="AS21">
        <v>0</v>
      </c>
      <c r="AT21" t="s">
        <v>237</v>
      </c>
      <c r="AU21" t="s">
        <v>237</v>
      </c>
      <c r="AV21" t="s">
        <v>202</v>
      </c>
      <c r="AW21" t="s">
        <v>203</v>
      </c>
      <c r="AX21" t="s">
        <v>203</v>
      </c>
      <c r="AY21" t="s">
        <v>203</v>
      </c>
      <c r="AZ21" t="s">
        <v>203</v>
      </c>
      <c r="BA21" t="s">
        <v>203</v>
      </c>
      <c r="BB21" t="s">
        <v>203</v>
      </c>
      <c r="BC21" t="s">
        <v>203</v>
      </c>
      <c r="BD21" t="s">
        <v>203</v>
      </c>
      <c r="BE21" t="s">
        <v>203</v>
      </c>
      <c r="BF21">
        <v>0</v>
      </c>
      <c r="BG21">
        <v>0.2</v>
      </c>
      <c r="BH21">
        <v>50</v>
      </c>
      <c r="BI21">
        <v>0</v>
      </c>
      <c r="BJ21" t="s">
        <v>198</v>
      </c>
      <c r="BK21" t="s">
        <v>198</v>
      </c>
      <c r="BL21" t="s">
        <v>198</v>
      </c>
      <c r="BM21" t="s">
        <v>198</v>
      </c>
      <c r="BN21" t="s">
        <v>198</v>
      </c>
      <c r="BO21" t="s">
        <v>198</v>
      </c>
      <c r="BP21" t="s">
        <v>198</v>
      </c>
      <c r="BQ21" t="s">
        <v>198</v>
      </c>
      <c r="BR21" t="s">
        <v>198</v>
      </c>
      <c r="BS21" t="s">
        <v>198</v>
      </c>
      <c r="BT21" t="s">
        <v>198</v>
      </c>
      <c r="BU21" t="s">
        <v>198</v>
      </c>
      <c r="BV21" t="s">
        <v>198</v>
      </c>
      <c r="BW21" t="s">
        <v>198</v>
      </c>
      <c r="BX21" t="s">
        <v>198</v>
      </c>
      <c r="BY21" t="s">
        <v>198</v>
      </c>
      <c r="BZ21" t="s">
        <v>198</v>
      </c>
      <c r="CA21" t="s">
        <v>198</v>
      </c>
      <c r="CB21" t="s">
        <v>204</v>
      </c>
      <c r="CC21" t="s">
        <v>204</v>
      </c>
      <c r="CD21" t="s">
        <v>204</v>
      </c>
      <c r="CE21" t="s">
        <v>204</v>
      </c>
      <c r="CF21" t="s">
        <v>204</v>
      </c>
      <c r="CG21" t="s">
        <v>204</v>
      </c>
      <c r="CH21" t="s">
        <v>204</v>
      </c>
      <c r="CI21" t="s">
        <v>204</v>
      </c>
      <c r="CJ21" t="s">
        <v>204</v>
      </c>
      <c r="CK21" t="s">
        <v>204</v>
      </c>
      <c r="CL21" t="s">
        <v>204</v>
      </c>
      <c r="CM21" t="s">
        <v>204</v>
      </c>
      <c r="CN21" t="s">
        <v>203</v>
      </c>
      <c r="CO21" t="s">
        <v>203</v>
      </c>
      <c r="CP21" t="s">
        <v>203</v>
      </c>
      <c r="CQ21" t="s">
        <v>203</v>
      </c>
      <c r="CR21" t="s">
        <v>203</v>
      </c>
      <c r="CS21" t="s">
        <v>203</v>
      </c>
      <c r="CT21" t="s">
        <v>203</v>
      </c>
      <c r="CU21" t="s">
        <v>203</v>
      </c>
      <c r="CV21">
        <v>0</v>
      </c>
      <c r="CW21">
        <v>0</v>
      </c>
      <c r="CX21" t="s">
        <v>198</v>
      </c>
      <c r="CY21" t="s">
        <v>198</v>
      </c>
      <c r="CZ21" t="s">
        <v>198</v>
      </c>
      <c r="DA21" t="s">
        <v>198</v>
      </c>
      <c r="DB21" t="s">
        <v>198</v>
      </c>
      <c r="DC21">
        <v>0</v>
      </c>
      <c r="DD21">
        <v>0</v>
      </c>
      <c r="DE21">
        <v>0</v>
      </c>
      <c r="DF21">
        <v>0</v>
      </c>
      <c r="DG21">
        <v>-35.3632621</v>
      </c>
      <c r="DH21">
        <v>149.1652374</v>
      </c>
      <c r="DI21" t="s">
        <v>205</v>
      </c>
      <c r="DJ21">
        <v>1.2</v>
      </c>
      <c r="DK21">
        <v>2</v>
      </c>
      <c r="DL21">
        <v>0</v>
      </c>
      <c r="DM21">
        <v>0</v>
      </c>
      <c r="DN21">
        <v>6</v>
      </c>
      <c r="DO21">
        <v>10</v>
      </c>
      <c r="DP21">
        <v>0</v>
      </c>
      <c r="DQ21">
        <v>255</v>
      </c>
      <c r="DR21">
        <v>255</v>
      </c>
      <c r="DS21">
        <v>255</v>
      </c>
      <c r="DT21">
        <v>255</v>
      </c>
      <c r="DU21">
        <v>255</v>
      </c>
      <c r="DV21">
        <v>255</v>
      </c>
      <c r="DW21">
        <v>255</v>
      </c>
      <c r="DX21" t="s">
        <v>206</v>
      </c>
      <c r="DY21" t="s">
        <v>206</v>
      </c>
      <c r="DZ21" t="s">
        <v>207</v>
      </c>
      <c r="EA21" t="s">
        <v>198</v>
      </c>
      <c r="EB21" t="s">
        <v>198</v>
      </c>
      <c r="EC21" t="s">
        <v>198</v>
      </c>
      <c r="ED21">
        <v>0</v>
      </c>
      <c r="EE21">
        <v>0</v>
      </c>
      <c r="EF21">
        <v>0</v>
      </c>
      <c r="EG21">
        <v>0</v>
      </c>
      <c r="EH21">
        <v>255</v>
      </c>
      <c r="EI21">
        <v>255</v>
      </c>
      <c r="EJ21">
        <v>255</v>
      </c>
      <c r="EK21">
        <v>255</v>
      </c>
      <c r="EL21">
        <v>255</v>
      </c>
      <c r="EM21">
        <v>255</v>
      </c>
      <c r="EN21">
        <v>255</v>
      </c>
      <c r="EO21">
        <v>255</v>
      </c>
      <c r="EP21">
        <v>255</v>
      </c>
      <c r="EQ21">
        <v>255</v>
      </c>
      <c r="ER21" t="s">
        <v>208</v>
      </c>
      <c r="ES21" t="s">
        <v>209</v>
      </c>
      <c r="ET21" t="s">
        <v>209</v>
      </c>
      <c r="EU21">
        <v>0</v>
      </c>
      <c r="EV21">
        <v>0</v>
      </c>
      <c r="EW21">
        <v>0</v>
      </c>
      <c r="EX21">
        <v>-0.2</v>
      </c>
      <c r="EY21">
        <v>0</v>
      </c>
      <c r="EZ21">
        <v>0</v>
      </c>
      <c r="FA21">
        <v>0</v>
      </c>
      <c r="FB21" t="s">
        <v>198</v>
      </c>
      <c r="FC21" t="s">
        <v>198</v>
      </c>
      <c r="FD21" t="s">
        <v>198</v>
      </c>
      <c r="FE21" t="s">
        <v>198</v>
      </c>
      <c r="FF21" t="s">
        <v>198</v>
      </c>
      <c r="FG21" t="s">
        <v>198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 t="s">
        <v>203</v>
      </c>
      <c r="FP21" t="s">
        <v>203</v>
      </c>
      <c r="FQ21" t="s">
        <v>203</v>
      </c>
      <c r="FR21" t="s">
        <v>203</v>
      </c>
      <c r="FS21" t="s">
        <v>203</v>
      </c>
      <c r="FT21" t="s">
        <v>203</v>
      </c>
      <c r="FU21" t="s">
        <v>198</v>
      </c>
      <c r="FV21" t="s">
        <v>198</v>
      </c>
      <c r="FW21" t="s">
        <v>198</v>
      </c>
      <c r="FX21" t="s">
        <v>198</v>
      </c>
      <c r="FY21" t="s">
        <v>198</v>
      </c>
      <c r="FZ21" t="s">
        <v>198</v>
      </c>
      <c r="GA21">
        <v>31.2</v>
      </c>
      <c r="GB21">
        <v>31.2</v>
      </c>
      <c r="GC21" t="s">
        <v>203</v>
      </c>
      <c r="GD21">
        <v>0</v>
      </c>
      <c r="GE21">
        <v>504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 t="s">
        <v>198</v>
      </c>
      <c r="GM21" t="s">
        <v>198</v>
      </c>
      <c r="GN21" t="s">
        <v>198</v>
      </c>
    </row>
    <row r="22" spans="1:196">
      <c r="A22" s="19">
        <v>46316.90413591435</v>
      </c>
      <c r="B22">
        <v>0</v>
      </c>
      <c r="C22">
        <v>0</v>
      </c>
      <c r="D22">
        <v>360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584.2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226</v>
      </c>
      <c r="U22">
        <v>0</v>
      </c>
      <c r="V22">
        <v>0</v>
      </c>
      <c r="W22">
        <v>0</v>
      </c>
      <c r="X22" t="s">
        <v>197</v>
      </c>
      <c r="Y22">
        <v>0</v>
      </c>
      <c r="Z22" t="s">
        <v>197</v>
      </c>
      <c r="AA22" t="s">
        <v>197</v>
      </c>
      <c r="AB22" t="s">
        <v>197</v>
      </c>
      <c r="AC22" t="s">
        <v>198</v>
      </c>
      <c r="AD22" t="s">
        <v>199</v>
      </c>
      <c r="AE22">
        <v>0</v>
      </c>
      <c r="AF22">
        <v>44</v>
      </c>
      <c r="AG22">
        <v>255</v>
      </c>
      <c r="AH22">
        <v>0</v>
      </c>
      <c r="AI22">
        <v>0</v>
      </c>
      <c r="AJ22">
        <v>0</v>
      </c>
      <c r="AK22">
        <v>12.6</v>
      </c>
      <c r="AL22">
        <v>0</v>
      </c>
      <c r="AM22">
        <v>0</v>
      </c>
      <c r="AN22" t="s">
        <v>197</v>
      </c>
      <c r="AO22">
        <v>100</v>
      </c>
      <c r="AP22" t="s">
        <v>197</v>
      </c>
      <c r="AQ22" t="s">
        <v>200</v>
      </c>
      <c r="AR22">
        <v>1</v>
      </c>
      <c r="AS22">
        <v>0</v>
      </c>
      <c r="AT22" t="s">
        <v>238</v>
      </c>
      <c r="AU22" t="s">
        <v>238</v>
      </c>
      <c r="AV22" t="s">
        <v>202</v>
      </c>
      <c r="AW22" t="s">
        <v>203</v>
      </c>
      <c r="AX22" t="s">
        <v>203</v>
      </c>
      <c r="AY22" t="s">
        <v>203</v>
      </c>
      <c r="AZ22" t="s">
        <v>203</v>
      </c>
      <c r="BA22" t="s">
        <v>203</v>
      </c>
      <c r="BB22" t="s">
        <v>203</v>
      </c>
      <c r="BC22" t="s">
        <v>203</v>
      </c>
      <c r="BD22" t="s">
        <v>203</v>
      </c>
      <c r="BE22" t="s">
        <v>203</v>
      </c>
      <c r="BF22">
        <v>0</v>
      </c>
      <c r="BG22">
        <v>0.2</v>
      </c>
      <c r="BH22">
        <v>50</v>
      </c>
      <c r="BI22">
        <v>0</v>
      </c>
      <c r="BJ22" t="s">
        <v>198</v>
      </c>
      <c r="BK22" t="s">
        <v>198</v>
      </c>
      <c r="BL22" t="s">
        <v>198</v>
      </c>
      <c r="BM22" t="s">
        <v>198</v>
      </c>
      <c r="BN22" t="s">
        <v>198</v>
      </c>
      <c r="BO22" t="s">
        <v>198</v>
      </c>
      <c r="BP22" t="s">
        <v>198</v>
      </c>
      <c r="BQ22" t="s">
        <v>198</v>
      </c>
      <c r="BR22" t="s">
        <v>198</v>
      </c>
      <c r="BS22" t="s">
        <v>198</v>
      </c>
      <c r="BT22" t="s">
        <v>198</v>
      </c>
      <c r="BU22" t="s">
        <v>198</v>
      </c>
      <c r="BV22" t="s">
        <v>198</v>
      </c>
      <c r="BW22" t="s">
        <v>198</v>
      </c>
      <c r="BX22" t="s">
        <v>198</v>
      </c>
      <c r="BY22" t="s">
        <v>198</v>
      </c>
      <c r="BZ22" t="s">
        <v>198</v>
      </c>
      <c r="CA22" t="s">
        <v>198</v>
      </c>
      <c r="CB22" t="s">
        <v>204</v>
      </c>
      <c r="CC22" t="s">
        <v>204</v>
      </c>
      <c r="CD22" t="s">
        <v>204</v>
      </c>
      <c r="CE22" t="s">
        <v>204</v>
      </c>
      <c r="CF22" t="s">
        <v>204</v>
      </c>
      <c r="CG22" t="s">
        <v>204</v>
      </c>
      <c r="CH22" t="s">
        <v>204</v>
      </c>
      <c r="CI22" t="s">
        <v>204</v>
      </c>
      <c r="CJ22" t="s">
        <v>204</v>
      </c>
      <c r="CK22" t="s">
        <v>204</v>
      </c>
      <c r="CL22" t="s">
        <v>204</v>
      </c>
      <c r="CM22" t="s">
        <v>204</v>
      </c>
      <c r="CN22" t="s">
        <v>203</v>
      </c>
      <c r="CO22" t="s">
        <v>203</v>
      </c>
      <c r="CP22" t="s">
        <v>203</v>
      </c>
      <c r="CQ22" t="s">
        <v>203</v>
      </c>
      <c r="CR22" t="s">
        <v>203</v>
      </c>
      <c r="CS22" t="s">
        <v>203</v>
      </c>
      <c r="CT22" t="s">
        <v>203</v>
      </c>
      <c r="CU22" t="s">
        <v>203</v>
      </c>
      <c r="CV22">
        <v>0</v>
      </c>
      <c r="CW22">
        <v>0</v>
      </c>
      <c r="CX22" t="s">
        <v>198</v>
      </c>
      <c r="CY22" t="s">
        <v>198</v>
      </c>
      <c r="CZ22" t="s">
        <v>198</v>
      </c>
      <c r="DA22" t="s">
        <v>198</v>
      </c>
      <c r="DB22" t="s">
        <v>198</v>
      </c>
      <c r="DC22">
        <v>0</v>
      </c>
      <c r="DD22">
        <v>0</v>
      </c>
      <c r="DE22">
        <v>0</v>
      </c>
      <c r="DF22">
        <v>0</v>
      </c>
      <c r="DG22">
        <v>-35.3632621</v>
      </c>
      <c r="DH22">
        <v>149.1652374</v>
      </c>
      <c r="DI22" t="s">
        <v>205</v>
      </c>
      <c r="DJ22">
        <v>1.2</v>
      </c>
      <c r="DK22">
        <v>2</v>
      </c>
      <c r="DL22">
        <v>0</v>
      </c>
      <c r="DM22">
        <v>0</v>
      </c>
      <c r="DN22">
        <v>6</v>
      </c>
      <c r="DO22">
        <v>10</v>
      </c>
      <c r="DP22">
        <v>0</v>
      </c>
      <c r="DQ22">
        <v>255</v>
      </c>
      <c r="DR22">
        <v>255</v>
      </c>
      <c r="DS22">
        <v>255</v>
      </c>
      <c r="DT22">
        <v>255</v>
      </c>
      <c r="DU22">
        <v>255</v>
      </c>
      <c r="DV22">
        <v>255</v>
      </c>
      <c r="DW22">
        <v>255</v>
      </c>
      <c r="DX22" t="s">
        <v>206</v>
      </c>
      <c r="DY22" t="s">
        <v>206</v>
      </c>
      <c r="DZ22" t="s">
        <v>207</v>
      </c>
      <c r="EA22" t="s">
        <v>198</v>
      </c>
      <c r="EB22" t="s">
        <v>198</v>
      </c>
      <c r="EC22" t="s">
        <v>198</v>
      </c>
      <c r="ED22">
        <v>0</v>
      </c>
      <c r="EE22">
        <v>0</v>
      </c>
      <c r="EF22">
        <v>0</v>
      </c>
      <c r="EG22">
        <v>0</v>
      </c>
      <c r="EH22">
        <v>255</v>
      </c>
      <c r="EI22">
        <v>255</v>
      </c>
      <c r="EJ22">
        <v>255</v>
      </c>
      <c r="EK22">
        <v>255</v>
      </c>
      <c r="EL22">
        <v>255</v>
      </c>
      <c r="EM22">
        <v>255</v>
      </c>
      <c r="EN22">
        <v>255</v>
      </c>
      <c r="EO22">
        <v>255</v>
      </c>
      <c r="EP22">
        <v>255</v>
      </c>
      <c r="EQ22">
        <v>255</v>
      </c>
      <c r="ER22" t="s">
        <v>208</v>
      </c>
      <c r="ES22" t="s">
        <v>209</v>
      </c>
      <c r="ET22" t="s">
        <v>209</v>
      </c>
      <c r="EU22">
        <v>0</v>
      </c>
      <c r="EV22">
        <v>0</v>
      </c>
      <c r="EW22">
        <v>0</v>
      </c>
      <c r="EX22">
        <v>-0.2</v>
      </c>
      <c r="EY22">
        <v>0</v>
      </c>
      <c r="EZ22">
        <v>0</v>
      </c>
      <c r="FA22">
        <v>0</v>
      </c>
      <c r="FB22" t="s">
        <v>198</v>
      </c>
      <c r="FC22" t="s">
        <v>198</v>
      </c>
      <c r="FD22" t="s">
        <v>198</v>
      </c>
      <c r="FE22" t="s">
        <v>198</v>
      </c>
      <c r="FF22" t="s">
        <v>198</v>
      </c>
      <c r="FG22" t="s">
        <v>198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 t="s">
        <v>203</v>
      </c>
      <c r="FP22" t="s">
        <v>203</v>
      </c>
      <c r="FQ22" t="s">
        <v>203</v>
      </c>
      <c r="FR22" t="s">
        <v>203</v>
      </c>
      <c r="FS22" t="s">
        <v>203</v>
      </c>
      <c r="FT22" t="s">
        <v>203</v>
      </c>
      <c r="FU22" t="s">
        <v>198</v>
      </c>
      <c r="FV22" t="s">
        <v>198</v>
      </c>
      <c r="FW22" t="s">
        <v>198</v>
      </c>
      <c r="FX22" t="s">
        <v>198</v>
      </c>
      <c r="FY22" t="s">
        <v>198</v>
      </c>
      <c r="FZ22" t="s">
        <v>198</v>
      </c>
      <c r="GA22">
        <v>31.2</v>
      </c>
      <c r="GB22">
        <v>31.2</v>
      </c>
      <c r="GC22" t="s">
        <v>203</v>
      </c>
      <c r="GD22">
        <v>0</v>
      </c>
      <c r="GE22">
        <v>504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 t="s">
        <v>198</v>
      </c>
      <c r="GM22" t="s">
        <v>198</v>
      </c>
      <c r="GN22" t="s">
        <v>198</v>
      </c>
    </row>
    <row r="23" spans="1:196">
      <c r="A23" s="19">
        <v>46316.90414748843</v>
      </c>
      <c r="B23">
        <v>0</v>
      </c>
      <c r="C23">
        <v>0</v>
      </c>
      <c r="D23">
        <v>360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584.2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226</v>
      </c>
      <c r="U23">
        <v>0</v>
      </c>
      <c r="V23">
        <v>0</v>
      </c>
      <c r="W23">
        <v>0</v>
      </c>
      <c r="X23" t="s">
        <v>197</v>
      </c>
      <c r="Y23">
        <v>0</v>
      </c>
      <c r="Z23" t="s">
        <v>197</v>
      </c>
      <c r="AA23" t="s">
        <v>197</v>
      </c>
      <c r="AB23" t="s">
        <v>197</v>
      </c>
      <c r="AC23" t="s">
        <v>198</v>
      </c>
      <c r="AD23" t="s">
        <v>199</v>
      </c>
      <c r="AE23">
        <v>0</v>
      </c>
      <c r="AF23">
        <v>44</v>
      </c>
      <c r="AG23">
        <v>255</v>
      </c>
      <c r="AH23">
        <v>0</v>
      </c>
      <c r="AI23">
        <v>0</v>
      </c>
      <c r="AJ23">
        <v>0</v>
      </c>
      <c r="AK23">
        <v>12.6</v>
      </c>
      <c r="AL23">
        <v>0</v>
      </c>
      <c r="AM23">
        <v>0</v>
      </c>
      <c r="AN23" t="s">
        <v>197</v>
      </c>
      <c r="AO23">
        <v>100</v>
      </c>
      <c r="AP23" t="s">
        <v>197</v>
      </c>
      <c r="AQ23" t="s">
        <v>200</v>
      </c>
      <c r="AR23">
        <v>1</v>
      </c>
      <c r="AS23">
        <v>0</v>
      </c>
      <c r="AT23" t="s">
        <v>239</v>
      </c>
      <c r="AU23" t="s">
        <v>239</v>
      </c>
      <c r="AV23" t="s">
        <v>202</v>
      </c>
      <c r="AW23" t="s">
        <v>203</v>
      </c>
      <c r="AX23" t="s">
        <v>203</v>
      </c>
      <c r="AY23" t="s">
        <v>203</v>
      </c>
      <c r="AZ23" t="s">
        <v>203</v>
      </c>
      <c r="BA23" t="s">
        <v>203</v>
      </c>
      <c r="BB23" t="s">
        <v>203</v>
      </c>
      <c r="BC23" t="s">
        <v>203</v>
      </c>
      <c r="BD23" t="s">
        <v>203</v>
      </c>
      <c r="BE23" t="s">
        <v>203</v>
      </c>
      <c r="BF23">
        <v>0</v>
      </c>
      <c r="BG23">
        <v>0.2</v>
      </c>
      <c r="BH23">
        <v>50</v>
      </c>
      <c r="BI23">
        <v>0</v>
      </c>
      <c r="BJ23" t="s">
        <v>198</v>
      </c>
      <c r="BK23" t="s">
        <v>198</v>
      </c>
      <c r="BL23" t="s">
        <v>198</v>
      </c>
      <c r="BM23" t="s">
        <v>198</v>
      </c>
      <c r="BN23" t="s">
        <v>198</v>
      </c>
      <c r="BO23" t="s">
        <v>198</v>
      </c>
      <c r="BP23" t="s">
        <v>198</v>
      </c>
      <c r="BQ23" t="s">
        <v>198</v>
      </c>
      <c r="BR23" t="s">
        <v>198</v>
      </c>
      <c r="BS23" t="s">
        <v>198</v>
      </c>
      <c r="BT23" t="s">
        <v>198</v>
      </c>
      <c r="BU23" t="s">
        <v>198</v>
      </c>
      <c r="BV23" t="s">
        <v>198</v>
      </c>
      <c r="BW23" t="s">
        <v>198</v>
      </c>
      <c r="BX23" t="s">
        <v>198</v>
      </c>
      <c r="BY23" t="s">
        <v>198</v>
      </c>
      <c r="BZ23" t="s">
        <v>198</v>
      </c>
      <c r="CA23" t="s">
        <v>198</v>
      </c>
      <c r="CB23" t="s">
        <v>204</v>
      </c>
      <c r="CC23" t="s">
        <v>204</v>
      </c>
      <c r="CD23" t="s">
        <v>204</v>
      </c>
      <c r="CE23" t="s">
        <v>204</v>
      </c>
      <c r="CF23" t="s">
        <v>204</v>
      </c>
      <c r="CG23" t="s">
        <v>204</v>
      </c>
      <c r="CH23" t="s">
        <v>204</v>
      </c>
      <c r="CI23" t="s">
        <v>204</v>
      </c>
      <c r="CJ23" t="s">
        <v>204</v>
      </c>
      <c r="CK23" t="s">
        <v>204</v>
      </c>
      <c r="CL23" t="s">
        <v>204</v>
      </c>
      <c r="CM23" t="s">
        <v>204</v>
      </c>
      <c r="CN23" t="s">
        <v>203</v>
      </c>
      <c r="CO23" t="s">
        <v>203</v>
      </c>
      <c r="CP23" t="s">
        <v>203</v>
      </c>
      <c r="CQ23" t="s">
        <v>203</v>
      </c>
      <c r="CR23" t="s">
        <v>203</v>
      </c>
      <c r="CS23" t="s">
        <v>203</v>
      </c>
      <c r="CT23" t="s">
        <v>203</v>
      </c>
      <c r="CU23" t="s">
        <v>203</v>
      </c>
      <c r="CV23">
        <v>0</v>
      </c>
      <c r="CW23">
        <v>0</v>
      </c>
      <c r="CX23" t="s">
        <v>198</v>
      </c>
      <c r="CY23" t="s">
        <v>198</v>
      </c>
      <c r="CZ23" t="s">
        <v>198</v>
      </c>
      <c r="DA23" t="s">
        <v>198</v>
      </c>
      <c r="DB23" t="s">
        <v>198</v>
      </c>
      <c r="DC23">
        <v>0</v>
      </c>
      <c r="DD23">
        <v>0</v>
      </c>
      <c r="DE23">
        <v>0</v>
      </c>
      <c r="DF23">
        <v>0</v>
      </c>
      <c r="DG23">
        <v>-35.3632621</v>
      </c>
      <c r="DH23">
        <v>149.1652374</v>
      </c>
      <c r="DI23" t="s">
        <v>205</v>
      </c>
      <c r="DJ23">
        <v>1.2</v>
      </c>
      <c r="DK23">
        <v>2</v>
      </c>
      <c r="DL23">
        <v>0</v>
      </c>
      <c r="DM23">
        <v>0</v>
      </c>
      <c r="DN23">
        <v>6</v>
      </c>
      <c r="DO23">
        <v>10</v>
      </c>
      <c r="DP23">
        <v>0</v>
      </c>
      <c r="DQ23">
        <v>255</v>
      </c>
      <c r="DR23">
        <v>255</v>
      </c>
      <c r="DS23">
        <v>255</v>
      </c>
      <c r="DT23">
        <v>255</v>
      </c>
      <c r="DU23">
        <v>255</v>
      </c>
      <c r="DV23">
        <v>255</v>
      </c>
      <c r="DW23">
        <v>255</v>
      </c>
      <c r="DX23" t="s">
        <v>206</v>
      </c>
      <c r="DY23" t="s">
        <v>206</v>
      </c>
      <c r="DZ23" t="s">
        <v>207</v>
      </c>
      <c r="EA23" t="s">
        <v>198</v>
      </c>
      <c r="EB23" t="s">
        <v>198</v>
      </c>
      <c r="EC23" t="s">
        <v>198</v>
      </c>
      <c r="ED23">
        <v>0</v>
      </c>
      <c r="EE23">
        <v>0</v>
      </c>
      <c r="EF23">
        <v>0</v>
      </c>
      <c r="EG23">
        <v>0</v>
      </c>
      <c r="EH23">
        <v>255</v>
      </c>
      <c r="EI23">
        <v>255</v>
      </c>
      <c r="EJ23">
        <v>255</v>
      </c>
      <c r="EK23">
        <v>255</v>
      </c>
      <c r="EL23">
        <v>255</v>
      </c>
      <c r="EM23">
        <v>255</v>
      </c>
      <c r="EN23">
        <v>255</v>
      </c>
      <c r="EO23">
        <v>255</v>
      </c>
      <c r="EP23">
        <v>255</v>
      </c>
      <c r="EQ23">
        <v>255</v>
      </c>
      <c r="ER23" t="s">
        <v>208</v>
      </c>
      <c r="ES23" t="s">
        <v>209</v>
      </c>
      <c r="ET23" t="s">
        <v>209</v>
      </c>
      <c r="EU23">
        <v>0</v>
      </c>
      <c r="EV23">
        <v>0</v>
      </c>
      <c r="EW23">
        <v>0</v>
      </c>
      <c r="EX23">
        <v>-0.2</v>
      </c>
      <c r="EY23">
        <v>0</v>
      </c>
      <c r="EZ23">
        <v>0</v>
      </c>
      <c r="FA23">
        <v>0</v>
      </c>
      <c r="FB23" t="s">
        <v>198</v>
      </c>
      <c r="FC23" t="s">
        <v>198</v>
      </c>
      <c r="FD23" t="s">
        <v>198</v>
      </c>
      <c r="FE23" t="s">
        <v>198</v>
      </c>
      <c r="FF23" t="s">
        <v>198</v>
      </c>
      <c r="FG23" t="s">
        <v>198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 t="s">
        <v>203</v>
      </c>
      <c r="FP23" t="s">
        <v>203</v>
      </c>
      <c r="FQ23" t="s">
        <v>203</v>
      </c>
      <c r="FR23" t="s">
        <v>203</v>
      </c>
      <c r="FS23" t="s">
        <v>203</v>
      </c>
      <c r="FT23" t="s">
        <v>203</v>
      </c>
      <c r="FU23" t="s">
        <v>198</v>
      </c>
      <c r="FV23" t="s">
        <v>198</v>
      </c>
      <c r="FW23" t="s">
        <v>198</v>
      </c>
      <c r="FX23" t="s">
        <v>198</v>
      </c>
      <c r="FY23" t="s">
        <v>198</v>
      </c>
      <c r="FZ23" t="s">
        <v>198</v>
      </c>
      <c r="GA23">
        <v>31.2</v>
      </c>
      <c r="GB23">
        <v>31.2</v>
      </c>
      <c r="GC23" t="s">
        <v>203</v>
      </c>
      <c r="GD23">
        <v>0</v>
      </c>
      <c r="GE23">
        <v>504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 t="s">
        <v>198</v>
      </c>
      <c r="GM23" t="s">
        <v>198</v>
      </c>
      <c r="GN23" t="s">
        <v>198</v>
      </c>
    </row>
    <row r="24" spans="1:196">
      <c r="A24" s="19">
        <v>46316.9041590625</v>
      </c>
      <c r="B24">
        <v>0</v>
      </c>
      <c r="C24">
        <v>0</v>
      </c>
      <c r="D24">
        <v>360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584.2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226</v>
      </c>
      <c r="U24">
        <v>0</v>
      </c>
      <c r="V24">
        <v>0</v>
      </c>
      <c r="W24">
        <v>0</v>
      </c>
      <c r="X24" t="s">
        <v>197</v>
      </c>
      <c r="Y24">
        <v>0</v>
      </c>
      <c r="Z24" t="s">
        <v>197</v>
      </c>
      <c r="AA24" t="s">
        <v>197</v>
      </c>
      <c r="AB24" t="s">
        <v>197</v>
      </c>
      <c r="AC24" t="s">
        <v>198</v>
      </c>
      <c r="AD24" t="s">
        <v>199</v>
      </c>
      <c r="AE24">
        <v>0</v>
      </c>
      <c r="AF24">
        <v>44</v>
      </c>
      <c r="AG24">
        <v>255</v>
      </c>
      <c r="AH24">
        <v>0</v>
      </c>
      <c r="AI24">
        <v>0</v>
      </c>
      <c r="AJ24">
        <v>0</v>
      </c>
      <c r="AK24">
        <v>12.6</v>
      </c>
      <c r="AL24">
        <v>0</v>
      </c>
      <c r="AM24">
        <v>0</v>
      </c>
      <c r="AN24" t="s">
        <v>197</v>
      </c>
      <c r="AO24">
        <v>100</v>
      </c>
      <c r="AP24" t="s">
        <v>197</v>
      </c>
      <c r="AQ24" t="s">
        <v>200</v>
      </c>
      <c r="AR24">
        <v>1</v>
      </c>
      <c r="AS24">
        <v>0</v>
      </c>
      <c r="AT24" t="s">
        <v>240</v>
      </c>
      <c r="AU24" t="s">
        <v>240</v>
      </c>
      <c r="AV24" t="s">
        <v>202</v>
      </c>
      <c r="AW24" t="s">
        <v>203</v>
      </c>
      <c r="AX24" t="s">
        <v>203</v>
      </c>
      <c r="AY24" t="s">
        <v>203</v>
      </c>
      <c r="AZ24" t="s">
        <v>203</v>
      </c>
      <c r="BA24" t="s">
        <v>203</v>
      </c>
      <c r="BB24" t="s">
        <v>203</v>
      </c>
      <c r="BC24" t="s">
        <v>203</v>
      </c>
      <c r="BD24" t="s">
        <v>203</v>
      </c>
      <c r="BE24" t="s">
        <v>203</v>
      </c>
      <c r="BF24">
        <v>0</v>
      </c>
      <c r="BG24">
        <v>0.2</v>
      </c>
      <c r="BH24">
        <v>50</v>
      </c>
      <c r="BI24">
        <v>0</v>
      </c>
      <c r="BJ24" t="s">
        <v>198</v>
      </c>
      <c r="BK24" t="s">
        <v>198</v>
      </c>
      <c r="BL24" t="s">
        <v>198</v>
      </c>
      <c r="BM24" t="s">
        <v>198</v>
      </c>
      <c r="BN24" t="s">
        <v>198</v>
      </c>
      <c r="BO24" t="s">
        <v>198</v>
      </c>
      <c r="BP24" t="s">
        <v>198</v>
      </c>
      <c r="BQ24" t="s">
        <v>198</v>
      </c>
      <c r="BR24" t="s">
        <v>198</v>
      </c>
      <c r="BS24" t="s">
        <v>198</v>
      </c>
      <c r="BT24" t="s">
        <v>198</v>
      </c>
      <c r="BU24" t="s">
        <v>198</v>
      </c>
      <c r="BV24" t="s">
        <v>198</v>
      </c>
      <c r="BW24" t="s">
        <v>198</v>
      </c>
      <c r="BX24" t="s">
        <v>198</v>
      </c>
      <c r="BY24" t="s">
        <v>198</v>
      </c>
      <c r="BZ24" t="s">
        <v>198</v>
      </c>
      <c r="CA24" t="s">
        <v>198</v>
      </c>
      <c r="CB24" t="s">
        <v>204</v>
      </c>
      <c r="CC24" t="s">
        <v>204</v>
      </c>
      <c r="CD24" t="s">
        <v>204</v>
      </c>
      <c r="CE24" t="s">
        <v>204</v>
      </c>
      <c r="CF24" t="s">
        <v>204</v>
      </c>
      <c r="CG24" t="s">
        <v>204</v>
      </c>
      <c r="CH24" t="s">
        <v>204</v>
      </c>
      <c r="CI24" t="s">
        <v>204</v>
      </c>
      <c r="CJ24" t="s">
        <v>204</v>
      </c>
      <c r="CK24" t="s">
        <v>204</v>
      </c>
      <c r="CL24" t="s">
        <v>204</v>
      </c>
      <c r="CM24" t="s">
        <v>204</v>
      </c>
      <c r="CN24" t="s">
        <v>203</v>
      </c>
      <c r="CO24" t="s">
        <v>203</v>
      </c>
      <c r="CP24" t="s">
        <v>203</v>
      </c>
      <c r="CQ24" t="s">
        <v>203</v>
      </c>
      <c r="CR24" t="s">
        <v>203</v>
      </c>
      <c r="CS24" t="s">
        <v>203</v>
      </c>
      <c r="CT24" t="s">
        <v>203</v>
      </c>
      <c r="CU24" t="s">
        <v>203</v>
      </c>
      <c r="CV24">
        <v>0</v>
      </c>
      <c r="CW24">
        <v>0</v>
      </c>
      <c r="CX24" t="s">
        <v>198</v>
      </c>
      <c r="CY24" t="s">
        <v>198</v>
      </c>
      <c r="CZ24" t="s">
        <v>198</v>
      </c>
      <c r="DA24" t="s">
        <v>198</v>
      </c>
      <c r="DB24" t="s">
        <v>198</v>
      </c>
      <c r="DC24">
        <v>0</v>
      </c>
      <c r="DD24">
        <v>0</v>
      </c>
      <c r="DE24">
        <v>0</v>
      </c>
      <c r="DF24">
        <v>0</v>
      </c>
      <c r="DG24">
        <v>-35.3632621</v>
      </c>
      <c r="DH24">
        <v>149.1652374</v>
      </c>
      <c r="DI24" t="s">
        <v>205</v>
      </c>
      <c r="DJ24">
        <v>1.2</v>
      </c>
      <c r="DK24">
        <v>2</v>
      </c>
      <c r="DL24">
        <v>0</v>
      </c>
      <c r="DM24">
        <v>0</v>
      </c>
      <c r="DN24">
        <v>6</v>
      </c>
      <c r="DO24">
        <v>10</v>
      </c>
      <c r="DP24">
        <v>0</v>
      </c>
      <c r="DQ24">
        <v>255</v>
      </c>
      <c r="DR24">
        <v>255</v>
      </c>
      <c r="DS24">
        <v>255</v>
      </c>
      <c r="DT24">
        <v>255</v>
      </c>
      <c r="DU24">
        <v>255</v>
      </c>
      <c r="DV24">
        <v>255</v>
      </c>
      <c r="DW24">
        <v>255</v>
      </c>
      <c r="DX24" t="s">
        <v>206</v>
      </c>
      <c r="DY24" t="s">
        <v>206</v>
      </c>
      <c r="DZ24" t="s">
        <v>207</v>
      </c>
      <c r="EA24" t="s">
        <v>198</v>
      </c>
      <c r="EB24" t="s">
        <v>198</v>
      </c>
      <c r="EC24" t="s">
        <v>198</v>
      </c>
      <c r="ED24">
        <v>0</v>
      </c>
      <c r="EE24">
        <v>0</v>
      </c>
      <c r="EF24">
        <v>0</v>
      </c>
      <c r="EG24">
        <v>0</v>
      </c>
      <c r="EH24">
        <v>255</v>
      </c>
      <c r="EI24">
        <v>255</v>
      </c>
      <c r="EJ24">
        <v>255</v>
      </c>
      <c r="EK24">
        <v>255</v>
      </c>
      <c r="EL24">
        <v>255</v>
      </c>
      <c r="EM24">
        <v>255</v>
      </c>
      <c r="EN24">
        <v>255</v>
      </c>
      <c r="EO24">
        <v>255</v>
      </c>
      <c r="EP24">
        <v>255</v>
      </c>
      <c r="EQ24">
        <v>255</v>
      </c>
      <c r="ER24" t="s">
        <v>208</v>
      </c>
      <c r="ES24" t="s">
        <v>209</v>
      </c>
      <c r="ET24" t="s">
        <v>209</v>
      </c>
      <c r="EU24">
        <v>0</v>
      </c>
      <c r="EV24">
        <v>0</v>
      </c>
      <c r="EW24">
        <v>0</v>
      </c>
      <c r="EX24">
        <v>-0.2</v>
      </c>
      <c r="EY24">
        <v>0</v>
      </c>
      <c r="EZ24">
        <v>0</v>
      </c>
      <c r="FA24">
        <v>0</v>
      </c>
      <c r="FB24" t="s">
        <v>198</v>
      </c>
      <c r="FC24" t="s">
        <v>198</v>
      </c>
      <c r="FD24" t="s">
        <v>198</v>
      </c>
      <c r="FE24" t="s">
        <v>198</v>
      </c>
      <c r="FF24" t="s">
        <v>198</v>
      </c>
      <c r="FG24" t="s">
        <v>198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 t="s">
        <v>203</v>
      </c>
      <c r="FP24" t="s">
        <v>203</v>
      </c>
      <c r="FQ24" t="s">
        <v>203</v>
      </c>
      <c r="FR24" t="s">
        <v>203</v>
      </c>
      <c r="FS24" t="s">
        <v>203</v>
      </c>
      <c r="FT24" t="s">
        <v>203</v>
      </c>
      <c r="FU24" t="s">
        <v>198</v>
      </c>
      <c r="FV24" t="s">
        <v>198</v>
      </c>
      <c r="FW24" t="s">
        <v>198</v>
      </c>
      <c r="FX24" t="s">
        <v>198</v>
      </c>
      <c r="FY24" t="s">
        <v>198</v>
      </c>
      <c r="FZ24" t="s">
        <v>198</v>
      </c>
      <c r="GA24">
        <v>31.2</v>
      </c>
      <c r="GB24">
        <v>31.2</v>
      </c>
      <c r="GC24" t="s">
        <v>203</v>
      </c>
      <c r="GD24">
        <v>0</v>
      </c>
      <c r="GE24">
        <v>504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 t="s">
        <v>198</v>
      </c>
      <c r="GM24" t="s">
        <v>198</v>
      </c>
      <c r="GN24" t="s">
        <v>198</v>
      </c>
    </row>
    <row r="25" spans="1:196">
      <c r="A25" s="19">
        <v>46316.90417063658</v>
      </c>
      <c r="B25">
        <v>0</v>
      </c>
      <c r="C25">
        <v>0</v>
      </c>
      <c r="D25">
        <v>360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584.2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196</v>
      </c>
      <c r="U25">
        <v>0</v>
      </c>
      <c r="V25">
        <v>0</v>
      </c>
      <c r="W25">
        <v>1</v>
      </c>
      <c r="X25" t="s">
        <v>197</v>
      </c>
      <c r="Y25">
        <v>0</v>
      </c>
      <c r="Z25" t="s">
        <v>197</v>
      </c>
      <c r="AA25" t="s">
        <v>197</v>
      </c>
      <c r="AB25" t="s">
        <v>197</v>
      </c>
      <c r="AC25" t="s">
        <v>198</v>
      </c>
      <c r="AD25" t="s">
        <v>199</v>
      </c>
      <c r="AE25">
        <v>0</v>
      </c>
      <c r="AF25">
        <v>44</v>
      </c>
      <c r="AG25">
        <v>255</v>
      </c>
      <c r="AH25">
        <v>0</v>
      </c>
      <c r="AI25">
        <v>0</v>
      </c>
      <c r="AJ25">
        <v>0</v>
      </c>
      <c r="AK25">
        <v>12.6</v>
      </c>
      <c r="AL25">
        <v>0</v>
      </c>
      <c r="AM25">
        <v>0</v>
      </c>
      <c r="AN25" t="s">
        <v>197</v>
      </c>
      <c r="AO25">
        <v>100</v>
      </c>
      <c r="AP25" t="s">
        <v>197</v>
      </c>
      <c r="AQ25" t="s">
        <v>200</v>
      </c>
      <c r="AR25">
        <v>1</v>
      </c>
      <c r="AS25">
        <v>0</v>
      </c>
      <c r="AT25" t="s">
        <v>241</v>
      </c>
      <c r="AU25" t="s">
        <v>241</v>
      </c>
      <c r="AV25" t="s">
        <v>202</v>
      </c>
      <c r="AW25" t="s">
        <v>203</v>
      </c>
      <c r="AX25" t="s">
        <v>203</v>
      </c>
      <c r="AY25" t="s">
        <v>203</v>
      </c>
      <c r="AZ25" t="s">
        <v>203</v>
      </c>
      <c r="BA25" t="s">
        <v>203</v>
      </c>
      <c r="BB25" t="s">
        <v>203</v>
      </c>
      <c r="BC25" t="s">
        <v>203</v>
      </c>
      <c r="BD25" t="s">
        <v>203</v>
      </c>
      <c r="BE25" t="s">
        <v>203</v>
      </c>
      <c r="BF25">
        <v>0</v>
      </c>
      <c r="BG25">
        <v>0.2</v>
      </c>
      <c r="BH25">
        <v>50</v>
      </c>
      <c r="BI25">
        <v>0</v>
      </c>
      <c r="BJ25" t="s">
        <v>198</v>
      </c>
      <c r="BK25" t="s">
        <v>198</v>
      </c>
      <c r="BL25" t="s">
        <v>198</v>
      </c>
      <c r="BM25" t="s">
        <v>198</v>
      </c>
      <c r="BN25" t="s">
        <v>198</v>
      </c>
      <c r="BO25" t="s">
        <v>198</v>
      </c>
      <c r="BP25" t="s">
        <v>198</v>
      </c>
      <c r="BQ25" t="s">
        <v>198</v>
      </c>
      <c r="BR25" t="s">
        <v>198</v>
      </c>
      <c r="BS25" t="s">
        <v>198</v>
      </c>
      <c r="BT25" t="s">
        <v>198</v>
      </c>
      <c r="BU25" t="s">
        <v>198</v>
      </c>
      <c r="BV25" t="s">
        <v>198</v>
      </c>
      <c r="BW25" t="s">
        <v>198</v>
      </c>
      <c r="BX25" t="s">
        <v>198</v>
      </c>
      <c r="BY25" t="s">
        <v>198</v>
      </c>
      <c r="BZ25" t="s">
        <v>198</v>
      </c>
      <c r="CA25" t="s">
        <v>198</v>
      </c>
      <c r="CB25" t="s">
        <v>204</v>
      </c>
      <c r="CC25" t="s">
        <v>204</v>
      </c>
      <c r="CD25" t="s">
        <v>204</v>
      </c>
      <c r="CE25" t="s">
        <v>204</v>
      </c>
      <c r="CF25" t="s">
        <v>204</v>
      </c>
      <c r="CG25" t="s">
        <v>204</v>
      </c>
      <c r="CH25" t="s">
        <v>204</v>
      </c>
      <c r="CI25" t="s">
        <v>204</v>
      </c>
      <c r="CJ25" t="s">
        <v>204</v>
      </c>
      <c r="CK25" t="s">
        <v>204</v>
      </c>
      <c r="CL25" t="s">
        <v>204</v>
      </c>
      <c r="CM25" t="s">
        <v>204</v>
      </c>
      <c r="CN25" t="s">
        <v>203</v>
      </c>
      <c r="CO25" t="s">
        <v>203</v>
      </c>
      <c r="CP25" t="s">
        <v>203</v>
      </c>
      <c r="CQ25" t="s">
        <v>203</v>
      </c>
      <c r="CR25" t="s">
        <v>203</v>
      </c>
      <c r="CS25" t="s">
        <v>203</v>
      </c>
      <c r="CT25" t="s">
        <v>203</v>
      </c>
      <c r="CU25" t="s">
        <v>203</v>
      </c>
      <c r="CV25">
        <v>0</v>
      </c>
      <c r="CW25">
        <v>0</v>
      </c>
      <c r="CX25" t="s">
        <v>198</v>
      </c>
      <c r="CY25" t="s">
        <v>198</v>
      </c>
      <c r="CZ25" t="s">
        <v>198</v>
      </c>
      <c r="DA25" t="s">
        <v>198</v>
      </c>
      <c r="DB25" t="s">
        <v>198</v>
      </c>
      <c r="DC25">
        <v>0</v>
      </c>
      <c r="DD25">
        <v>0</v>
      </c>
      <c r="DE25">
        <v>0</v>
      </c>
      <c r="DF25">
        <v>0</v>
      </c>
      <c r="DG25">
        <v>-35.3632621</v>
      </c>
      <c r="DH25">
        <v>149.1652374</v>
      </c>
      <c r="DI25" t="s">
        <v>205</v>
      </c>
      <c r="DJ25">
        <v>1.2</v>
      </c>
      <c r="DK25">
        <v>2</v>
      </c>
      <c r="DL25">
        <v>0</v>
      </c>
      <c r="DM25">
        <v>0</v>
      </c>
      <c r="DN25">
        <v>6</v>
      </c>
      <c r="DO25">
        <v>10</v>
      </c>
      <c r="DP25">
        <v>0</v>
      </c>
      <c r="DQ25">
        <v>255</v>
      </c>
      <c r="DR25">
        <v>255</v>
      </c>
      <c r="DS25">
        <v>255</v>
      </c>
      <c r="DT25">
        <v>255</v>
      </c>
      <c r="DU25">
        <v>255</v>
      </c>
      <c r="DV25">
        <v>255</v>
      </c>
      <c r="DW25">
        <v>255</v>
      </c>
      <c r="DX25" t="s">
        <v>206</v>
      </c>
      <c r="DY25" t="s">
        <v>206</v>
      </c>
      <c r="DZ25" t="s">
        <v>207</v>
      </c>
      <c r="EA25" t="s">
        <v>198</v>
      </c>
      <c r="EB25" t="s">
        <v>198</v>
      </c>
      <c r="EC25" t="s">
        <v>198</v>
      </c>
      <c r="ED25">
        <v>0</v>
      </c>
      <c r="EE25">
        <v>0</v>
      </c>
      <c r="EF25">
        <v>0</v>
      </c>
      <c r="EG25">
        <v>0</v>
      </c>
      <c r="EH25">
        <v>255</v>
      </c>
      <c r="EI25">
        <v>255</v>
      </c>
      <c r="EJ25">
        <v>255</v>
      </c>
      <c r="EK25">
        <v>255</v>
      </c>
      <c r="EL25">
        <v>255</v>
      </c>
      <c r="EM25">
        <v>255</v>
      </c>
      <c r="EN25">
        <v>255</v>
      </c>
      <c r="EO25">
        <v>255</v>
      </c>
      <c r="EP25">
        <v>255</v>
      </c>
      <c r="EQ25">
        <v>255</v>
      </c>
      <c r="ER25" t="s">
        <v>208</v>
      </c>
      <c r="ES25" t="s">
        <v>209</v>
      </c>
      <c r="ET25" t="s">
        <v>209</v>
      </c>
      <c r="EU25">
        <v>0</v>
      </c>
      <c r="EV25">
        <v>0</v>
      </c>
      <c r="EW25">
        <v>0</v>
      </c>
      <c r="EX25">
        <v>-0.2</v>
      </c>
      <c r="EY25">
        <v>0</v>
      </c>
      <c r="EZ25">
        <v>0</v>
      </c>
      <c r="FA25">
        <v>0</v>
      </c>
      <c r="FB25" t="s">
        <v>198</v>
      </c>
      <c r="FC25" t="s">
        <v>198</v>
      </c>
      <c r="FD25" t="s">
        <v>198</v>
      </c>
      <c r="FE25" t="s">
        <v>198</v>
      </c>
      <c r="FF25" t="s">
        <v>198</v>
      </c>
      <c r="FG25" t="s">
        <v>198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 t="s">
        <v>203</v>
      </c>
      <c r="FP25" t="s">
        <v>203</v>
      </c>
      <c r="FQ25" t="s">
        <v>203</v>
      </c>
      <c r="FR25" t="s">
        <v>203</v>
      </c>
      <c r="FS25" t="s">
        <v>203</v>
      </c>
      <c r="FT25" t="s">
        <v>203</v>
      </c>
      <c r="FU25" t="s">
        <v>198</v>
      </c>
      <c r="FV25" t="s">
        <v>198</v>
      </c>
      <c r="FW25" t="s">
        <v>198</v>
      </c>
      <c r="FX25" t="s">
        <v>198</v>
      </c>
      <c r="FY25" t="s">
        <v>198</v>
      </c>
      <c r="FZ25" t="s">
        <v>198</v>
      </c>
      <c r="GA25">
        <v>31.2</v>
      </c>
      <c r="GB25">
        <v>31.2</v>
      </c>
      <c r="GC25" t="s">
        <v>203</v>
      </c>
      <c r="GD25">
        <v>0</v>
      </c>
      <c r="GE25">
        <v>504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 t="s">
        <v>198</v>
      </c>
      <c r="GM25" t="s">
        <v>198</v>
      </c>
      <c r="GN25" t="s">
        <v>198</v>
      </c>
    </row>
    <row r="26" spans="1:196">
      <c r="A26" s="19">
        <v>46316.90418221064</v>
      </c>
      <c r="B26">
        <v>0</v>
      </c>
      <c r="C26">
        <v>0</v>
      </c>
      <c r="D26">
        <v>360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584.2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196</v>
      </c>
      <c r="U26">
        <v>0</v>
      </c>
      <c r="V26">
        <v>0</v>
      </c>
      <c r="W26">
        <v>1</v>
      </c>
      <c r="X26" t="s">
        <v>197</v>
      </c>
      <c r="Y26">
        <v>0</v>
      </c>
      <c r="Z26" t="s">
        <v>197</v>
      </c>
      <c r="AA26" t="s">
        <v>197</v>
      </c>
      <c r="AB26" t="s">
        <v>197</v>
      </c>
      <c r="AC26" t="s">
        <v>198</v>
      </c>
      <c r="AD26" t="s">
        <v>199</v>
      </c>
      <c r="AE26">
        <v>0</v>
      </c>
      <c r="AF26">
        <v>44</v>
      </c>
      <c r="AG26">
        <v>255</v>
      </c>
      <c r="AH26">
        <v>0</v>
      </c>
      <c r="AI26">
        <v>0</v>
      </c>
      <c r="AJ26">
        <v>0</v>
      </c>
      <c r="AK26">
        <v>12.6</v>
      </c>
      <c r="AL26">
        <v>0</v>
      </c>
      <c r="AM26">
        <v>0</v>
      </c>
      <c r="AN26" t="s">
        <v>197</v>
      </c>
      <c r="AO26">
        <v>100</v>
      </c>
      <c r="AP26" t="s">
        <v>197</v>
      </c>
      <c r="AQ26" t="s">
        <v>200</v>
      </c>
      <c r="AR26">
        <v>1</v>
      </c>
      <c r="AS26">
        <v>0</v>
      </c>
      <c r="AT26" t="s">
        <v>242</v>
      </c>
      <c r="AU26" t="s">
        <v>242</v>
      </c>
      <c r="AV26" t="s">
        <v>202</v>
      </c>
      <c r="AW26" t="s">
        <v>203</v>
      </c>
      <c r="AX26" t="s">
        <v>203</v>
      </c>
      <c r="AY26" t="s">
        <v>203</v>
      </c>
      <c r="AZ26" t="s">
        <v>203</v>
      </c>
      <c r="BA26" t="s">
        <v>203</v>
      </c>
      <c r="BB26" t="s">
        <v>203</v>
      </c>
      <c r="BC26" t="s">
        <v>203</v>
      </c>
      <c r="BD26" t="s">
        <v>203</v>
      </c>
      <c r="BE26" t="s">
        <v>203</v>
      </c>
      <c r="BF26">
        <v>0</v>
      </c>
      <c r="BG26">
        <v>0.2</v>
      </c>
      <c r="BH26">
        <v>50</v>
      </c>
      <c r="BI26">
        <v>0</v>
      </c>
      <c r="BJ26" t="s">
        <v>198</v>
      </c>
      <c r="BK26" t="s">
        <v>198</v>
      </c>
      <c r="BL26" t="s">
        <v>198</v>
      </c>
      <c r="BM26" t="s">
        <v>198</v>
      </c>
      <c r="BN26" t="s">
        <v>198</v>
      </c>
      <c r="BO26" t="s">
        <v>198</v>
      </c>
      <c r="BP26" t="s">
        <v>198</v>
      </c>
      <c r="BQ26" t="s">
        <v>198</v>
      </c>
      <c r="BR26" t="s">
        <v>198</v>
      </c>
      <c r="BS26" t="s">
        <v>198</v>
      </c>
      <c r="BT26" t="s">
        <v>198</v>
      </c>
      <c r="BU26" t="s">
        <v>198</v>
      </c>
      <c r="BV26" t="s">
        <v>198</v>
      </c>
      <c r="BW26" t="s">
        <v>198</v>
      </c>
      <c r="BX26" t="s">
        <v>198</v>
      </c>
      <c r="BY26" t="s">
        <v>198</v>
      </c>
      <c r="BZ26" t="s">
        <v>198</v>
      </c>
      <c r="CA26" t="s">
        <v>198</v>
      </c>
      <c r="CB26" t="s">
        <v>204</v>
      </c>
      <c r="CC26" t="s">
        <v>204</v>
      </c>
      <c r="CD26" t="s">
        <v>204</v>
      </c>
      <c r="CE26" t="s">
        <v>204</v>
      </c>
      <c r="CF26" t="s">
        <v>204</v>
      </c>
      <c r="CG26" t="s">
        <v>204</v>
      </c>
      <c r="CH26" t="s">
        <v>204</v>
      </c>
      <c r="CI26" t="s">
        <v>204</v>
      </c>
      <c r="CJ26" t="s">
        <v>204</v>
      </c>
      <c r="CK26" t="s">
        <v>204</v>
      </c>
      <c r="CL26" t="s">
        <v>204</v>
      </c>
      <c r="CM26" t="s">
        <v>204</v>
      </c>
      <c r="CN26" t="s">
        <v>203</v>
      </c>
      <c r="CO26" t="s">
        <v>203</v>
      </c>
      <c r="CP26" t="s">
        <v>203</v>
      </c>
      <c r="CQ26" t="s">
        <v>203</v>
      </c>
      <c r="CR26" t="s">
        <v>203</v>
      </c>
      <c r="CS26" t="s">
        <v>203</v>
      </c>
      <c r="CT26" t="s">
        <v>203</v>
      </c>
      <c r="CU26" t="s">
        <v>203</v>
      </c>
      <c r="CV26">
        <v>0</v>
      </c>
      <c r="CW26">
        <v>0</v>
      </c>
      <c r="CX26" t="s">
        <v>198</v>
      </c>
      <c r="CY26" t="s">
        <v>198</v>
      </c>
      <c r="CZ26" t="s">
        <v>198</v>
      </c>
      <c r="DA26" t="s">
        <v>198</v>
      </c>
      <c r="DB26" t="s">
        <v>198</v>
      </c>
      <c r="DC26">
        <v>0</v>
      </c>
      <c r="DD26">
        <v>0</v>
      </c>
      <c r="DE26">
        <v>0</v>
      </c>
      <c r="DF26">
        <v>0</v>
      </c>
      <c r="DG26">
        <v>-35.3632621</v>
      </c>
      <c r="DH26">
        <v>149.1652374</v>
      </c>
      <c r="DI26" t="s">
        <v>205</v>
      </c>
      <c r="DJ26">
        <v>1.2</v>
      </c>
      <c r="DK26">
        <v>2</v>
      </c>
      <c r="DL26">
        <v>0</v>
      </c>
      <c r="DM26">
        <v>0</v>
      </c>
      <c r="DN26">
        <v>6</v>
      </c>
      <c r="DO26">
        <v>10</v>
      </c>
      <c r="DP26">
        <v>0</v>
      </c>
      <c r="DQ26">
        <v>255</v>
      </c>
      <c r="DR26">
        <v>255</v>
      </c>
      <c r="DS26">
        <v>255</v>
      </c>
      <c r="DT26">
        <v>255</v>
      </c>
      <c r="DU26">
        <v>255</v>
      </c>
      <c r="DV26">
        <v>255</v>
      </c>
      <c r="DW26">
        <v>255</v>
      </c>
      <c r="DX26" t="s">
        <v>206</v>
      </c>
      <c r="DY26" t="s">
        <v>206</v>
      </c>
      <c r="DZ26" t="s">
        <v>207</v>
      </c>
      <c r="EA26" t="s">
        <v>198</v>
      </c>
      <c r="EB26" t="s">
        <v>198</v>
      </c>
      <c r="EC26" t="s">
        <v>198</v>
      </c>
      <c r="ED26">
        <v>0</v>
      </c>
      <c r="EE26">
        <v>0</v>
      </c>
      <c r="EF26">
        <v>0</v>
      </c>
      <c r="EG26">
        <v>0</v>
      </c>
      <c r="EH26">
        <v>255</v>
      </c>
      <c r="EI26">
        <v>255</v>
      </c>
      <c r="EJ26">
        <v>255</v>
      </c>
      <c r="EK26">
        <v>255</v>
      </c>
      <c r="EL26">
        <v>255</v>
      </c>
      <c r="EM26">
        <v>255</v>
      </c>
      <c r="EN26">
        <v>255</v>
      </c>
      <c r="EO26">
        <v>255</v>
      </c>
      <c r="EP26">
        <v>255</v>
      </c>
      <c r="EQ26">
        <v>255</v>
      </c>
      <c r="ER26" t="s">
        <v>208</v>
      </c>
      <c r="ES26" t="s">
        <v>209</v>
      </c>
      <c r="ET26" t="s">
        <v>209</v>
      </c>
      <c r="EU26">
        <v>0</v>
      </c>
      <c r="EV26">
        <v>0</v>
      </c>
      <c r="EW26">
        <v>0</v>
      </c>
      <c r="EX26">
        <v>-0.2</v>
      </c>
      <c r="EY26">
        <v>0</v>
      </c>
      <c r="EZ26">
        <v>0</v>
      </c>
      <c r="FA26">
        <v>0</v>
      </c>
      <c r="FB26" t="s">
        <v>198</v>
      </c>
      <c r="FC26" t="s">
        <v>198</v>
      </c>
      <c r="FD26" t="s">
        <v>198</v>
      </c>
      <c r="FE26" t="s">
        <v>198</v>
      </c>
      <c r="FF26" t="s">
        <v>198</v>
      </c>
      <c r="FG26" t="s">
        <v>198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 t="s">
        <v>203</v>
      </c>
      <c r="FP26" t="s">
        <v>203</v>
      </c>
      <c r="FQ26" t="s">
        <v>203</v>
      </c>
      <c r="FR26" t="s">
        <v>203</v>
      </c>
      <c r="FS26" t="s">
        <v>203</v>
      </c>
      <c r="FT26" t="s">
        <v>203</v>
      </c>
      <c r="FU26" t="s">
        <v>198</v>
      </c>
      <c r="FV26" t="s">
        <v>198</v>
      </c>
      <c r="FW26" t="s">
        <v>198</v>
      </c>
      <c r="FX26" t="s">
        <v>198</v>
      </c>
      <c r="FY26" t="s">
        <v>198</v>
      </c>
      <c r="FZ26" t="s">
        <v>198</v>
      </c>
      <c r="GA26">
        <v>31.2</v>
      </c>
      <c r="GB26">
        <v>31.2</v>
      </c>
      <c r="GC26" t="s">
        <v>203</v>
      </c>
      <c r="GD26">
        <v>0</v>
      </c>
      <c r="GE26">
        <v>504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 t="s">
        <v>198</v>
      </c>
      <c r="GM26" t="s">
        <v>198</v>
      </c>
      <c r="GN26" t="s">
        <v>198</v>
      </c>
    </row>
    <row r="27" spans="1:196">
      <c r="A27" s="19">
        <v>46316.90419377315</v>
      </c>
      <c r="B27">
        <v>0</v>
      </c>
      <c r="C27">
        <v>0</v>
      </c>
      <c r="D27">
        <v>359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584.2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210</v>
      </c>
      <c r="U27">
        <v>0</v>
      </c>
      <c r="V27">
        <v>0</v>
      </c>
      <c r="W27">
        <v>1</v>
      </c>
      <c r="X27" t="s">
        <v>197</v>
      </c>
      <c r="Y27">
        <v>0</v>
      </c>
      <c r="Z27" t="s">
        <v>197</v>
      </c>
      <c r="AA27" t="s">
        <v>197</v>
      </c>
      <c r="AB27" t="s">
        <v>197</v>
      </c>
      <c r="AC27" t="s">
        <v>198</v>
      </c>
      <c r="AD27" t="s">
        <v>199</v>
      </c>
      <c r="AE27">
        <v>3</v>
      </c>
      <c r="AF27">
        <v>44</v>
      </c>
      <c r="AG27">
        <v>255</v>
      </c>
      <c r="AH27">
        <v>0</v>
      </c>
      <c r="AI27">
        <v>0</v>
      </c>
      <c r="AJ27">
        <v>0</v>
      </c>
      <c r="AK27">
        <v>12.6</v>
      </c>
      <c r="AL27">
        <v>0</v>
      </c>
      <c r="AM27">
        <v>0</v>
      </c>
      <c r="AN27" t="s">
        <v>197</v>
      </c>
      <c r="AO27">
        <v>100</v>
      </c>
      <c r="AP27" t="s">
        <v>197</v>
      </c>
      <c r="AQ27" t="s">
        <v>200</v>
      </c>
      <c r="AR27">
        <v>1</v>
      </c>
      <c r="AS27">
        <v>0</v>
      </c>
      <c r="AT27" t="s">
        <v>243</v>
      </c>
      <c r="AU27" t="s">
        <v>243</v>
      </c>
      <c r="AV27" t="s">
        <v>202</v>
      </c>
      <c r="AW27" t="s">
        <v>203</v>
      </c>
      <c r="AX27" t="s">
        <v>203</v>
      </c>
      <c r="AY27" t="s">
        <v>203</v>
      </c>
      <c r="AZ27" t="s">
        <v>203</v>
      </c>
      <c r="BA27" t="s">
        <v>203</v>
      </c>
      <c r="BB27" t="s">
        <v>203</v>
      </c>
      <c r="BC27" t="s">
        <v>203</v>
      </c>
      <c r="BD27" t="s">
        <v>203</v>
      </c>
      <c r="BE27" t="s">
        <v>203</v>
      </c>
      <c r="BF27">
        <v>0</v>
      </c>
      <c r="BG27">
        <v>0.2</v>
      </c>
      <c r="BH27">
        <v>50</v>
      </c>
      <c r="BI27">
        <v>0</v>
      </c>
      <c r="BJ27" t="s">
        <v>198</v>
      </c>
      <c r="BK27" t="s">
        <v>198</v>
      </c>
      <c r="BL27" t="s">
        <v>198</v>
      </c>
      <c r="BM27" t="s">
        <v>198</v>
      </c>
      <c r="BN27" t="s">
        <v>198</v>
      </c>
      <c r="BO27" t="s">
        <v>198</v>
      </c>
      <c r="BP27" t="s">
        <v>198</v>
      </c>
      <c r="BQ27" t="s">
        <v>198</v>
      </c>
      <c r="BR27" t="s">
        <v>198</v>
      </c>
      <c r="BS27" t="s">
        <v>198</v>
      </c>
      <c r="BT27" t="s">
        <v>198</v>
      </c>
      <c r="BU27" t="s">
        <v>198</v>
      </c>
      <c r="BV27" t="s">
        <v>198</v>
      </c>
      <c r="BW27" t="s">
        <v>198</v>
      </c>
      <c r="BX27" t="s">
        <v>198</v>
      </c>
      <c r="BY27" t="s">
        <v>198</v>
      </c>
      <c r="BZ27" t="s">
        <v>198</v>
      </c>
      <c r="CA27" t="s">
        <v>198</v>
      </c>
      <c r="CB27" t="s">
        <v>204</v>
      </c>
      <c r="CC27" t="s">
        <v>204</v>
      </c>
      <c r="CD27" t="s">
        <v>204</v>
      </c>
      <c r="CE27" t="s">
        <v>204</v>
      </c>
      <c r="CF27" t="s">
        <v>204</v>
      </c>
      <c r="CG27" t="s">
        <v>204</v>
      </c>
      <c r="CH27" t="s">
        <v>204</v>
      </c>
      <c r="CI27" t="s">
        <v>204</v>
      </c>
      <c r="CJ27" t="s">
        <v>204</v>
      </c>
      <c r="CK27" t="s">
        <v>204</v>
      </c>
      <c r="CL27" t="s">
        <v>204</v>
      </c>
      <c r="CM27" t="s">
        <v>204</v>
      </c>
      <c r="CN27" t="s">
        <v>203</v>
      </c>
      <c r="CO27" t="s">
        <v>203</v>
      </c>
      <c r="CP27" t="s">
        <v>203</v>
      </c>
      <c r="CQ27" t="s">
        <v>203</v>
      </c>
      <c r="CR27" t="s">
        <v>203</v>
      </c>
      <c r="CS27" t="s">
        <v>203</v>
      </c>
      <c r="CT27" t="s">
        <v>203</v>
      </c>
      <c r="CU27" t="s">
        <v>203</v>
      </c>
      <c r="CV27">
        <v>0</v>
      </c>
      <c r="CW27">
        <v>0</v>
      </c>
      <c r="CX27" t="s">
        <v>198</v>
      </c>
      <c r="CY27" t="s">
        <v>198</v>
      </c>
      <c r="CZ27" t="s">
        <v>198</v>
      </c>
      <c r="DA27" t="s">
        <v>198</v>
      </c>
      <c r="DB27" t="s">
        <v>198</v>
      </c>
      <c r="DC27">
        <v>0</v>
      </c>
      <c r="DD27">
        <v>0</v>
      </c>
      <c r="DE27">
        <v>0</v>
      </c>
      <c r="DF27">
        <v>0</v>
      </c>
      <c r="DG27">
        <v>-35.3632621</v>
      </c>
      <c r="DH27">
        <v>149.1652374</v>
      </c>
      <c r="DI27" t="s">
        <v>205</v>
      </c>
      <c r="DJ27">
        <v>1.2</v>
      </c>
      <c r="DK27">
        <v>2</v>
      </c>
      <c r="DL27">
        <v>0</v>
      </c>
      <c r="DM27">
        <v>0</v>
      </c>
      <c r="DN27">
        <v>6</v>
      </c>
      <c r="DO27">
        <v>10</v>
      </c>
      <c r="DP27">
        <v>0</v>
      </c>
      <c r="DQ27">
        <v>255</v>
      </c>
      <c r="DR27">
        <v>255</v>
      </c>
      <c r="DS27">
        <v>255</v>
      </c>
      <c r="DT27">
        <v>255</v>
      </c>
      <c r="DU27">
        <v>255</v>
      </c>
      <c r="DV27">
        <v>255</v>
      </c>
      <c r="DW27">
        <v>255</v>
      </c>
      <c r="DX27" t="s">
        <v>206</v>
      </c>
      <c r="DY27" t="s">
        <v>206</v>
      </c>
      <c r="DZ27" t="s">
        <v>207</v>
      </c>
      <c r="EA27" t="s">
        <v>198</v>
      </c>
      <c r="EB27" t="s">
        <v>198</v>
      </c>
      <c r="EC27" t="s">
        <v>198</v>
      </c>
      <c r="ED27">
        <v>0</v>
      </c>
      <c r="EE27">
        <v>0</v>
      </c>
      <c r="EF27">
        <v>0</v>
      </c>
      <c r="EG27">
        <v>0</v>
      </c>
      <c r="EH27">
        <v>255</v>
      </c>
      <c r="EI27">
        <v>255</v>
      </c>
      <c r="EJ27">
        <v>255</v>
      </c>
      <c r="EK27">
        <v>255</v>
      </c>
      <c r="EL27">
        <v>255</v>
      </c>
      <c r="EM27">
        <v>255</v>
      </c>
      <c r="EN27">
        <v>255</v>
      </c>
      <c r="EO27">
        <v>255</v>
      </c>
      <c r="EP27">
        <v>255</v>
      </c>
      <c r="EQ27">
        <v>255</v>
      </c>
      <c r="ER27" t="s">
        <v>208</v>
      </c>
      <c r="ES27" t="s">
        <v>209</v>
      </c>
      <c r="ET27" t="s">
        <v>209</v>
      </c>
      <c r="EU27">
        <v>0</v>
      </c>
      <c r="EV27">
        <v>0</v>
      </c>
      <c r="EW27">
        <v>0</v>
      </c>
      <c r="EX27">
        <v>-0.2</v>
      </c>
      <c r="EY27">
        <v>0</v>
      </c>
      <c r="EZ27">
        <v>0</v>
      </c>
      <c r="FA27">
        <v>0</v>
      </c>
      <c r="FB27" t="s">
        <v>198</v>
      </c>
      <c r="FC27" t="s">
        <v>198</v>
      </c>
      <c r="FD27" t="s">
        <v>198</v>
      </c>
      <c r="FE27" t="s">
        <v>198</v>
      </c>
      <c r="FF27" t="s">
        <v>198</v>
      </c>
      <c r="FG27" t="s">
        <v>198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 t="s">
        <v>203</v>
      </c>
      <c r="FP27" t="s">
        <v>203</v>
      </c>
      <c r="FQ27" t="s">
        <v>203</v>
      </c>
      <c r="FR27" t="s">
        <v>203</v>
      </c>
      <c r="FS27" t="s">
        <v>203</v>
      </c>
      <c r="FT27" t="s">
        <v>203</v>
      </c>
      <c r="FU27" t="s">
        <v>198</v>
      </c>
      <c r="FV27" t="s">
        <v>198</v>
      </c>
      <c r="FW27" t="s">
        <v>198</v>
      </c>
      <c r="FX27" t="s">
        <v>198</v>
      </c>
      <c r="FY27" t="s">
        <v>198</v>
      </c>
      <c r="FZ27" t="s">
        <v>198</v>
      </c>
      <c r="GA27">
        <v>31.2</v>
      </c>
      <c r="GB27">
        <v>31.2</v>
      </c>
      <c r="GC27" t="s">
        <v>203</v>
      </c>
      <c r="GD27">
        <v>0</v>
      </c>
      <c r="GE27">
        <v>504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 t="s">
        <v>198</v>
      </c>
      <c r="GM27" t="s">
        <v>198</v>
      </c>
      <c r="GN27" t="s">
        <v>198</v>
      </c>
    </row>
    <row r="28" spans="1:196">
      <c r="A28" s="19">
        <v>46316.9042053588</v>
      </c>
      <c r="B28">
        <v>0</v>
      </c>
      <c r="C28">
        <v>0</v>
      </c>
      <c r="D28">
        <v>359</v>
      </c>
      <c r="E28">
        <v>0</v>
      </c>
      <c r="F28">
        <v>0</v>
      </c>
      <c r="G28">
        <v>0</v>
      </c>
      <c r="H28">
        <v>0</v>
      </c>
      <c r="I28">
        <v>0</v>
      </c>
      <c r="J28">
        <v>0.001</v>
      </c>
      <c r="K28">
        <v>0.4</v>
      </c>
      <c r="L28">
        <v>0.1</v>
      </c>
      <c r="M28">
        <v>584.3</v>
      </c>
      <c r="N28">
        <v>0</v>
      </c>
      <c r="O28">
        <v>0.09</v>
      </c>
      <c r="P28">
        <v>0.099</v>
      </c>
      <c r="Q28">
        <v>0</v>
      </c>
      <c r="R28">
        <v>0</v>
      </c>
      <c r="S28">
        <v>0</v>
      </c>
      <c r="T28" t="s">
        <v>212</v>
      </c>
      <c r="U28">
        <v>0</v>
      </c>
      <c r="V28">
        <v>0</v>
      </c>
      <c r="W28">
        <v>1</v>
      </c>
      <c r="X28" t="s">
        <v>197</v>
      </c>
      <c r="Y28">
        <v>0</v>
      </c>
      <c r="Z28" t="s">
        <v>197</v>
      </c>
      <c r="AA28" t="s">
        <v>197</v>
      </c>
      <c r="AB28" t="s">
        <v>197</v>
      </c>
      <c r="AC28" t="s">
        <v>198</v>
      </c>
      <c r="AD28" t="s">
        <v>199</v>
      </c>
      <c r="AE28">
        <v>32</v>
      </c>
      <c r="AF28">
        <v>44</v>
      </c>
      <c r="AG28">
        <v>255</v>
      </c>
      <c r="AH28">
        <v>0</v>
      </c>
      <c r="AI28">
        <v>0</v>
      </c>
      <c r="AJ28">
        <v>0</v>
      </c>
      <c r="AK28">
        <v>12.6</v>
      </c>
      <c r="AL28">
        <v>0</v>
      </c>
      <c r="AM28">
        <v>0</v>
      </c>
      <c r="AN28" t="s">
        <v>197</v>
      </c>
      <c r="AO28">
        <v>100</v>
      </c>
      <c r="AP28" t="s">
        <v>197</v>
      </c>
      <c r="AQ28" t="s">
        <v>200</v>
      </c>
      <c r="AR28">
        <v>1</v>
      </c>
      <c r="AS28">
        <v>0</v>
      </c>
      <c r="AT28" t="s">
        <v>244</v>
      </c>
      <c r="AU28" t="s">
        <v>244</v>
      </c>
      <c r="AV28" t="s">
        <v>202</v>
      </c>
      <c r="AW28" t="s">
        <v>203</v>
      </c>
      <c r="AX28" t="s">
        <v>203</v>
      </c>
      <c r="AY28" t="s">
        <v>203</v>
      </c>
      <c r="AZ28" t="s">
        <v>203</v>
      </c>
      <c r="BA28" t="s">
        <v>203</v>
      </c>
      <c r="BB28" t="s">
        <v>203</v>
      </c>
      <c r="BC28" t="s">
        <v>203</v>
      </c>
      <c r="BD28" t="s">
        <v>203</v>
      </c>
      <c r="BE28" t="s">
        <v>203</v>
      </c>
      <c r="BF28">
        <v>0</v>
      </c>
      <c r="BG28">
        <v>0.2</v>
      </c>
      <c r="BH28">
        <v>50</v>
      </c>
      <c r="BI28">
        <v>0</v>
      </c>
      <c r="BJ28" t="s">
        <v>198</v>
      </c>
      <c r="BK28" t="s">
        <v>198</v>
      </c>
      <c r="BL28" t="s">
        <v>198</v>
      </c>
      <c r="BM28" t="s">
        <v>198</v>
      </c>
      <c r="BN28" t="s">
        <v>198</v>
      </c>
      <c r="BO28" t="s">
        <v>198</v>
      </c>
      <c r="BP28" t="s">
        <v>198</v>
      </c>
      <c r="BQ28" t="s">
        <v>198</v>
      </c>
      <c r="BR28" t="s">
        <v>198</v>
      </c>
      <c r="BS28" t="s">
        <v>198</v>
      </c>
      <c r="BT28" t="s">
        <v>198</v>
      </c>
      <c r="BU28" t="s">
        <v>198</v>
      </c>
      <c r="BV28" t="s">
        <v>198</v>
      </c>
      <c r="BW28" t="s">
        <v>198</v>
      </c>
      <c r="BX28" t="s">
        <v>198</v>
      </c>
      <c r="BY28" t="s">
        <v>198</v>
      </c>
      <c r="BZ28" t="s">
        <v>198</v>
      </c>
      <c r="CA28" t="s">
        <v>198</v>
      </c>
      <c r="CB28" t="s">
        <v>204</v>
      </c>
      <c r="CC28" t="s">
        <v>204</v>
      </c>
      <c r="CD28" t="s">
        <v>204</v>
      </c>
      <c r="CE28" t="s">
        <v>204</v>
      </c>
      <c r="CF28" t="s">
        <v>204</v>
      </c>
      <c r="CG28" t="s">
        <v>204</v>
      </c>
      <c r="CH28" t="s">
        <v>204</v>
      </c>
      <c r="CI28" t="s">
        <v>204</v>
      </c>
      <c r="CJ28" t="s">
        <v>204</v>
      </c>
      <c r="CK28" t="s">
        <v>204</v>
      </c>
      <c r="CL28" t="s">
        <v>204</v>
      </c>
      <c r="CM28" t="s">
        <v>204</v>
      </c>
      <c r="CN28" t="s">
        <v>203</v>
      </c>
      <c r="CO28" t="s">
        <v>203</v>
      </c>
      <c r="CP28" t="s">
        <v>203</v>
      </c>
      <c r="CQ28" t="s">
        <v>203</v>
      </c>
      <c r="CR28" t="s">
        <v>203</v>
      </c>
      <c r="CS28" t="s">
        <v>203</v>
      </c>
      <c r="CT28" t="s">
        <v>203</v>
      </c>
      <c r="CU28" t="s">
        <v>203</v>
      </c>
      <c r="CV28">
        <v>0</v>
      </c>
      <c r="CW28">
        <v>0</v>
      </c>
      <c r="CX28" t="s">
        <v>198</v>
      </c>
      <c r="CY28" t="s">
        <v>198</v>
      </c>
      <c r="CZ28" t="s">
        <v>198</v>
      </c>
      <c r="DA28" t="s">
        <v>198</v>
      </c>
      <c r="DB28" t="s">
        <v>198</v>
      </c>
      <c r="DC28">
        <v>0</v>
      </c>
      <c r="DD28">
        <v>0</v>
      </c>
      <c r="DE28">
        <v>0</v>
      </c>
      <c r="DF28">
        <v>0</v>
      </c>
      <c r="DG28">
        <v>-35.3632621</v>
      </c>
      <c r="DH28">
        <v>149.1652374</v>
      </c>
      <c r="DI28" t="s">
        <v>205</v>
      </c>
      <c r="DJ28">
        <v>1.2</v>
      </c>
      <c r="DK28">
        <v>2</v>
      </c>
      <c r="DL28">
        <v>325.4</v>
      </c>
      <c r="DM28">
        <v>0</v>
      </c>
      <c r="DN28">
        <v>6</v>
      </c>
      <c r="DO28">
        <v>10</v>
      </c>
      <c r="DP28">
        <v>0</v>
      </c>
      <c r="DQ28">
        <v>255</v>
      </c>
      <c r="DR28">
        <v>255</v>
      </c>
      <c r="DS28">
        <v>255</v>
      </c>
      <c r="DT28">
        <v>255</v>
      </c>
      <c r="DU28">
        <v>255</v>
      </c>
      <c r="DV28">
        <v>255</v>
      </c>
      <c r="DW28">
        <v>255</v>
      </c>
      <c r="DX28" t="s">
        <v>206</v>
      </c>
      <c r="DY28" t="s">
        <v>206</v>
      </c>
      <c r="DZ28" t="s">
        <v>207</v>
      </c>
      <c r="EA28" t="s">
        <v>198</v>
      </c>
      <c r="EB28" t="s">
        <v>198</v>
      </c>
      <c r="EC28" t="s">
        <v>198</v>
      </c>
      <c r="ED28">
        <v>0</v>
      </c>
      <c r="EE28">
        <v>0</v>
      </c>
      <c r="EF28">
        <v>0</v>
      </c>
      <c r="EG28">
        <v>0</v>
      </c>
      <c r="EH28">
        <v>255</v>
      </c>
      <c r="EI28">
        <v>255</v>
      </c>
      <c r="EJ28">
        <v>255</v>
      </c>
      <c r="EK28">
        <v>255</v>
      </c>
      <c r="EL28">
        <v>255</v>
      </c>
      <c r="EM28">
        <v>255</v>
      </c>
      <c r="EN28">
        <v>255</v>
      </c>
      <c r="EO28">
        <v>255</v>
      </c>
      <c r="EP28">
        <v>255</v>
      </c>
      <c r="EQ28">
        <v>255</v>
      </c>
      <c r="ER28" t="s">
        <v>208</v>
      </c>
      <c r="ES28" t="s">
        <v>209</v>
      </c>
      <c r="ET28" t="s">
        <v>209</v>
      </c>
      <c r="EU28">
        <v>0</v>
      </c>
      <c r="EV28">
        <v>0</v>
      </c>
      <c r="EW28">
        <v>0</v>
      </c>
      <c r="EX28">
        <v>-0.3</v>
      </c>
      <c r="EY28">
        <v>0</v>
      </c>
      <c r="EZ28">
        <v>0</v>
      </c>
      <c r="FA28">
        <v>-0.4</v>
      </c>
      <c r="FB28" t="s">
        <v>198</v>
      </c>
      <c r="FC28" t="s">
        <v>198</v>
      </c>
      <c r="FD28" t="s">
        <v>198</v>
      </c>
      <c r="FE28" t="s">
        <v>198</v>
      </c>
      <c r="FF28" t="s">
        <v>198</v>
      </c>
      <c r="FG28" t="s">
        <v>198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 t="s">
        <v>203</v>
      </c>
      <c r="FP28" t="s">
        <v>203</v>
      </c>
      <c r="FQ28" t="s">
        <v>203</v>
      </c>
      <c r="FR28" t="s">
        <v>203</v>
      </c>
      <c r="FS28" t="s">
        <v>203</v>
      </c>
      <c r="FT28" t="s">
        <v>203</v>
      </c>
      <c r="FU28" t="s">
        <v>198</v>
      </c>
      <c r="FV28" t="s">
        <v>198</v>
      </c>
      <c r="FW28" t="s">
        <v>198</v>
      </c>
      <c r="FX28" t="s">
        <v>198</v>
      </c>
      <c r="FY28" t="s">
        <v>198</v>
      </c>
      <c r="FZ28" t="s">
        <v>198</v>
      </c>
      <c r="GA28">
        <v>31.2</v>
      </c>
      <c r="GB28">
        <v>31.2</v>
      </c>
      <c r="GC28" t="s">
        <v>203</v>
      </c>
      <c r="GD28">
        <v>0</v>
      </c>
      <c r="GE28">
        <v>504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 t="s">
        <v>198</v>
      </c>
      <c r="GM28" t="s">
        <v>198</v>
      </c>
      <c r="GN28" t="s">
        <v>198</v>
      </c>
    </row>
    <row r="29" spans="1:196">
      <c r="A29" s="19">
        <v>46316.90421693287</v>
      </c>
      <c r="B29">
        <v>0.1</v>
      </c>
      <c r="C29">
        <v>0</v>
      </c>
      <c r="D29">
        <v>359</v>
      </c>
      <c r="E29">
        <v>0</v>
      </c>
      <c r="F29">
        <v>0</v>
      </c>
      <c r="G29">
        <v>0</v>
      </c>
      <c r="H29">
        <v>0</v>
      </c>
      <c r="I29">
        <v>0</v>
      </c>
      <c r="J29">
        <v>0.005</v>
      </c>
      <c r="K29">
        <v>1.4</v>
      </c>
      <c r="L29">
        <v>1</v>
      </c>
      <c r="M29">
        <v>585.2</v>
      </c>
      <c r="N29">
        <v>-0.7</v>
      </c>
      <c r="O29">
        <v>0.97</v>
      </c>
      <c r="P29">
        <v>1.033</v>
      </c>
      <c r="Q29">
        <v>0</v>
      </c>
      <c r="R29">
        <v>0</v>
      </c>
      <c r="S29">
        <v>0</v>
      </c>
      <c r="T29" t="s">
        <v>214</v>
      </c>
      <c r="U29">
        <v>0</v>
      </c>
      <c r="V29">
        <v>0</v>
      </c>
      <c r="W29">
        <v>1</v>
      </c>
      <c r="X29" t="s">
        <v>197</v>
      </c>
      <c r="Y29">
        <v>0</v>
      </c>
      <c r="Z29" t="s">
        <v>197</v>
      </c>
      <c r="AA29" t="s">
        <v>197</v>
      </c>
      <c r="AB29" t="s">
        <v>197</v>
      </c>
      <c r="AC29" t="s">
        <v>198</v>
      </c>
      <c r="AD29" t="s">
        <v>199</v>
      </c>
      <c r="AE29">
        <v>37</v>
      </c>
      <c r="AF29">
        <v>44</v>
      </c>
      <c r="AG29">
        <v>255</v>
      </c>
      <c r="AH29">
        <v>0</v>
      </c>
      <c r="AI29">
        <v>0</v>
      </c>
      <c r="AJ29">
        <v>0</v>
      </c>
      <c r="AK29">
        <v>12.6</v>
      </c>
      <c r="AL29">
        <v>0</v>
      </c>
      <c r="AM29">
        <v>0</v>
      </c>
      <c r="AN29" t="s">
        <v>197</v>
      </c>
      <c r="AO29">
        <v>100</v>
      </c>
      <c r="AP29" t="s">
        <v>197</v>
      </c>
      <c r="AQ29" t="s">
        <v>200</v>
      </c>
      <c r="AR29">
        <v>1</v>
      </c>
      <c r="AS29">
        <v>0</v>
      </c>
      <c r="AT29" t="s">
        <v>245</v>
      </c>
      <c r="AU29" t="s">
        <v>245</v>
      </c>
      <c r="AV29" t="s">
        <v>202</v>
      </c>
      <c r="AW29" t="s">
        <v>203</v>
      </c>
      <c r="AX29" t="s">
        <v>203</v>
      </c>
      <c r="AY29" t="s">
        <v>203</v>
      </c>
      <c r="AZ29" t="s">
        <v>203</v>
      </c>
      <c r="BA29" t="s">
        <v>203</v>
      </c>
      <c r="BB29" t="s">
        <v>203</v>
      </c>
      <c r="BC29" t="s">
        <v>203</v>
      </c>
      <c r="BD29" t="s">
        <v>203</v>
      </c>
      <c r="BE29" t="s">
        <v>203</v>
      </c>
      <c r="BF29">
        <v>0</v>
      </c>
      <c r="BG29">
        <v>0.2</v>
      </c>
      <c r="BH29">
        <v>50</v>
      </c>
      <c r="BI29">
        <v>0</v>
      </c>
      <c r="BJ29" t="s">
        <v>198</v>
      </c>
      <c r="BK29" t="s">
        <v>198</v>
      </c>
      <c r="BL29" t="s">
        <v>198</v>
      </c>
      <c r="BM29" t="s">
        <v>198</v>
      </c>
      <c r="BN29" t="s">
        <v>198</v>
      </c>
      <c r="BO29" t="s">
        <v>198</v>
      </c>
      <c r="BP29" t="s">
        <v>198</v>
      </c>
      <c r="BQ29" t="s">
        <v>198</v>
      </c>
      <c r="BR29" t="s">
        <v>198</v>
      </c>
      <c r="BS29" t="s">
        <v>198</v>
      </c>
      <c r="BT29" t="s">
        <v>198</v>
      </c>
      <c r="BU29" t="s">
        <v>198</v>
      </c>
      <c r="BV29" t="s">
        <v>198</v>
      </c>
      <c r="BW29" t="s">
        <v>198</v>
      </c>
      <c r="BX29" t="s">
        <v>198</v>
      </c>
      <c r="BY29" t="s">
        <v>198</v>
      </c>
      <c r="BZ29" t="s">
        <v>198</v>
      </c>
      <c r="CA29" t="s">
        <v>198</v>
      </c>
      <c r="CB29" t="s">
        <v>204</v>
      </c>
      <c r="CC29" t="s">
        <v>204</v>
      </c>
      <c r="CD29" t="s">
        <v>204</v>
      </c>
      <c r="CE29" t="s">
        <v>204</v>
      </c>
      <c r="CF29" t="s">
        <v>204</v>
      </c>
      <c r="CG29" t="s">
        <v>204</v>
      </c>
      <c r="CH29" t="s">
        <v>204</v>
      </c>
      <c r="CI29" t="s">
        <v>204</v>
      </c>
      <c r="CJ29" t="s">
        <v>204</v>
      </c>
      <c r="CK29" t="s">
        <v>204</v>
      </c>
      <c r="CL29" t="s">
        <v>204</v>
      </c>
      <c r="CM29" t="s">
        <v>204</v>
      </c>
      <c r="CN29" t="s">
        <v>203</v>
      </c>
      <c r="CO29" t="s">
        <v>203</v>
      </c>
      <c r="CP29" t="s">
        <v>203</v>
      </c>
      <c r="CQ29" t="s">
        <v>203</v>
      </c>
      <c r="CR29" t="s">
        <v>203</v>
      </c>
      <c r="CS29" t="s">
        <v>203</v>
      </c>
      <c r="CT29" t="s">
        <v>203</v>
      </c>
      <c r="CU29" t="s">
        <v>203</v>
      </c>
      <c r="CV29">
        <v>0</v>
      </c>
      <c r="CW29">
        <v>0</v>
      </c>
      <c r="CX29" t="s">
        <v>198</v>
      </c>
      <c r="CY29" t="s">
        <v>198</v>
      </c>
      <c r="CZ29" t="s">
        <v>198</v>
      </c>
      <c r="DA29" t="s">
        <v>198</v>
      </c>
      <c r="DB29" t="s">
        <v>198</v>
      </c>
      <c r="DC29">
        <v>0</v>
      </c>
      <c r="DD29">
        <v>0</v>
      </c>
      <c r="DE29">
        <v>0</v>
      </c>
      <c r="DF29">
        <v>0</v>
      </c>
      <c r="DG29">
        <v>-35.3632621</v>
      </c>
      <c r="DH29">
        <v>149.1652374</v>
      </c>
      <c r="DI29" t="s">
        <v>205</v>
      </c>
      <c r="DJ29">
        <v>1.2</v>
      </c>
      <c r="DK29">
        <v>2</v>
      </c>
      <c r="DL29">
        <v>304.9</v>
      </c>
      <c r="DM29">
        <v>0</v>
      </c>
      <c r="DN29">
        <v>6</v>
      </c>
      <c r="DO29">
        <v>10</v>
      </c>
      <c r="DP29">
        <v>0</v>
      </c>
      <c r="DQ29">
        <v>255</v>
      </c>
      <c r="DR29">
        <v>255</v>
      </c>
      <c r="DS29">
        <v>255</v>
      </c>
      <c r="DT29">
        <v>255</v>
      </c>
      <c r="DU29">
        <v>255</v>
      </c>
      <c r="DV29">
        <v>255</v>
      </c>
      <c r="DW29">
        <v>255</v>
      </c>
      <c r="DX29" t="s">
        <v>206</v>
      </c>
      <c r="DY29" t="s">
        <v>206</v>
      </c>
      <c r="DZ29" t="s">
        <v>207</v>
      </c>
      <c r="EA29" t="s">
        <v>198</v>
      </c>
      <c r="EB29" t="s">
        <v>198</v>
      </c>
      <c r="EC29" t="s">
        <v>198</v>
      </c>
      <c r="ED29">
        <v>0</v>
      </c>
      <c r="EE29">
        <v>0</v>
      </c>
      <c r="EF29">
        <v>0</v>
      </c>
      <c r="EG29">
        <v>0</v>
      </c>
      <c r="EH29">
        <v>255</v>
      </c>
      <c r="EI29">
        <v>255</v>
      </c>
      <c r="EJ29">
        <v>255</v>
      </c>
      <c r="EK29">
        <v>255</v>
      </c>
      <c r="EL29">
        <v>255</v>
      </c>
      <c r="EM29">
        <v>255</v>
      </c>
      <c r="EN29">
        <v>255</v>
      </c>
      <c r="EO29">
        <v>255</v>
      </c>
      <c r="EP29">
        <v>255</v>
      </c>
      <c r="EQ29">
        <v>255</v>
      </c>
      <c r="ER29" t="s">
        <v>208</v>
      </c>
      <c r="ES29" t="s">
        <v>209</v>
      </c>
      <c r="ET29" t="s">
        <v>209</v>
      </c>
      <c r="EU29">
        <v>0</v>
      </c>
      <c r="EV29">
        <v>0</v>
      </c>
      <c r="EW29">
        <v>0</v>
      </c>
      <c r="EX29">
        <v>-1.2</v>
      </c>
      <c r="EY29">
        <v>0</v>
      </c>
      <c r="EZ29">
        <v>0</v>
      </c>
      <c r="FA29">
        <v>-1.4</v>
      </c>
      <c r="FB29" t="s">
        <v>198</v>
      </c>
      <c r="FC29" t="s">
        <v>198</v>
      </c>
      <c r="FD29" t="s">
        <v>198</v>
      </c>
      <c r="FE29" t="s">
        <v>198</v>
      </c>
      <c r="FF29" t="s">
        <v>198</v>
      </c>
      <c r="FG29" t="s">
        <v>198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 t="s">
        <v>203</v>
      </c>
      <c r="FP29" t="s">
        <v>203</v>
      </c>
      <c r="FQ29" t="s">
        <v>203</v>
      </c>
      <c r="FR29" t="s">
        <v>203</v>
      </c>
      <c r="FS29" t="s">
        <v>203</v>
      </c>
      <c r="FT29" t="s">
        <v>203</v>
      </c>
      <c r="FU29" t="s">
        <v>198</v>
      </c>
      <c r="FV29" t="s">
        <v>198</v>
      </c>
      <c r="FW29" t="s">
        <v>198</v>
      </c>
      <c r="FX29" t="s">
        <v>198</v>
      </c>
      <c r="FY29" t="s">
        <v>198</v>
      </c>
      <c r="FZ29" t="s">
        <v>198</v>
      </c>
      <c r="GA29">
        <v>31.19</v>
      </c>
      <c r="GB29">
        <v>31.19</v>
      </c>
      <c r="GC29" t="s">
        <v>203</v>
      </c>
      <c r="GD29">
        <v>0</v>
      </c>
      <c r="GE29">
        <v>504</v>
      </c>
      <c r="GF29">
        <v>0</v>
      </c>
      <c r="GG29">
        <v>0</v>
      </c>
      <c r="GH29">
        <v>0.3</v>
      </c>
      <c r="GI29">
        <v>0</v>
      </c>
      <c r="GJ29">
        <v>0</v>
      </c>
      <c r="GK29">
        <v>0</v>
      </c>
      <c r="GL29" t="s">
        <v>198</v>
      </c>
      <c r="GM29" t="s">
        <v>198</v>
      </c>
      <c r="GN29" t="s">
        <v>198</v>
      </c>
    </row>
    <row r="30" spans="1:196">
      <c r="A30" s="19">
        <v>46316.90422850694</v>
      </c>
      <c r="B30">
        <v>0.2</v>
      </c>
      <c r="C30">
        <v>0</v>
      </c>
      <c r="D30">
        <v>359</v>
      </c>
      <c r="E30">
        <v>0</v>
      </c>
      <c r="F30">
        <v>0</v>
      </c>
      <c r="G30">
        <v>0</v>
      </c>
      <c r="H30">
        <v>0</v>
      </c>
      <c r="I30">
        <v>0</v>
      </c>
      <c r="J30">
        <v>0.002</v>
      </c>
      <c r="K30">
        <v>2.4</v>
      </c>
      <c r="L30">
        <v>2.9</v>
      </c>
      <c r="M30">
        <v>587.1</v>
      </c>
      <c r="N30">
        <v>1</v>
      </c>
      <c r="O30">
        <v>2.93</v>
      </c>
      <c r="P30">
        <v>2.985</v>
      </c>
      <c r="Q30">
        <v>0</v>
      </c>
      <c r="R30">
        <v>0</v>
      </c>
      <c r="S30">
        <v>0</v>
      </c>
      <c r="T30" t="s">
        <v>216</v>
      </c>
      <c r="U30">
        <v>0</v>
      </c>
      <c r="V30">
        <v>0</v>
      </c>
      <c r="W30">
        <v>1</v>
      </c>
      <c r="X30" t="s">
        <v>197</v>
      </c>
      <c r="Y30">
        <v>0</v>
      </c>
      <c r="Z30" t="s">
        <v>197</v>
      </c>
      <c r="AA30" t="s">
        <v>197</v>
      </c>
      <c r="AB30" t="s">
        <v>197</v>
      </c>
      <c r="AC30" t="s">
        <v>198</v>
      </c>
      <c r="AD30" t="s">
        <v>199</v>
      </c>
      <c r="AE30">
        <v>38</v>
      </c>
      <c r="AF30">
        <v>44</v>
      </c>
      <c r="AG30">
        <v>255</v>
      </c>
      <c r="AH30">
        <v>0</v>
      </c>
      <c r="AI30">
        <v>0</v>
      </c>
      <c r="AJ30">
        <v>0</v>
      </c>
      <c r="AK30">
        <v>12.6</v>
      </c>
      <c r="AL30">
        <v>0</v>
      </c>
      <c r="AM30">
        <v>0</v>
      </c>
      <c r="AN30" t="s">
        <v>197</v>
      </c>
      <c r="AO30">
        <v>100</v>
      </c>
      <c r="AP30" t="s">
        <v>197</v>
      </c>
      <c r="AQ30" t="s">
        <v>200</v>
      </c>
      <c r="AR30">
        <v>1</v>
      </c>
      <c r="AS30">
        <v>0</v>
      </c>
      <c r="AT30" t="s">
        <v>246</v>
      </c>
      <c r="AU30" t="s">
        <v>246</v>
      </c>
      <c r="AV30" t="s">
        <v>202</v>
      </c>
      <c r="AW30" t="s">
        <v>203</v>
      </c>
      <c r="AX30" t="s">
        <v>203</v>
      </c>
      <c r="AY30" t="s">
        <v>203</v>
      </c>
      <c r="AZ30" t="s">
        <v>203</v>
      </c>
      <c r="BA30" t="s">
        <v>203</v>
      </c>
      <c r="BB30" t="s">
        <v>203</v>
      </c>
      <c r="BC30" t="s">
        <v>203</v>
      </c>
      <c r="BD30" t="s">
        <v>203</v>
      </c>
      <c r="BE30" t="s">
        <v>203</v>
      </c>
      <c r="BF30">
        <v>1.59</v>
      </c>
      <c r="BG30">
        <v>0.2</v>
      </c>
      <c r="BH30">
        <v>50</v>
      </c>
      <c r="BI30">
        <v>0</v>
      </c>
      <c r="BJ30" t="s">
        <v>198</v>
      </c>
      <c r="BK30" t="s">
        <v>198</v>
      </c>
      <c r="BL30" t="s">
        <v>198</v>
      </c>
      <c r="BM30" t="s">
        <v>198</v>
      </c>
      <c r="BN30" t="s">
        <v>198</v>
      </c>
      <c r="BO30" t="s">
        <v>198</v>
      </c>
      <c r="BP30" t="s">
        <v>198</v>
      </c>
      <c r="BQ30" t="s">
        <v>198</v>
      </c>
      <c r="BR30" t="s">
        <v>198</v>
      </c>
      <c r="BS30" t="s">
        <v>198</v>
      </c>
      <c r="BT30" t="s">
        <v>198</v>
      </c>
      <c r="BU30" t="s">
        <v>198</v>
      </c>
      <c r="BV30" t="s">
        <v>198</v>
      </c>
      <c r="BW30" t="s">
        <v>198</v>
      </c>
      <c r="BX30" t="s">
        <v>198</v>
      </c>
      <c r="BY30" t="s">
        <v>198</v>
      </c>
      <c r="BZ30" t="s">
        <v>198</v>
      </c>
      <c r="CA30" t="s">
        <v>198</v>
      </c>
      <c r="CB30" t="s">
        <v>204</v>
      </c>
      <c r="CC30" t="s">
        <v>204</v>
      </c>
      <c r="CD30" t="s">
        <v>204</v>
      </c>
      <c r="CE30" t="s">
        <v>204</v>
      </c>
      <c r="CF30" t="s">
        <v>204</v>
      </c>
      <c r="CG30" t="s">
        <v>204</v>
      </c>
      <c r="CH30" t="s">
        <v>204</v>
      </c>
      <c r="CI30" t="s">
        <v>204</v>
      </c>
      <c r="CJ30" t="s">
        <v>204</v>
      </c>
      <c r="CK30" t="s">
        <v>204</v>
      </c>
      <c r="CL30" t="s">
        <v>204</v>
      </c>
      <c r="CM30" t="s">
        <v>204</v>
      </c>
      <c r="CN30" t="s">
        <v>203</v>
      </c>
      <c r="CO30" t="s">
        <v>203</v>
      </c>
      <c r="CP30" t="s">
        <v>203</v>
      </c>
      <c r="CQ30" t="s">
        <v>203</v>
      </c>
      <c r="CR30" t="s">
        <v>203</v>
      </c>
      <c r="CS30" t="s">
        <v>203</v>
      </c>
      <c r="CT30" t="s">
        <v>203</v>
      </c>
      <c r="CU30" t="s">
        <v>203</v>
      </c>
      <c r="CV30">
        <v>0</v>
      </c>
      <c r="CW30">
        <v>0</v>
      </c>
      <c r="CX30" t="s">
        <v>198</v>
      </c>
      <c r="CY30" t="s">
        <v>198</v>
      </c>
      <c r="CZ30" t="s">
        <v>198</v>
      </c>
      <c r="DA30" t="s">
        <v>198</v>
      </c>
      <c r="DB30" t="s">
        <v>198</v>
      </c>
      <c r="DC30">
        <v>0</v>
      </c>
      <c r="DD30">
        <v>0</v>
      </c>
      <c r="DE30">
        <v>0</v>
      </c>
      <c r="DF30">
        <v>0</v>
      </c>
      <c r="DG30">
        <v>-35.3632621</v>
      </c>
      <c r="DH30">
        <v>149.1652374</v>
      </c>
      <c r="DI30" t="s">
        <v>205</v>
      </c>
      <c r="DJ30">
        <v>1.2</v>
      </c>
      <c r="DK30">
        <v>2</v>
      </c>
      <c r="DL30">
        <v>334.4</v>
      </c>
      <c r="DM30">
        <v>0</v>
      </c>
      <c r="DN30">
        <v>6</v>
      </c>
      <c r="DO30">
        <v>10</v>
      </c>
      <c r="DP30">
        <v>0</v>
      </c>
      <c r="DQ30">
        <v>255</v>
      </c>
      <c r="DR30">
        <v>255</v>
      </c>
      <c r="DS30">
        <v>255</v>
      </c>
      <c r="DT30">
        <v>255</v>
      </c>
      <c r="DU30">
        <v>255</v>
      </c>
      <c r="DV30">
        <v>255</v>
      </c>
      <c r="DW30">
        <v>255</v>
      </c>
      <c r="DX30" t="s">
        <v>206</v>
      </c>
      <c r="DY30" t="s">
        <v>206</v>
      </c>
      <c r="DZ30" t="s">
        <v>207</v>
      </c>
      <c r="EA30" t="s">
        <v>198</v>
      </c>
      <c r="EB30" t="s">
        <v>198</v>
      </c>
      <c r="EC30" t="s">
        <v>198</v>
      </c>
      <c r="ED30">
        <v>0</v>
      </c>
      <c r="EE30">
        <v>0</v>
      </c>
      <c r="EF30">
        <v>0</v>
      </c>
      <c r="EG30">
        <v>0</v>
      </c>
      <c r="EH30">
        <v>255</v>
      </c>
      <c r="EI30">
        <v>255</v>
      </c>
      <c r="EJ30">
        <v>255</v>
      </c>
      <c r="EK30">
        <v>255</v>
      </c>
      <c r="EL30">
        <v>255</v>
      </c>
      <c r="EM30">
        <v>255</v>
      </c>
      <c r="EN30">
        <v>255</v>
      </c>
      <c r="EO30">
        <v>255</v>
      </c>
      <c r="EP30">
        <v>255</v>
      </c>
      <c r="EQ30">
        <v>255</v>
      </c>
      <c r="ER30" t="s">
        <v>208</v>
      </c>
      <c r="ES30" t="s">
        <v>209</v>
      </c>
      <c r="ET30" t="s">
        <v>209</v>
      </c>
      <c r="EU30">
        <v>0</v>
      </c>
      <c r="EV30">
        <v>0</v>
      </c>
      <c r="EW30">
        <v>0</v>
      </c>
      <c r="EX30">
        <v>-3.1</v>
      </c>
      <c r="EY30">
        <v>0</v>
      </c>
      <c r="EZ30">
        <v>0</v>
      </c>
      <c r="FA30">
        <v>-2.4</v>
      </c>
      <c r="FB30" t="s">
        <v>198</v>
      </c>
      <c r="FC30" t="s">
        <v>198</v>
      </c>
      <c r="FD30" t="s">
        <v>198</v>
      </c>
      <c r="FE30" t="s">
        <v>198</v>
      </c>
      <c r="FF30" t="s">
        <v>198</v>
      </c>
      <c r="FG30" t="s">
        <v>198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 t="s">
        <v>203</v>
      </c>
      <c r="FP30" t="s">
        <v>203</v>
      </c>
      <c r="FQ30" t="s">
        <v>203</v>
      </c>
      <c r="FR30" t="s">
        <v>203</v>
      </c>
      <c r="FS30" t="s">
        <v>203</v>
      </c>
      <c r="FT30" t="s">
        <v>203</v>
      </c>
      <c r="FU30" t="s">
        <v>198</v>
      </c>
      <c r="FV30" t="s">
        <v>198</v>
      </c>
      <c r="FW30" t="s">
        <v>198</v>
      </c>
      <c r="FX30" t="s">
        <v>198</v>
      </c>
      <c r="FY30" t="s">
        <v>198</v>
      </c>
      <c r="FZ30" t="s">
        <v>198</v>
      </c>
      <c r="GA30">
        <v>31.18</v>
      </c>
      <c r="GB30">
        <v>31.18</v>
      </c>
      <c r="GC30" t="s">
        <v>203</v>
      </c>
      <c r="GD30">
        <v>0</v>
      </c>
      <c r="GE30">
        <v>504</v>
      </c>
      <c r="GF30">
        <v>0</v>
      </c>
      <c r="GG30">
        <v>0</v>
      </c>
      <c r="GH30">
        <v>0.3</v>
      </c>
      <c r="GI30">
        <v>0</v>
      </c>
      <c r="GJ30">
        <v>0</v>
      </c>
      <c r="GK30">
        <v>0</v>
      </c>
      <c r="GL30" t="s">
        <v>198</v>
      </c>
      <c r="GM30" t="s">
        <v>198</v>
      </c>
      <c r="GN30" t="s">
        <v>198</v>
      </c>
    </row>
    <row r="31" spans="1:196">
      <c r="A31" s="19">
        <v>46316.90424008102</v>
      </c>
      <c r="B31">
        <v>0.2</v>
      </c>
      <c r="C31">
        <v>0</v>
      </c>
      <c r="D31">
        <v>359</v>
      </c>
      <c r="E31">
        <v>0</v>
      </c>
      <c r="F31">
        <v>0</v>
      </c>
      <c r="G31">
        <v>0</v>
      </c>
      <c r="H31">
        <v>0</v>
      </c>
      <c r="I31">
        <v>0</v>
      </c>
      <c r="J31">
        <v>0.002</v>
      </c>
      <c r="K31">
        <v>2.5</v>
      </c>
      <c r="L31">
        <v>5.5</v>
      </c>
      <c r="M31">
        <v>589.6</v>
      </c>
      <c r="N31">
        <v>3.4</v>
      </c>
      <c r="O31">
        <v>5.46</v>
      </c>
      <c r="P31">
        <v>5.466</v>
      </c>
      <c r="Q31">
        <v>0</v>
      </c>
      <c r="R31">
        <v>0</v>
      </c>
      <c r="S31">
        <v>0</v>
      </c>
      <c r="T31" t="s">
        <v>218</v>
      </c>
      <c r="U31">
        <v>0</v>
      </c>
      <c r="V31">
        <v>0</v>
      </c>
      <c r="W31">
        <v>1</v>
      </c>
      <c r="X31" t="s">
        <v>197</v>
      </c>
      <c r="Y31">
        <v>0</v>
      </c>
      <c r="Z31" t="s">
        <v>197</v>
      </c>
      <c r="AA31" t="s">
        <v>197</v>
      </c>
      <c r="AB31" t="s">
        <v>197</v>
      </c>
      <c r="AC31" t="s">
        <v>198</v>
      </c>
      <c r="AD31" t="s">
        <v>199</v>
      </c>
      <c r="AE31">
        <v>36</v>
      </c>
      <c r="AF31">
        <v>44</v>
      </c>
      <c r="AG31">
        <v>255</v>
      </c>
      <c r="AH31">
        <v>0</v>
      </c>
      <c r="AI31">
        <v>0</v>
      </c>
      <c r="AJ31">
        <v>0</v>
      </c>
      <c r="AK31">
        <v>12.6</v>
      </c>
      <c r="AL31">
        <v>0</v>
      </c>
      <c r="AM31">
        <v>0</v>
      </c>
      <c r="AN31" t="s">
        <v>197</v>
      </c>
      <c r="AO31">
        <v>100</v>
      </c>
      <c r="AP31" t="s">
        <v>197</v>
      </c>
      <c r="AQ31" t="s">
        <v>200</v>
      </c>
      <c r="AR31">
        <v>1</v>
      </c>
      <c r="AS31">
        <v>0</v>
      </c>
      <c r="AT31" t="s">
        <v>247</v>
      </c>
      <c r="AU31" t="s">
        <v>247</v>
      </c>
      <c r="AV31" t="s">
        <v>202</v>
      </c>
      <c r="AW31" t="s">
        <v>203</v>
      </c>
      <c r="AX31" t="s">
        <v>203</v>
      </c>
      <c r="AY31" t="s">
        <v>203</v>
      </c>
      <c r="AZ31" t="s">
        <v>203</v>
      </c>
      <c r="BA31" t="s">
        <v>203</v>
      </c>
      <c r="BB31" t="s">
        <v>203</v>
      </c>
      <c r="BC31" t="s">
        <v>203</v>
      </c>
      <c r="BD31" t="s">
        <v>203</v>
      </c>
      <c r="BE31" t="s">
        <v>203</v>
      </c>
      <c r="BF31">
        <v>4.12</v>
      </c>
      <c r="BG31">
        <v>0.2</v>
      </c>
      <c r="BH31">
        <v>50</v>
      </c>
      <c r="BI31">
        <v>0</v>
      </c>
      <c r="BJ31" t="s">
        <v>198</v>
      </c>
      <c r="BK31" t="s">
        <v>198</v>
      </c>
      <c r="BL31" t="s">
        <v>198</v>
      </c>
      <c r="BM31" t="s">
        <v>198</v>
      </c>
      <c r="BN31" t="s">
        <v>198</v>
      </c>
      <c r="BO31" t="s">
        <v>198</v>
      </c>
      <c r="BP31" t="s">
        <v>198</v>
      </c>
      <c r="BQ31" t="s">
        <v>198</v>
      </c>
      <c r="BR31" t="s">
        <v>198</v>
      </c>
      <c r="BS31" t="s">
        <v>198</v>
      </c>
      <c r="BT31" t="s">
        <v>198</v>
      </c>
      <c r="BU31" t="s">
        <v>198</v>
      </c>
      <c r="BV31" t="s">
        <v>198</v>
      </c>
      <c r="BW31" t="s">
        <v>198</v>
      </c>
      <c r="BX31" t="s">
        <v>198</v>
      </c>
      <c r="BY31" t="s">
        <v>198</v>
      </c>
      <c r="BZ31" t="s">
        <v>198</v>
      </c>
      <c r="CA31" t="s">
        <v>198</v>
      </c>
      <c r="CB31" t="s">
        <v>204</v>
      </c>
      <c r="CC31" t="s">
        <v>204</v>
      </c>
      <c r="CD31" t="s">
        <v>204</v>
      </c>
      <c r="CE31" t="s">
        <v>204</v>
      </c>
      <c r="CF31" t="s">
        <v>204</v>
      </c>
      <c r="CG31" t="s">
        <v>204</v>
      </c>
      <c r="CH31" t="s">
        <v>204</v>
      </c>
      <c r="CI31" t="s">
        <v>204</v>
      </c>
      <c r="CJ31" t="s">
        <v>204</v>
      </c>
      <c r="CK31" t="s">
        <v>204</v>
      </c>
      <c r="CL31" t="s">
        <v>204</v>
      </c>
      <c r="CM31" t="s">
        <v>204</v>
      </c>
      <c r="CN31" t="s">
        <v>203</v>
      </c>
      <c r="CO31" t="s">
        <v>203</v>
      </c>
      <c r="CP31" t="s">
        <v>203</v>
      </c>
      <c r="CQ31" t="s">
        <v>203</v>
      </c>
      <c r="CR31" t="s">
        <v>203</v>
      </c>
      <c r="CS31" t="s">
        <v>203</v>
      </c>
      <c r="CT31" t="s">
        <v>203</v>
      </c>
      <c r="CU31" t="s">
        <v>203</v>
      </c>
      <c r="CV31">
        <v>0</v>
      </c>
      <c r="CW31">
        <v>0</v>
      </c>
      <c r="CX31" t="s">
        <v>198</v>
      </c>
      <c r="CY31" t="s">
        <v>198</v>
      </c>
      <c r="CZ31" t="s">
        <v>198</v>
      </c>
      <c r="DA31" t="s">
        <v>198</v>
      </c>
      <c r="DB31" t="s">
        <v>198</v>
      </c>
      <c r="DC31">
        <v>0</v>
      </c>
      <c r="DD31">
        <v>0</v>
      </c>
      <c r="DE31">
        <v>0</v>
      </c>
      <c r="DF31">
        <v>0</v>
      </c>
      <c r="DG31">
        <v>-35.3632621</v>
      </c>
      <c r="DH31">
        <v>149.1652374</v>
      </c>
      <c r="DI31" t="s">
        <v>205</v>
      </c>
      <c r="DJ31">
        <v>1.2</v>
      </c>
      <c r="DK31">
        <v>2</v>
      </c>
      <c r="DL31">
        <v>296.5</v>
      </c>
      <c r="DM31">
        <v>0</v>
      </c>
      <c r="DN31">
        <v>6</v>
      </c>
      <c r="DO31">
        <v>10</v>
      </c>
      <c r="DP31">
        <v>0</v>
      </c>
      <c r="DQ31">
        <v>255</v>
      </c>
      <c r="DR31">
        <v>255</v>
      </c>
      <c r="DS31">
        <v>255</v>
      </c>
      <c r="DT31">
        <v>255</v>
      </c>
      <c r="DU31">
        <v>255</v>
      </c>
      <c r="DV31">
        <v>255</v>
      </c>
      <c r="DW31">
        <v>255</v>
      </c>
      <c r="DX31" t="s">
        <v>206</v>
      </c>
      <c r="DY31" t="s">
        <v>206</v>
      </c>
      <c r="DZ31" t="s">
        <v>207</v>
      </c>
      <c r="EA31" t="s">
        <v>198</v>
      </c>
      <c r="EB31" t="s">
        <v>198</v>
      </c>
      <c r="EC31" t="s">
        <v>198</v>
      </c>
      <c r="ED31">
        <v>0</v>
      </c>
      <c r="EE31">
        <v>0</v>
      </c>
      <c r="EF31">
        <v>0</v>
      </c>
      <c r="EG31">
        <v>0</v>
      </c>
      <c r="EH31">
        <v>255</v>
      </c>
      <c r="EI31">
        <v>255</v>
      </c>
      <c r="EJ31">
        <v>255</v>
      </c>
      <c r="EK31">
        <v>255</v>
      </c>
      <c r="EL31">
        <v>255</v>
      </c>
      <c r="EM31">
        <v>255</v>
      </c>
      <c r="EN31">
        <v>255</v>
      </c>
      <c r="EO31">
        <v>255</v>
      </c>
      <c r="EP31">
        <v>255</v>
      </c>
      <c r="EQ31">
        <v>255</v>
      </c>
      <c r="ER31" t="s">
        <v>208</v>
      </c>
      <c r="ES31" t="s">
        <v>209</v>
      </c>
      <c r="ET31" t="s">
        <v>209</v>
      </c>
      <c r="EU31">
        <v>0</v>
      </c>
      <c r="EV31">
        <v>0</v>
      </c>
      <c r="EW31">
        <v>0</v>
      </c>
      <c r="EX31">
        <v>-5.7</v>
      </c>
      <c r="EY31">
        <v>0</v>
      </c>
      <c r="EZ31">
        <v>0</v>
      </c>
      <c r="FA31">
        <v>-2.5</v>
      </c>
      <c r="FB31" t="s">
        <v>198</v>
      </c>
      <c r="FC31" t="s">
        <v>198</v>
      </c>
      <c r="FD31" t="s">
        <v>198</v>
      </c>
      <c r="FE31" t="s">
        <v>198</v>
      </c>
      <c r="FF31" t="s">
        <v>198</v>
      </c>
      <c r="FG31" t="s">
        <v>198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 t="s">
        <v>203</v>
      </c>
      <c r="FP31" t="s">
        <v>203</v>
      </c>
      <c r="FQ31" t="s">
        <v>203</v>
      </c>
      <c r="FR31" t="s">
        <v>203</v>
      </c>
      <c r="FS31" t="s">
        <v>203</v>
      </c>
      <c r="FT31" t="s">
        <v>203</v>
      </c>
      <c r="FU31" t="s">
        <v>198</v>
      </c>
      <c r="FV31" t="s">
        <v>198</v>
      </c>
      <c r="FW31" t="s">
        <v>198</v>
      </c>
      <c r="FX31" t="s">
        <v>198</v>
      </c>
      <c r="FY31" t="s">
        <v>198</v>
      </c>
      <c r="FZ31" t="s">
        <v>198</v>
      </c>
      <c r="GA31">
        <v>31.16</v>
      </c>
      <c r="GB31">
        <v>31.16</v>
      </c>
      <c r="GC31" t="s">
        <v>203</v>
      </c>
      <c r="GD31">
        <v>0</v>
      </c>
      <c r="GE31">
        <v>504</v>
      </c>
      <c r="GF31">
        <v>0</v>
      </c>
      <c r="GG31">
        <v>0</v>
      </c>
      <c r="GH31">
        <v>0.3</v>
      </c>
      <c r="GI31">
        <v>0</v>
      </c>
      <c r="GJ31">
        <v>0</v>
      </c>
      <c r="GK31">
        <v>0</v>
      </c>
      <c r="GL31" t="s">
        <v>198</v>
      </c>
      <c r="GM31" t="s">
        <v>198</v>
      </c>
      <c r="GN31" t="s">
        <v>198</v>
      </c>
    </row>
    <row r="32" spans="1:196">
      <c r="A32" s="19">
        <v>46316.90425165509</v>
      </c>
      <c r="B32">
        <v>-0.2</v>
      </c>
      <c r="C32">
        <v>0</v>
      </c>
      <c r="D32">
        <v>359</v>
      </c>
      <c r="E32">
        <v>0</v>
      </c>
      <c r="F32">
        <v>0</v>
      </c>
      <c r="G32">
        <v>0</v>
      </c>
      <c r="H32">
        <v>0</v>
      </c>
      <c r="I32">
        <v>0</v>
      </c>
      <c r="J32">
        <v>0.001</v>
      </c>
      <c r="K32">
        <v>2.5</v>
      </c>
      <c r="L32">
        <v>8</v>
      </c>
      <c r="M32">
        <v>592.2</v>
      </c>
      <c r="N32">
        <v>5.9</v>
      </c>
      <c r="O32">
        <v>7.97</v>
      </c>
      <c r="P32">
        <v>7.966</v>
      </c>
      <c r="Q32">
        <v>0</v>
      </c>
      <c r="R32">
        <v>0</v>
      </c>
      <c r="S32">
        <v>0</v>
      </c>
      <c r="T32" t="s">
        <v>220</v>
      </c>
      <c r="U32">
        <v>0</v>
      </c>
      <c r="V32">
        <v>0</v>
      </c>
      <c r="W32">
        <v>1</v>
      </c>
      <c r="X32" t="s">
        <v>197</v>
      </c>
      <c r="Y32">
        <v>0</v>
      </c>
      <c r="Z32" t="s">
        <v>197</v>
      </c>
      <c r="AA32" t="s">
        <v>197</v>
      </c>
      <c r="AB32" t="s">
        <v>197</v>
      </c>
      <c r="AC32" t="s">
        <v>198</v>
      </c>
      <c r="AD32" t="s">
        <v>199</v>
      </c>
      <c r="AE32">
        <v>36</v>
      </c>
      <c r="AF32">
        <v>44</v>
      </c>
      <c r="AG32">
        <v>255</v>
      </c>
      <c r="AH32">
        <v>0</v>
      </c>
      <c r="AI32">
        <v>0</v>
      </c>
      <c r="AJ32">
        <v>0</v>
      </c>
      <c r="AK32">
        <v>12.6</v>
      </c>
      <c r="AL32">
        <v>0</v>
      </c>
      <c r="AM32">
        <v>0</v>
      </c>
      <c r="AN32" t="s">
        <v>197</v>
      </c>
      <c r="AO32">
        <v>100</v>
      </c>
      <c r="AP32" t="s">
        <v>197</v>
      </c>
      <c r="AQ32" t="s">
        <v>200</v>
      </c>
      <c r="AR32">
        <v>1</v>
      </c>
      <c r="AS32">
        <v>0</v>
      </c>
      <c r="AT32" t="s">
        <v>248</v>
      </c>
      <c r="AU32" t="s">
        <v>248</v>
      </c>
      <c r="AV32" t="s">
        <v>202</v>
      </c>
      <c r="AW32" t="s">
        <v>203</v>
      </c>
      <c r="AX32" t="s">
        <v>203</v>
      </c>
      <c r="AY32" t="s">
        <v>203</v>
      </c>
      <c r="AZ32" t="s">
        <v>203</v>
      </c>
      <c r="BA32" t="s">
        <v>203</v>
      </c>
      <c r="BB32" t="s">
        <v>203</v>
      </c>
      <c r="BC32" t="s">
        <v>203</v>
      </c>
      <c r="BD32" t="s">
        <v>203</v>
      </c>
      <c r="BE32" t="s">
        <v>203</v>
      </c>
      <c r="BF32">
        <v>6.63</v>
      </c>
      <c r="BG32">
        <v>0.2</v>
      </c>
      <c r="BH32">
        <v>50</v>
      </c>
      <c r="BI32">
        <v>0</v>
      </c>
      <c r="BJ32" t="s">
        <v>198</v>
      </c>
      <c r="BK32" t="s">
        <v>198</v>
      </c>
      <c r="BL32" t="s">
        <v>198</v>
      </c>
      <c r="BM32" t="s">
        <v>198</v>
      </c>
      <c r="BN32" t="s">
        <v>198</v>
      </c>
      <c r="BO32" t="s">
        <v>198</v>
      </c>
      <c r="BP32" t="s">
        <v>198</v>
      </c>
      <c r="BQ32" t="s">
        <v>198</v>
      </c>
      <c r="BR32" t="s">
        <v>198</v>
      </c>
      <c r="BS32" t="s">
        <v>198</v>
      </c>
      <c r="BT32" t="s">
        <v>198</v>
      </c>
      <c r="BU32" t="s">
        <v>198</v>
      </c>
      <c r="BV32" t="s">
        <v>198</v>
      </c>
      <c r="BW32" t="s">
        <v>198</v>
      </c>
      <c r="BX32" t="s">
        <v>198</v>
      </c>
      <c r="BY32" t="s">
        <v>198</v>
      </c>
      <c r="BZ32" t="s">
        <v>198</v>
      </c>
      <c r="CA32" t="s">
        <v>198</v>
      </c>
      <c r="CB32" t="s">
        <v>204</v>
      </c>
      <c r="CC32" t="s">
        <v>204</v>
      </c>
      <c r="CD32" t="s">
        <v>204</v>
      </c>
      <c r="CE32" t="s">
        <v>204</v>
      </c>
      <c r="CF32" t="s">
        <v>204</v>
      </c>
      <c r="CG32" t="s">
        <v>204</v>
      </c>
      <c r="CH32" t="s">
        <v>204</v>
      </c>
      <c r="CI32" t="s">
        <v>204</v>
      </c>
      <c r="CJ32" t="s">
        <v>204</v>
      </c>
      <c r="CK32" t="s">
        <v>204</v>
      </c>
      <c r="CL32" t="s">
        <v>204</v>
      </c>
      <c r="CM32" t="s">
        <v>204</v>
      </c>
      <c r="CN32" t="s">
        <v>203</v>
      </c>
      <c r="CO32" t="s">
        <v>203</v>
      </c>
      <c r="CP32" t="s">
        <v>203</v>
      </c>
      <c r="CQ32" t="s">
        <v>203</v>
      </c>
      <c r="CR32" t="s">
        <v>203</v>
      </c>
      <c r="CS32" t="s">
        <v>203</v>
      </c>
      <c r="CT32" t="s">
        <v>203</v>
      </c>
      <c r="CU32" t="s">
        <v>203</v>
      </c>
      <c r="CV32">
        <v>0</v>
      </c>
      <c r="CW32">
        <v>0</v>
      </c>
      <c r="CX32" t="s">
        <v>198</v>
      </c>
      <c r="CY32" t="s">
        <v>198</v>
      </c>
      <c r="CZ32" t="s">
        <v>198</v>
      </c>
      <c r="DA32" t="s">
        <v>198</v>
      </c>
      <c r="DB32" t="s">
        <v>198</v>
      </c>
      <c r="DC32">
        <v>0</v>
      </c>
      <c r="DD32">
        <v>0</v>
      </c>
      <c r="DE32">
        <v>0</v>
      </c>
      <c r="DF32">
        <v>0</v>
      </c>
      <c r="DG32">
        <v>-35.3632621</v>
      </c>
      <c r="DH32">
        <v>149.1652374</v>
      </c>
      <c r="DI32" t="s">
        <v>205</v>
      </c>
      <c r="DJ32">
        <v>1.2</v>
      </c>
      <c r="DK32">
        <v>2</v>
      </c>
      <c r="DL32">
        <v>292.1</v>
      </c>
      <c r="DM32">
        <v>0</v>
      </c>
      <c r="DN32">
        <v>6</v>
      </c>
      <c r="DO32">
        <v>10</v>
      </c>
      <c r="DP32">
        <v>0</v>
      </c>
      <c r="DQ32">
        <v>255</v>
      </c>
      <c r="DR32">
        <v>255</v>
      </c>
      <c r="DS32">
        <v>255</v>
      </c>
      <c r="DT32">
        <v>255</v>
      </c>
      <c r="DU32">
        <v>255</v>
      </c>
      <c r="DV32">
        <v>255</v>
      </c>
      <c r="DW32">
        <v>255</v>
      </c>
      <c r="DX32" t="s">
        <v>206</v>
      </c>
      <c r="DY32" t="s">
        <v>206</v>
      </c>
      <c r="DZ32" t="s">
        <v>207</v>
      </c>
      <c r="EA32" t="s">
        <v>198</v>
      </c>
      <c r="EB32" t="s">
        <v>198</v>
      </c>
      <c r="EC32" t="s">
        <v>198</v>
      </c>
      <c r="ED32">
        <v>0</v>
      </c>
      <c r="EE32">
        <v>0</v>
      </c>
      <c r="EF32">
        <v>0</v>
      </c>
      <c r="EG32">
        <v>0</v>
      </c>
      <c r="EH32">
        <v>255</v>
      </c>
      <c r="EI32">
        <v>255</v>
      </c>
      <c r="EJ32">
        <v>255</v>
      </c>
      <c r="EK32">
        <v>255</v>
      </c>
      <c r="EL32">
        <v>255</v>
      </c>
      <c r="EM32">
        <v>255</v>
      </c>
      <c r="EN32">
        <v>255</v>
      </c>
      <c r="EO32">
        <v>255</v>
      </c>
      <c r="EP32">
        <v>255</v>
      </c>
      <c r="EQ32">
        <v>255</v>
      </c>
      <c r="ER32" t="s">
        <v>208</v>
      </c>
      <c r="ES32" t="s">
        <v>209</v>
      </c>
      <c r="ET32" t="s">
        <v>209</v>
      </c>
      <c r="EU32">
        <v>0</v>
      </c>
      <c r="EV32">
        <v>0</v>
      </c>
      <c r="EW32">
        <v>0</v>
      </c>
      <c r="EX32">
        <v>-8.199999999999999</v>
      </c>
      <c r="EY32">
        <v>0</v>
      </c>
      <c r="EZ32">
        <v>0</v>
      </c>
      <c r="FA32">
        <v>-2.5</v>
      </c>
      <c r="FB32" t="s">
        <v>198</v>
      </c>
      <c r="FC32" t="s">
        <v>198</v>
      </c>
      <c r="FD32" t="s">
        <v>198</v>
      </c>
      <c r="FE32" t="s">
        <v>198</v>
      </c>
      <c r="FF32" t="s">
        <v>198</v>
      </c>
      <c r="FG32" t="s">
        <v>198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 t="s">
        <v>203</v>
      </c>
      <c r="FP32" t="s">
        <v>203</v>
      </c>
      <c r="FQ32" t="s">
        <v>203</v>
      </c>
      <c r="FR32" t="s">
        <v>203</v>
      </c>
      <c r="FS32" t="s">
        <v>203</v>
      </c>
      <c r="FT32" t="s">
        <v>203</v>
      </c>
      <c r="FU32" t="s">
        <v>198</v>
      </c>
      <c r="FV32" t="s">
        <v>198</v>
      </c>
      <c r="FW32" t="s">
        <v>198</v>
      </c>
      <c r="FX32" t="s">
        <v>198</v>
      </c>
      <c r="FY32" t="s">
        <v>198</v>
      </c>
      <c r="FZ32" t="s">
        <v>198</v>
      </c>
      <c r="GA32">
        <v>31.15</v>
      </c>
      <c r="GB32">
        <v>31.15</v>
      </c>
      <c r="GC32" t="s">
        <v>203</v>
      </c>
      <c r="GD32">
        <v>0</v>
      </c>
      <c r="GE32">
        <v>504</v>
      </c>
      <c r="GF32">
        <v>0</v>
      </c>
      <c r="GG32">
        <v>0</v>
      </c>
      <c r="GH32">
        <v>0.3</v>
      </c>
      <c r="GI32">
        <v>0</v>
      </c>
      <c r="GJ32">
        <v>0</v>
      </c>
      <c r="GK32">
        <v>0</v>
      </c>
      <c r="GL32" t="s">
        <v>198</v>
      </c>
      <c r="GM32" t="s">
        <v>198</v>
      </c>
      <c r="GN32" t="s">
        <v>198</v>
      </c>
    </row>
    <row r="33" spans="1:196">
      <c r="A33" s="19">
        <v>46316.90426322917</v>
      </c>
      <c r="B33">
        <v>-0.2</v>
      </c>
      <c r="C33">
        <v>0</v>
      </c>
      <c r="D33">
        <v>359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2.5</v>
      </c>
      <c r="L33">
        <v>10.5</v>
      </c>
      <c r="M33">
        <v>594.7</v>
      </c>
      <c r="N33">
        <v>8.4</v>
      </c>
      <c r="O33">
        <v>10.47</v>
      </c>
      <c r="P33">
        <v>10.466</v>
      </c>
      <c r="Q33">
        <v>0</v>
      </c>
      <c r="R33">
        <v>0</v>
      </c>
      <c r="S33">
        <v>0</v>
      </c>
      <c r="T33" t="s">
        <v>222</v>
      </c>
      <c r="U33">
        <v>0</v>
      </c>
      <c r="V33">
        <v>0</v>
      </c>
      <c r="W33">
        <v>1</v>
      </c>
      <c r="X33" t="s">
        <v>197</v>
      </c>
      <c r="Y33">
        <v>0</v>
      </c>
      <c r="Z33" t="s">
        <v>197</v>
      </c>
      <c r="AA33" t="s">
        <v>197</v>
      </c>
      <c r="AB33" t="s">
        <v>197</v>
      </c>
      <c r="AC33" t="s">
        <v>198</v>
      </c>
      <c r="AD33" t="s">
        <v>199</v>
      </c>
      <c r="AE33">
        <v>36</v>
      </c>
      <c r="AF33">
        <v>44</v>
      </c>
      <c r="AG33">
        <v>255</v>
      </c>
      <c r="AH33">
        <v>0</v>
      </c>
      <c r="AI33">
        <v>0</v>
      </c>
      <c r="AJ33">
        <v>0</v>
      </c>
      <c r="AK33">
        <v>12.6</v>
      </c>
      <c r="AL33">
        <v>0</v>
      </c>
      <c r="AM33">
        <v>0</v>
      </c>
      <c r="AN33" t="s">
        <v>197</v>
      </c>
      <c r="AO33">
        <v>100</v>
      </c>
      <c r="AP33" t="s">
        <v>197</v>
      </c>
      <c r="AQ33" t="s">
        <v>200</v>
      </c>
      <c r="AR33">
        <v>1</v>
      </c>
      <c r="AS33">
        <v>0</v>
      </c>
      <c r="AT33" t="s">
        <v>249</v>
      </c>
      <c r="AU33" t="s">
        <v>249</v>
      </c>
      <c r="AV33" t="s">
        <v>202</v>
      </c>
      <c r="AW33" t="s">
        <v>203</v>
      </c>
      <c r="AX33" t="s">
        <v>203</v>
      </c>
      <c r="AY33" t="s">
        <v>203</v>
      </c>
      <c r="AZ33" t="s">
        <v>203</v>
      </c>
      <c r="BA33" t="s">
        <v>203</v>
      </c>
      <c r="BB33" t="s">
        <v>203</v>
      </c>
      <c r="BC33" t="s">
        <v>203</v>
      </c>
      <c r="BD33" t="s">
        <v>203</v>
      </c>
      <c r="BE33" t="s">
        <v>203</v>
      </c>
      <c r="BF33">
        <v>9.119999999999999</v>
      </c>
      <c r="BG33">
        <v>0.2</v>
      </c>
      <c r="BH33">
        <v>50</v>
      </c>
      <c r="BI33">
        <v>0</v>
      </c>
      <c r="BJ33" t="s">
        <v>198</v>
      </c>
      <c r="BK33" t="s">
        <v>198</v>
      </c>
      <c r="BL33" t="s">
        <v>198</v>
      </c>
      <c r="BM33" t="s">
        <v>198</v>
      </c>
      <c r="BN33" t="s">
        <v>198</v>
      </c>
      <c r="BO33" t="s">
        <v>198</v>
      </c>
      <c r="BP33" t="s">
        <v>198</v>
      </c>
      <c r="BQ33" t="s">
        <v>198</v>
      </c>
      <c r="BR33" t="s">
        <v>198</v>
      </c>
      <c r="BS33" t="s">
        <v>198</v>
      </c>
      <c r="BT33" t="s">
        <v>198</v>
      </c>
      <c r="BU33" t="s">
        <v>198</v>
      </c>
      <c r="BV33" t="s">
        <v>198</v>
      </c>
      <c r="BW33" t="s">
        <v>198</v>
      </c>
      <c r="BX33" t="s">
        <v>198</v>
      </c>
      <c r="BY33" t="s">
        <v>198</v>
      </c>
      <c r="BZ33" t="s">
        <v>198</v>
      </c>
      <c r="CA33" t="s">
        <v>198</v>
      </c>
      <c r="CB33" t="s">
        <v>204</v>
      </c>
      <c r="CC33" t="s">
        <v>204</v>
      </c>
      <c r="CD33" t="s">
        <v>204</v>
      </c>
      <c r="CE33" t="s">
        <v>204</v>
      </c>
      <c r="CF33" t="s">
        <v>204</v>
      </c>
      <c r="CG33" t="s">
        <v>204</v>
      </c>
      <c r="CH33" t="s">
        <v>204</v>
      </c>
      <c r="CI33" t="s">
        <v>204</v>
      </c>
      <c r="CJ33" t="s">
        <v>204</v>
      </c>
      <c r="CK33" t="s">
        <v>204</v>
      </c>
      <c r="CL33" t="s">
        <v>204</v>
      </c>
      <c r="CM33" t="s">
        <v>204</v>
      </c>
      <c r="CN33" t="s">
        <v>203</v>
      </c>
      <c r="CO33" t="s">
        <v>203</v>
      </c>
      <c r="CP33" t="s">
        <v>203</v>
      </c>
      <c r="CQ33" t="s">
        <v>203</v>
      </c>
      <c r="CR33" t="s">
        <v>203</v>
      </c>
      <c r="CS33" t="s">
        <v>203</v>
      </c>
      <c r="CT33" t="s">
        <v>203</v>
      </c>
      <c r="CU33" t="s">
        <v>203</v>
      </c>
      <c r="CV33">
        <v>0</v>
      </c>
      <c r="CW33">
        <v>0</v>
      </c>
      <c r="CX33" t="s">
        <v>198</v>
      </c>
      <c r="CY33" t="s">
        <v>198</v>
      </c>
      <c r="CZ33" t="s">
        <v>198</v>
      </c>
      <c r="DA33" t="s">
        <v>198</v>
      </c>
      <c r="DB33" t="s">
        <v>198</v>
      </c>
      <c r="DC33">
        <v>0</v>
      </c>
      <c r="DD33">
        <v>0</v>
      </c>
      <c r="DE33">
        <v>0</v>
      </c>
      <c r="DF33">
        <v>0</v>
      </c>
      <c r="DG33">
        <v>-35.3632621</v>
      </c>
      <c r="DH33">
        <v>149.1652374</v>
      </c>
      <c r="DI33" t="s">
        <v>205</v>
      </c>
      <c r="DJ33">
        <v>1.2</v>
      </c>
      <c r="DK33">
        <v>2</v>
      </c>
      <c r="DL33">
        <v>29.8</v>
      </c>
      <c r="DM33">
        <v>0</v>
      </c>
      <c r="DN33">
        <v>6</v>
      </c>
      <c r="DO33">
        <v>10</v>
      </c>
      <c r="DP33">
        <v>0</v>
      </c>
      <c r="DQ33">
        <v>255</v>
      </c>
      <c r="DR33">
        <v>255</v>
      </c>
      <c r="DS33">
        <v>255</v>
      </c>
      <c r="DT33">
        <v>255</v>
      </c>
      <c r="DU33">
        <v>255</v>
      </c>
      <c r="DV33">
        <v>255</v>
      </c>
      <c r="DW33">
        <v>255</v>
      </c>
      <c r="DX33" t="s">
        <v>206</v>
      </c>
      <c r="DY33" t="s">
        <v>206</v>
      </c>
      <c r="DZ33" t="s">
        <v>207</v>
      </c>
      <c r="EA33" t="s">
        <v>198</v>
      </c>
      <c r="EB33" t="s">
        <v>198</v>
      </c>
      <c r="EC33" t="s">
        <v>198</v>
      </c>
      <c r="ED33">
        <v>0</v>
      </c>
      <c r="EE33">
        <v>0</v>
      </c>
      <c r="EF33">
        <v>0</v>
      </c>
      <c r="EG33">
        <v>0</v>
      </c>
      <c r="EH33">
        <v>255</v>
      </c>
      <c r="EI33">
        <v>255</v>
      </c>
      <c r="EJ33">
        <v>255</v>
      </c>
      <c r="EK33">
        <v>255</v>
      </c>
      <c r="EL33">
        <v>255</v>
      </c>
      <c r="EM33">
        <v>255</v>
      </c>
      <c r="EN33">
        <v>255</v>
      </c>
      <c r="EO33">
        <v>255</v>
      </c>
      <c r="EP33">
        <v>255</v>
      </c>
      <c r="EQ33">
        <v>255</v>
      </c>
      <c r="ER33" t="s">
        <v>208</v>
      </c>
      <c r="ES33" t="s">
        <v>209</v>
      </c>
      <c r="ET33" t="s">
        <v>209</v>
      </c>
      <c r="EU33">
        <v>0</v>
      </c>
      <c r="EV33">
        <v>0</v>
      </c>
      <c r="EW33">
        <v>0</v>
      </c>
      <c r="EX33">
        <v>-10.7</v>
      </c>
      <c r="EY33">
        <v>0</v>
      </c>
      <c r="EZ33">
        <v>0</v>
      </c>
      <c r="FA33">
        <v>-2.5</v>
      </c>
      <c r="FB33" t="s">
        <v>198</v>
      </c>
      <c r="FC33" t="s">
        <v>198</v>
      </c>
      <c r="FD33" t="s">
        <v>198</v>
      </c>
      <c r="FE33" t="s">
        <v>198</v>
      </c>
      <c r="FF33" t="s">
        <v>198</v>
      </c>
      <c r="FG33" t="s">
        <v>198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 t="s">
        <v>203</v>
      </c>
      <c r="FP33" t="s">
        <v>203</v>
      </c>
      <c r="FQ33" t="s">
        <v>203</v>
      </c>
      <c r="FR33" t="s">
        <v>203</v>
      </c>
      <c r="FS33" t="s">
        <v>203</v>
      </c>
      <c r="FT33" t="s">
        <v>203</v>
      </c>
      <c r="FU33" t="s">
        <v>198</v>
      </c>
      <c r="FV33" t="s">
        <v>198</v>
      </c>
      <c r="FW33" t="s">
        <v>198</v>
      </c>
      <c r="FX33" t="s">
        <v>198</v>
      </c>
      <c r="FY33" t="s">
        <v>198</v>
      </c>
      <c r="FZ33" t="s">
        <v>198</v>
      </c>
      <c r="GA33">
        <v>31.13</v>
      </c>
      <c r="GB33">
        <v>31.13</v>
      </c>
      <c r="GC33" t="s">
        <v>203</v>
      </c>
      <c r="GD33">
        <v>0</v>
      </c>
      <c r="GE33">
        <v>504</v>
      </c>
      <c r="GF33">
        <v>0</v>
      </c>
      <c r="GG33">
        <v>0</v>
      </c>
      <c r="GH33">
        <v>0.3</v>
      </c>
      <c r="GI33">
        <v>0</v>
      </c>
      <c r="GJ33">
        <v>0</v>
      </c>
      <c r="GK33">
        <v>0</v>
      </c>
      <c r="GL33" t="s">
        <v>198</v>
      </c>
      <c r="GM33" t="s">
        <v>198</v>
      </c>
      <c r="GN33" t="s">
        <v>198</v>
      </c>
    </row>
    <row r="34" spans="1:196">
      <c r="A34" s="19">
        <v>46316.90427480324</v>
      </c>
      <c r="B34">
        <v>0.2</v>
      </c>
      <c r="C34">
        <v>0</v>
      </c>
      <c r="D34">
        <v>359</v>
      </c>
      <c r="E34">
        <v>0</v>
      </c>
      <c r="F34">
        <v>0</v>
      </c>
      <c r="G34">
        <v>0</v>
      </c>
      <c r="H34">
        <v>0</v>
      </c>
      <c r="I34">
        <v>0</v>
      </c>
      <c r="J34">
        <v>0.001</v>
      </c>
      <c r="K34">
        <v>2.5</v>
      </c>
      <c r="L34">
        <v>13</v>
      </c>
      <c r="M34">
        <v>597.2</v>
      </c>
      <c r="N34">
        <v>10.9</v>
      </c>
      <c r="O34">
        <v>12.97</v>
      </c>
      <c r="P34">
        <v>12.966</v>
      </c>
      <c r="Q34">
        <v>0.008999999999999999</v>
      </c>
      <c r="R34">
        <v>0</v>
      </c>
      <c r="S34">
        <v>0</v>
      </c>
      <c r="T34" t="s">
        <v>224</v>
      </c>
      <c r="U34">
        <v>0</v>
      </c>
      <c r="V34">
        <v>4</v>
      </c>
      <c r="W34">
        <v>1</v>
      </c>
      <c r="X34" t="s">
        <v>197</v>
      </c>
      <c r="Y34">
        <v>0</v>
      </c>
      <c r="Z34" t="s">
        <v>197</v>
      </c>
      <c r="AA34" t="s">
        <v>197</v>
      </c>
      <c r="AB34" t="s">
        <v>197</v>
      </c>
      <c r="AC34" t="s">
        <v>198</v>
      </c>
      <c r="AD34" t="s">
        <v>199</v>
      </c>
      <c r="AE34">
        <v>36</v>
      </c>
      <c r="AF34">
        <v>44</v>
      </c>
      <c r="AG34">
        <v>255</v>
      </c>
      <c r="AH34">
        <v>0</v>
      </c>
      <c r="AI34">
        <v>0</v>
      </c>
      <c r="AJ34">
        <v>0</v>
      </c>
      <c r="AK34">
        <v>12.6</v>
      </c>
      <c r="AL34">
        <v>0</v>
      </c>
      <c r="AM34">
        <v>0</v>
      </c>
      <c r="AN34" t="s">
        <v>197</v>
      </c>
      <c r="AO34">
        <v>100</v>
      </c>
      <c r="AP34" t="s">
        <v>197</v>
      </c>
      <c r="AQ34" t="s">
        <v>200</v>
      </c>
      <c r="AR34">
        <v>1</v>
      </c>
      <c r="AS34">
        <v>0</v>
      </c>
      <c r="AT34" t="s">
        <v>250</v>
      </c>
      <c r="AU34" t="s">
        <v>250</v>
      </c>
      <c r="AV34" t="s">
        <v>202</v>
      </c>
      <c r="AW34" t="s">
        <v>203</v>
      </c>
      <c r="AX34" t="s">
        <v>203</v>
      </c>
      <c r="AY34" t="s">
        <v>203</v>
      </c>
      <c r="AZ34" t="s">
        <v>203</v>
      </c>
      <c r="BA34" t="s">
        <v>203</v>
      </c>
      <c r="BB34" t="s">
        <v>203</v>
      </c>
      <c r="BC34" t="s">
        <v>203</v>
      </c>
      <c r="BD34" t="s">
        <v>203</v>
      </c>
      <c r="BE34" t="s">
        <v>203</v>
      </c>
      <c r="BF34">
        <v>11.62</v>
      </c>
      <c r="BG34">
        <v>0.2</v>
      </c>
      <c r="BH34">
        <v>50</v>
      </c>
      <c r="BI34">
        <v>0</v>
      </c>
      <c r="BJ34" t="s">
        <v>198</v>
      </c>
      <c r="BK34" t="s">
        <v>198</v>
      </c>
      <c r="BL34" t="s">
        <v>198</v>
      </c>
      <c r="BM34" t="s">
        <v>198</v>
      </c>
      <c r="BN34" t="s">
        <v>198</v>
      </c>
      <c r="BO34" t="s">
        <v>198</v>
      </c>
      <c r="BP34" t="s">
        <v>198</v>
      </c>
      <c r="BQ34" t="s">
        <v>198</v>
      </c>
      <c r="BR34" t="s">
        <v>198</v>
      </c>
      <c r="BS34" t="s">
        <v>198</v>
      </c>
      <c r="BT34" t="s">
        <v>198</v>
      </c>
      <c r="BU34" t="s">
        <v>198</v>
      </c>
      <c r="BV34" t="s">
        <v>198</v>
      </c>
      <c r="BW34" t="s">
        <v>198</v>
      </c>
      <c r="BX34" t="s">
        <v>198</v>
      </c>
      <c r="BY34" t="s">
        <v>198</v>
      </c>
      <c r="BZ34" t="s">
        <v>198</v>
      </c>
      <c r="CA34" t="s">
        <v>198</v>
      </c>
      <c r="CB34" t="s">
        <v>204</v>
      </c>
      <c r="CC34" t="s">
        <v>204</v>
      </c>
      <c r="CD34" t="s">
        <v>204</v>
      </c>
      <c r="CE34" t="s">
        <v>204</v>
      </c>
      <c r="CF34" t="s">
        <v>204</v>
      </c>
      <c r="CG34" t="s">
        <v>204</v>
      </c>
      <c r="CH34" t="s">
        <v>204</v>
      </c>
      <c r="CI34" t="s">
        <v>204</v>
      </c>
      <c r="CJ34" t="s">
        <v>204</v>
      </c>
      <c r="CK34" t="s">
        <v>204</v>
      </c>
      <c r="CL34" t="s">
        <v>204</v>
      </c>
      <c r="CM34" t="s">
        <v>204</v>
      </c>
      <c r="CN34" t="s">
        <v>203</v>
      </c>
      <c r="CO34" t="s">
        <v>203</v>
      </c>
      <c r="CP34" t="s">
        <v>203</v>
      </c>
      <c r="CQ34" t="s">
        <v>203</v>
      </c>
      <c r="CR34" t="s">
        <v>203</v>
      </c>
      <c r="CS34" t="s">
        <v>203</v>
      </c>
      <c r="CT34" t="s">
        <v>203</v>
      </c>
      <c r="CU34" t="s">
        <v>203</v>
      </c>
      <c r="CV34">
        <v>0</v>
      </c>
      <c r="CW34">
        <v>0</v>
      </c>
      <c r="CX34" t="s">
        <v>198</v>
      </c>
      <c r="CY34" t="s">
        <v>198</v>
      </c>
      <c r="CZ34" t="s">
        <v>198</v>
      </c>
      <c r="DA34" t="s">
        <v>198</v>
      </c>
      <c r="DB34" t="s">
        <v>198</v>
      </c>
      <c r="DC34">
        <v>0</v>
      </c>
      <c r="DD34">
        <v>0</v>
      </c>
      <c r="DE34">
        <v>0</v>
      </c>
      <c r="DF34">
        <v>0</v>
      </c>
      <c r="DG34">
        <v>-35.3632621</v>
      </c>
      <c r="DH34">
        <v>149.1652373</v>
      </c>
      <c r="DI34" t="s">
        <v>205</v>
      </c>
      <c r="DJ34">
        <v>1.2</v>
      </c>
      <c r="DK34">
        <v>2</v>
      </c>
      <c r="DL34">
        <v>278.2</v>
      </c>
      <c r="DM34">
        <v>0</v>
      </c>
      <c r="DN34">
        <v>6</v>
      </c>
      <c r="DO34">
        <v>10</v>
      </c>
      <c r="DP34">
        <v>0</v>
      </c>
      <c r="DQ34">
        <v>255</v>
      </c>
      <c r="DR34">
        <v>255</v>
      </c>
      <c r="DS34">
        <v>255</v>
      </c>
      <c r="DT34">
        <v>255</v>
      </c>
      <c r="DU34">
        <v>255</v>
      </c>
      <c r="DV34">
        <v>255</v>
      </c>
      <c r="DW34">
        <v>255</v>
      </c>
      <c r="DX34" t="s">
        <v>206</v>
      </c>
      <c r="DY34" t="s">
        <v>206</v>
      </c>
      <c r="DZ34" t="s">
        <v>207</v>
      </c>
      <c r="EA34" t="s">
        <v>198</v>
      </c>
      <c r="EB34" t="s">
        <v>198</v>
      </c>
      <c r="EC34" t="s">
        <v>198</v>
      </c>
      <c r="ED34">
        <v>0</v>
      </c>
      <c r="EE34">
        <v>0</v>
      </c>
      <c r="EF34">
        <v>0</v>
      </c>
      <c r="EG34">
        <v>0</v>
      </c>
      <c r="EH34">
        <v>255</v>
      </c>
      <c r="EI34">
        <v>255</v>
      </c>
      <c r="EJ34">
        <v>255</v>
      </c>
      <c r="EK34">
        <v>255</v>
      </c>
      <c r="EL34">
        <v>255</v>
      </c>
      <c r="EM34">
        <v>255</v>
      </c>
      <c r="EN34">
        <v>255</v>
      </c>
      <c r="EO34">
        <v>255</v>
      </c>
      <c r="EP34">
        <v>255</v>
      </c>
      <c r="EQ34">
        <v>255</v>
      </c>
      <c r="ER34" t="s">
        <v>208</v>
      </c>
      <c r="ES34" t="s">
        <v>209</v>
      </c>
      <c r="ET34" t="s">
        <v>209</v>
      </c>
      <c r="EU34">
        <v>0</v>
      </c>
      <c r="EV34">
        <v>0</v>
      </c>
      <c r="EW34">
        <v>0</v>
      </c>
      <c r="EX34">
        <v>-13.2</v>
      </c>
      <c r="EY34">
        <v>0</v>
      </c>
      <c r="EZ34">
        <v>0</v>
      </c>
      <c r="FA34">
        <v>-2.5</v>
      </c>
      <c r="FB34" t="s">
        <v>198</v>
      </c>
      <c r="FC34" t="s">
        <v>198</v>
      </c>
      <c r="FD34" t="s">
        <v>198</v>
      </c>
      <c r="FE34" t="s">
        <v>198</v>
      </c>
      <c r="FF34" t="s">
        <v>198</v>
      </c>
      <c r="FG34" t="s">
        <v>198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203</v>
      </c>
      <c r="FP34" t="s">
        <v>203</v>
      </c>
      <c r="FQ34" t="s">
        <v>203</v>
      </c>
      <c r="FR34" t="s">
        <v>203</v>
      </c>
      <c r="FS34" t="s">
        <v>203</v>
      </c>
      <c r="FT34" t="s">
        <v>203</v>
      </c>
      <c r="FU34" t="s">
        <v>198</v>
      </c>
      <c r="FV34" t="s">
        <v>198</v>
      </c>
      <c r="FW34" t="s">
        <v>198</v>
      </c>
      <c r="FX34" t="s">
        <v>198</v>
      </c>
      <c r="FY34" t="s">
        <v>198</v>
      </c>
      <c r="FZ34" t="s">
        <v>198</v>
      </c>
      <c r="GA34">
        <v>31.11</v>
      </c>
      <c r="GB34">
        <v>31.11</v>
      </c>
      <c r="GC34" t="s">
        <v>203</v>
      </c>
      <c r="GD34">
        <v>0</v>
      </c>
      <c r="GE34">
        <v>504</v>
      </c>
      <c r="GF34">
        <v>0</v>
      </c>
      <c r="GG34">
        <v>0</v>
      </c>
      <c r="GH34">
        <v>0.3</v>
      </c>
      <c r="GI34">
        <v>0</v>
      </c>
      <c r="GJ34">
        <v>0</v>
      </c>
      <c r="GK34">
        <v>0</v>
      </c>
      <c r="GL34" t="s">
        <v>198</v>
      </c>
      <c r="GM34" t="s">
        <v>198</v>
      </c>
      <c r="GN34" t="s">
        <v>198</v>
      </c>
    </row>
    <row r="35" spans="1:196">
      <c r="A35" s="19">
        <v>46316.90428637731</v>
      </c>
      <c r="B35">
        <v>0.2</v>
      </c>
      <c r="C35">
        <v>0</v>
      </c>
      <c r="D35">
        <v>359</v>
      </c>
      <c r="E35">
        <v>0</v>
      </c>
      <c r="F35">
        <v>0</v>
      </c>
      <c r="G35">
        <v>0</v>
      </c>
      <c r="H35">
        <v>0</v>
      </c>
      <c r="I35">
        <v>0</v>
      </c>
      <c r="J35">
        <v>0.006</v>
      </c>
      <c r="K35">
        <v>2.5</v>
      </c>
      <c r="L35">
        <v>15.5</v>
      </c>
      <c r="M35">
        <v>599.6</v>
      </c>
      <c r="N35">
        <v>14.6</v>
      </c>
      <c r="O35">
        <v>15.46</v>
      </c>
      <c r="P35">
        <v>15.466</v>
      </c>
      <c r="Q35">
        <v>0</v>
      </c>
      <c r="R35">
        <v>0</v>
      </c>
      <c r="S35">
        <v>0</v>
      </c>
      <c r="T35" t="s">
        <v>226</v>
      </c>
      <c r="U35">
        <v>0</v>
      </c>
      <c r="V35">
        <v>0</v>
      </c>
      <c r="W35">
        <v>1</v>
      </c>
      <c r="X35" t="s">
        <v>197</v>
      </c>
      <c r="Y35">
        <v>0</v>
      </c>
      <c r="Z35" t="s">
        <v>197</v>
      </c>
      <c r="AA35" t="s">
        <v>197</v>
      </c>
      <c r="AB35" t="s">
        <v>197</v>
      </c>
      <c r="AC35" t="s">
        <v>198</v>
      </c>
      <c r="AD35" t="s">
        <v>199</v>
      </c>
      <c r="AE35">
        <v>36</v>
      </c>
      <c r="AF35">
        <v>44</v>
      </c>
      <c r="AG35">
        <v>255</v>
      </c>
      <c r="AH35">
        <v>0</v>
      </c>
      <c r="AI35">
        <v>0</v>
      </c>
      <c r="AJ35">
        <v>0</v>
      </c>
      <c r="AK35">
        <v>12.6</v>
      </c>
      <c r="AL35">
        <v>0</v>
      </c>
      <c r="AM35">
        <v>0</v>
      </c>
      <c r="AN35" t="s">
        <v>197</v>
      </c>
      <c r="AO35">
        <v>100</v>
      </c>
      <c r="AP35" t="s">
        <v>197</v>
      </c>
      <c r="AQ35" t="s">
        <v>200</v>
      </c>
      <c r="AR35">
        <v>1</v>
      </c>
      <c r="AS35">
        <v>0</v>
      </c>
      <c r="AT35" t="s">
        <v>251</v>
      </c>
      <c r="AU35" t="s">
        <v>251</v>
      </c>
      <c r="AV35" t="s">
        <v>202</v>
      </c>
      <c r="AW35" t="s">
        <v>203</v>
      </c>
      <c r="AX35" t="s">
        <v>203</v>
      </c>
      <c r="AY35" t="s">
        <v>203</v>
      </c>
      <c r="AZ35" t="s">
        <v>203</v>
      </c>
      <c r="BA35" t="s">
        <v>203</v>
      </c>
      <c r="BB35" t="s">
        <v>203</v>
      </c>
      <c r="BC35" t="s">
        <v>203</v>
      </c>
      <c r="BD35" t="s">
        <v>203</v>
      </c>
      <c r="BE35" t="s">
        <v>203</v>
      </c>
      <c r="BF35">
        <v>14.12</v>
      </c>
      <c r="BG35">
        <v>0.2</v>
      </c>
      <c r="BH35">
        <v>50</v>
      </c>
      <c r="BI35">
        <v>0</v>
      </c>
      <c r="BJ35" t="s">
        <v>198</v>
      </c>
      <c r="BK35" t="s">
        <v>198</v>
      </c>
      <c r="BL35" t="s">
        <v>198</v>
      </c>
      <c r="BM35" t="s">
        <v>198</v>
      </c>
      <c r="BN35" t="s">
        <v>198</v>
      </c>
      <c r="BO35" t="s">
        <v>198</v>
      </c>
      <c r="BP35" t="s">
        <v>198</v>
      </c>
      <c r="BQ35" t="s">
        <v>198</v>
      </c>
      <c r="BR35" t="s">
        <v>198</v>
      </c>
      <c r="BS35" t="s">
        <v>198</v>
      </c>
      <c r="BT35" t="s">
        <v>198</v>
      </c>
      <c r="BU35" t="s">
        <v>198</v>
      </c>
      <c r="BV35" t="s">
        <v>198</v>
      </c>
      <c r="BW35" t="s">
        <v>198</v>
      </c>
      <c r="BX35" t="s">
        <v>198</v>
      </c>
      <c r="BY35" t="s">
        <v>198</v>
      </c>
      <c r="BZ35" t="s">
        <v>198</v>
      </c>
      <c r="CA35" t="s">
        <v>198</v>
      </c>
      <c r="CB35" t="s">
        <v>204</v>
      </c>
      <c r="CC35" t="s">
        <v>204</v>
      </c>
      <c r="CD35" t="s">
        <v>204</v>
      </c>
      <c r="CE35" t="s">
        <v>204</v>
      </c>
      <c r="CF35" t="s">
        <v>204</v>
      </c>
      <c r="CG35" t="s">
        <v>204</v>
      </c>
      <c r="CH35" t="s">
        <v>204</v>
      </c>
      <c r="CI35" t="s">
        <v>204</v>
      </c>
      <c r="CJ35" t="s">
        <v>204</v>
      </c>
      <c r="CK35" t="s">
        <v>204</v>
      </c>
      <c r="CL35" t="s">
        <v>204</v>
      </c>
      <c r="CM35" t="s">
        <v>204</v>
      </c>
      <c r="CN35" t="s">
        <v>203</v>
      </c>
      <c r="CO35" t="s">
        <v>203</v>
      </c>
      <c r="CP35" t="s">
        <v>203</v>
      </c>
      <c r="CQ35" t="s">
        <v>203</v>
      </c>
      <c r="CR35" t="s">
        <v>203</v>
      </c>
      <c r="CS35" t="s">
        <v>203</v>
      </c>
      <c r="CT35" t="s">
        <v>203</v>
      </c>
      <c r="CU35" t="s">
        <v>203</v>
      </c>
      <c r="CV35">
        <v>0</v>
      </c>
      <c r="CW35">
        <v>0</v>
      </c>
      <c r="CX35" t="s">
        <v>198</v>
      </c>
      <c r="CY35" t="s">
        <v>198</v>
      </c>
      <c r="CZ35" t="s">
        <v>198</v>
      </c>
      <c r="DA35" t="s">
        <v>198</v>
      </c>
      <c r="DB35" t="s">
        <v>198</v>
      </c>
      <c r="DC35">
        <v>0</v>
      </c>
      <c r="DD35">
        <v>0</v>
      </c>
      <c r="DE35">
        <v>0</v>
      </c>
      <c r="DF35">
        <v>0</v>
      </c>
      <c r="DG35">
        <v>-35.3632621</v>
      </c>
      <c r="DH35">
        <v>149.1652374</v>
      </c>
      <c r="DI35" t="s">
        <v>205</v>
      </c>
      <c r="DJ35">
        <v>1.2</v>
      </c>
      <c r="DK35">
        <v>2</v>
      </c>
      <c r="DL35">
        <v>89.40000000000001</v>
      </c>
      <c r="DM35">
        <v>0</v>
      </c>
      <c r="DN35">
        <v>6</v>
      </c>
      <c r="DO35">
        <v>10</v>
      </c>
      <c r="DP35">
        <v>0</v>
      </c>
      <c r="DQ35">
        <v>255</v>
      </c>
      <c r="DR35">
        <v>255</v>
      </c>
      <c r="DS35">
        <v>255</v>
      </c>
      <c r="DT35">
        <v>255</v>
      </c>
      <c r="DU35">
        <v>255</v>
      </c>
      <c r="DV35">
        <v>255</v>
      </c>
      <c r="DW35">
        <v>255</v>
      </c>
      <c r="DX35" t="s">
        <v>206</v>
      </c>
      <c r="DY35" t="s">
        <v>206</v>
      </c>
      <c r="DZ35" t="s">
        <v>207</v>
      </c>
      <c r="EA35" t="s">
        <v>198</v>
      </c>
      <c r="EB35" t="s">
        <v>198</v>
      </c>
      <c r="EC35" t="s">
        <v>198</v>
      </c>
      <c r="ED35">
        <v>0</v>
      </c>
      <c r="EE35">
        <v>0</v>
      </c>
      <c r="EF35">
        <v>0</v>
      </c>
      <c r="EG35">
        <v>0</v>
      </c>
      <c r="EH35">
        <v>255</v>
      </c>
      <c r="EI35">
        <v>255</v>
      </c>
      <c r="EJ35">
        <v>255</v>
      </c>
      <c r="EK35">
        <v>255</v>
      </c>
      <c r="EL35">
        <v>255</v>
      </c>
      <c r="EM35">
        <v>255</v>
      </c>
      <c r="EN35">
        <v>255</v>
      </c>
      <c r="EO35">
        <v>255</v>
      </c>
      <c r="EP35">
        <v>255</v>
      </c>
      <c r="EQ35">
        <v>255</v>
      </c>
      <c r="ER35" t="s">
        <v>208</v>
      </c>
      <c r="ES35" t="s">
        <v>209</v>
      </c>
      <c r="ET35" t="s">
        <v>209</v>
      </c>
      <c r="EU35">
        <v>0</v>
      </c>
      <c r="EV35">
        <v>0</v>
      </c>
      <c r="EW35">
        <v>0</v>
      </c>
      <c r="EX35">
        <v>-15.6</v>
      </c>
      <c r="EY35">
        <v>0</v>
      </c>
      <c r="EZ35">
        <v>0</v>
      </c>
      <c r="FA35">
        <v>-2.5</v>
      </c>
      <c r="FB35" t="s">
        <v>198</v>
      </c>
      <c r="FC35" t="s">
        <v>198</v>
      </c>
      <c r="FD35" t="s">
        <v>198</v>
      </c>
      <c r="FE35" t="s">
        <v>198</v>
      </c>
      <c r="FF35" t="s">
        <v>198</v>
      </c>
      <c r="FG35" t="s">
        <v>198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203</v>
      </c>
      <c r="FP35" t="s">
        <v>203</v>
      </c>
      <c r="FQ35" t="s">
        <v>203</v>
      </c>
      <c r="FR35" t="s">
        <v>203</v>
      </c>
      <c r="FS35" t="s">
        <v>203</v>
      </c>
      <c r="FT35" t="s">
        <v>203</v>
      </c>
      <c r="FU35" t="s">
        <v>198</v>
      </c>
      <c r="FV35" t="s">
        <v>198</v>
      </c>
      <c r="FW35" t="s">
        <v>198</v>
      </c>
      <c r="FX35" t="s">
        <v>198</v>
      </c>
      <c r="FY35" t="s">
        <v>198</v>
      </c>
      <c r="FZ35" t="s">
        <v>198</v>
      </c>
      <c r="GA35">
        <v>31.1</v>
      </c>
      <c r="GB35">
        <v>31.1</v>
      </c>
      <c r="GC35" t="s">
        <v>203</v>
      </c>
      <c r="GD35">
        <v>0</v>
      </c>
      <c r="GE35">
        <v>504</v>
      </c>
      <c r="GF35">
        <v>0</v>
      </c>
      <c r="GG35">
        <v>0</v>
      </c>
      <c r="GH35">
        <v>0.3</v>
      </c>
      <c r="GI35">
        <v>0</v>
      </c>
      <c r="GJ35">
        <v>0</v>
      </c>
      <c r="GK35">
        <v>0</v>
      </c>
      <c r="GL35" t="s">
        <v>198</v>
      </c>
      <c r="GM35" t="s">
        <v>198</v>
      </c>
      <c r="GN35" t="s">
        <v>198</v>
      </c>
    </row>
    <row r="36" spans="1:196">
      <c r="A36" s="19">
        <v>46316.90429795139</v>
      </c>
      <c r="B36">
        <v>0</v>
      </c>
      <c r="C36">
        <v>0</v>
      </c>
      <c r="D36">
        <v>359</v>
      </c>
      <c r="E36">
        <v>0</v>
      </c>
      <c r="F36">
        <v>0</v>
      </c>
      <c r="G36">
        <v>0</v>
      </c>
      <c r="H36">
        <v>0</v>
      </c>
      <c r="I36">
        <v>0</v>
      </c>
      <c r="J36">
        <v>0.001</v>
      </c>
      <c r="K36">
        <v>2.5</v>
      </c>
      <c r="L36">
        <v>18</v>
      </c>
      <c r="M36">
        <v>602.2</v>
      </c>
      <c r="N36">
        <v>14.6</v>
      </c>
      <c r="O36">
        <v>17.97</v>
      </c>
      <c r="P36">
        <v>17.966</v>
      </c>
      <c r="Q36">
        <v>0</v>
      </c>
      <c r="R36">
        <v>0</v>
      </c>
      <c r="S36">
        <v>0</v>
      </c>
      <c r="T36" t="s">
        <v>252</v>
      </c>
      <c r="U36">
        <v>0</v>
      </c>
      <c r="V36">
        <v>0</v>
      </c>
      <c r="W36">
        <v>1</v>
      </c>
      <c r="X36" t="s">
        <v>197</v>
      </c>
      <c r="Y36">
        <v>0</v>
      </c>
      <c r="Z36" t="s">
        <v>197</v>
      </c>
      <c r="AA36" t="s">
        <v>197</v>
      </c>
      <c r="AB36" t="s">
        <v>197</v>
      </c>
      <c r="AC36" t="s">
        <v>198</v>
      </c>
      <c r="AD36" t="s">
        <v>199</v>
      </c>
      <c r="AE36">
        <v>36</v>
      </c>
      <c r="AF36">
        <v>44</v>
      </c>
      <c r="AG36">
        <v>255</v>
      </c>
      <c r="AH36">
        <v>0</v>
      </c>
      <c r="AI36">
        <v>0</v>
      </c>
      <c r="AJ36">
        <v>0</v>
      </c>
      <c r="AK36">
        <v>12.6</v>
      </c>
      <c r="AL36">
        <v>0</v>
      </c>
      <c r="AM36">
        <v>0</v>
      </c>
      <c r="AN36" t="s">
        <v>197</v>
      </c>
      <c r="AO36">
        <v>100</v>
      </c>
      <c r="AP36" t="s">
        <v>197</v>
      </c>
      <c r="AQ36" t="s">
        <v>200</v>
      </c>
      <c r="AR36">
        <v>1</v>
      </c>
      <c r="AS36">
        <v>0</v>
      </c>
      <c r="AT36" t="s">
        <v>253</v>
      </c>
      <c r="AU36" t="s">
        <v>253</v>
      </c>
      <c r="AV36" t="s">
        <v>202</v>
      </c>
      <c r="AW36" t="s">
        <v>203</v>
      </c>
      <c r="AX36" t="s">
        <v>203</v>
      </c>
      <c r="AY36" t="s">
        <v>203</v>
      </c>
      <c r="AZ36" t="s">
        <v>203</v>
      </c>
      <c r="BA36" t="s">
        <v>203</v>
      </c>
      <c r="BB36" t="s">
        <v>203</v>
      </c>
      <c r="BC36" t="s">
        <v>203</v>
      </c>
      <c r="BD36" t="s">
        <v>203</v>
      </c>
      <c r="BE36" t="s">
        <v>203</v>
      </c>
      <c r="BF36">
        <v>16.62</v>
      </c>
      <c r="BG36">
        <v>0.2</v>
      </c>
      <c r="BH36">
        <v>50</v>
      </c>
      <c r="BI36">
        <v>0</v>
      </c>
      <c r="BJ36" t="s">
        <v>198</v>
      </c>
      <c r="BK36" t="s">
        <v>198</v>
      </c>
      <c r="BL36" t="s">
        <v>198</v>
      </c>
      <c r="BM36" t="s">
        <v>198</v>
      </c>
      <c r="BN36" t="s">
        <v>198</v>
      </c>
      <c r="BO36" t="s">
        <v>198</v>
      </c>
      <c r="BP36" t="s">
        <v>198</v>
      </c>
      <c r="BQ36" t="s">
        <v>198</v>
      </c>
      <c r="BR36" t="s">
        <v>198</v>
      </c>
      <c r="BS36" t="s">
        <v>198</v>
      </c>
      <c r="BT36" t="s">
        <v>198</v>
      </c>
      <c r="BU36" t="s">
        <v>198</v>
      </c>
      <c r="BV36" t="s">
        <v>198</v>
      </c>
      <c r="BW36" t="s">
        <v>198</v>
      </c>
      <c r="BX36" t="s">
        <v>198</v>
      </c>
      <c r="BY36" t="s">
        <v>198</v>
      </c>
      <c r="BZ36" t="s">
        <v>198</v>
      </c>
      <c r="CA36" t="s">
        <v>198</v>
      </c>
      <c r="CB36" t="s">
        <v>204</v>
      </c>
      <c r="CC36" t="s">
        <v>204</v>
      </c>
      <c r="CD36" t="s">
        <v>204</v>
      </c>
      <c r="CE36" t="s">
        <v>204</v>
      </c>
      <c r="CF36" t="s">
        <v>204</v>
      </c>
      <c r="CG36" t="s">
        <v>204</v>
      </c>
      <c r="CH36" t="s">
        <v>204</v>
      </c>
      <c r="CI36" t="s">
        <v>204</v>
      </c>
      <c r="CJ36" t="s">
        <v>204</v>
      </c>
      <c r="CK36" t="s">
        <v>204</v>
      </c>
      <c r="CL36" t="s">
        <v>204</v>
      </c>
      <c r="CM36" t="s">
        <v>204</v>
      </c>
      <c r="CN36" t="s">
        <v>203</v>
      </c>
      <c r="CO36" t="s">
        <v>203</v>
      </c>
      <c r="CP36" t="s">
        <v>203</v>
      </c>
      <c r="CQ36" t="s">
        <v>203</v>
      </c>
      <c r="CR36" t="s">
        <v>203</v>
      </c>
      <c r="CS36" t="s">
        <v>203</v>
      </c>
      <c r="CT36" t="s">
        <v>203</v>
      </c>
      <c r="CU36" t="s">
        <v>203</v>
      </c>
      <c r="CV36">
        <v>0</v>
      </c>
      <c r="CW36">
        <v>0</v>
      </c>
      <c r="CX36" t="s">
        <v>198</v>
      </c>
      <c r="CY36" t="s">
        <v>198</v>
      </c>
      <c r="CZ36" t="s">
        <v>198</v>
      </c>
      <c r="DA36" t="s">
        <v>198</v>
      </c>
      <c r="DB36" t="s">
        <v>198</v>
      </c>
      <c r="DC36">
        <v>0</v>
      </c>
      <c r="DD36">
        <v>0</v>
      </c>
      <c r="DE36">
        <v>0</v>
      </c>
      <c r="DF36">
        <v>0</v>
      </c>
      <c r="DG36">
        <v>-35.3632621</v>
      </c>
      <c r="DH36">
        <v>149.1652374</v>
      </c>
      <c r="DI36" t="s">
        <v>205</v>
      </c>
      <c r="DJ36">
        <v>1.2</v>
      </c>
      <c r="DK36">
        <v>2</v>
      </c>
      <c r="DL36">
        <v>275.3</v>
      </c>
      <c r="DM36">
        <v>0</v>
      </c>
      <c r="DN36">
        <v>6</v>
      </c>
      <c r="DO36">
        <v>10</v>
      </c>
      <c r="DP36">
        <v>0</v>
      </c>
      <c r="DQ36">
        <v>255</v>
      </c>
      <c r="DR36">
        <v>255</v>
      </c>
      <c r="DS36">
        <v>255</v>
      </c>
      <c r="DT36">
        <v>255</v>
      </c>
      <c r="DU36">
        <v>255</v>
      </c>
      <c r="DV36">
        <v>255</v>
      </c>
      <c r="DW36">
        <v>255</v>
      </c>
      <c r="DX36" t="s">
        <v>206</v>
      </c>
      <c r="DY36" t="s">
        <v>206</v>
      </c>
      <c r="DZ36" t="s">
        <v>207</v>
      </c>
      <c r="EA36" t="s">
        <v>198</v>
      </c>
      <c r="EB36" t="s">
        <v>198</v>
      </c>
      <c r="EC36" t="s">
        <v>198</v>
      </c>
      <c r="ED36">
        <v>0</v>
      </c>
      <c r="EE36">
        <v>0</v>
      </c>
      <c r="EF36">
        <v>0</v>
      </c>
      <c r="EG36">
        <v>0</v>
      </c>
      <c r="EH36">
        <v>255</v>
      </c>
      <c r="EI36">
        <v>255</v>
      </c>
      <c r="EJ36">
        <v>255</v>
      </c>
      <c r="EK36">
        <v>255</v>
      </c>
      <c r="EL36">
        <v>255</v>
      </c>
      <c r="EM36">
        <v>255</v>
      </c>
      <c r="EN36">
        <v>255</v>
      </c>
      <c r="EO36">
        <v>255</v>
      </c>
      <c r="EP36">
        <v>255</v>
      </c>
      <c r="EQ36">
        <v>255</v>
      </c>
      <c r="ER36" t="s">
        <v>208</v>
      </c>
      <c r="ES36" t="s">
        <v>209</v>
      </c>
      <c r="ET36" t="s">
        <v>209</v>
      </c>
      <c r="EU36">
        <v>0</v>
      </c>
      <c r="EV36">
        <v>0</v>
      </c>
      <c r="EW36">
        <v>0</v>
      </c>
      <c r="EX36">
        <v>-18.2</v>
      </c>
      <c r="EY36">
        <v>0</v>
      </c>
      <c r="EZ36">
        <v>0</v>
      </c>
      <c r="FA36">
        <v>-2.5</v>
      </c>
      <c r="FB36" t="s">
        <v>198</v>
      </c>
      <c r="FC36" t="s">
        <v>198</v>
      </c>
      <c r="FD36" t="s">
        <v>198</v>
      </c>
      <c r="FE36" t="s">
        <v>198</v>
      </c>
      <c r="FF36" t="s">
        <v>198</v>
      </c>
      <c r="FG36" t="s">
        <v>198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203</v>
      </c>
      <c r="FP36" t="s">
        <v>203</v>
      </c>
      <c r="FQ36" t="s">
        <v>203</v>
      </c>
      <c r="FR36" t="s">
        <v>203</v>
      </c>
      <c r="FS36" t="s">
        <v>203</v>
      </c>
      <c r="FT36" t="s">
        <v>203</v>
      </c>
      <c r="FU36" t="s">
        <v>198</v>
      </c>
      <c r="FV36" t="s">
        <v>198</v>
      </c>
      <c r="FW36" t="s">
        <v>198</v>
      </c>
      <c r="FX36" t="s">
        <v>198</v>
      </c>
      <c r="FY36" t="s">
        <v>198</v>
      </c>
      <c r="FZ36" t="s">
        <v>198</v>
      </c>
      <c r="GA36">
        <v>31.08</v>
      </c>
      <c r="GB36">
        <v>31.08</v>
      </c>
      <c r="GC36" t="s">
        <v>203</v>
      </c>
      <c r="GD36">
        <v>0</v>
      </c>
      <c r="GE36">
        <v>504</v>
      </c>
      <c r="GF36">
        <v>0</v>
      </c>
      <c r="GG36">
        <v>0</v>
      </c>
      <c r="GH36">
        <v>0.3</v>
      </c>
      <c r="GI36">
        <v>0</v>
      </c>
      <c r="GJ36">
        <v>0</v>
      </c>
      <c r="GK36">
        <v>0</v>
      </c>
      <c r="GL36" t="s">
        <v>198</v>
      </c>
      <c r="GM36" t="s">
        <v>198</v>
      </c>
      <c r="GN36" t="s">
        <v>198</v>
      </c>
    </row>
    <row r="37" spans="1:196">
      <c r="A37" s="19">
        <v>46316.90430952546</v>
      </c>
      <c r="B37">
        <v>-0.1</v>
      </c>
      <c r="C37">
        <v>0</v>
      </c>
      <c r="D37">
        <v>359</v>
      </c>
      <c r="E37">
        <v>0</v>
      </c>
      <c r="F37">
        <v>0</v>
      </c>
      <c r="G37">
        <v>0</v>
      </c>
      <c r="H37">
        <v>0</v>
      </c>
      <c r="I37">
        <v>0</v>
      </c>
      <c r="J37">
        <v>0.001</v>
      </c>
      <c r="K37">
        <v>2.5</v>
      </c>
      <c r="L37">
        <v>20.5</v>
      </c>
      <c r="M37">
        <v>604.7</v>
      </c>
      <c r="N37">
        <v>18.4</v>
      </c>
      <c r="O37">
        <v>20.47</v>
      </c>
      <c r="P37">
        <v>20.466</v>
      </c>
      <c r="Q37">
        <v>0</v>
      </c>
      <c r="R37">
        <v>0</v>
      </c>
      <c r="S37">
        <v>0</v>
      </c>
      <c r="T37" t="s">
        <v>254</v>
      </c>
      <c r="U37">
        <v>0</v>
      </c>
      <c r="V37">
        <v>0</v>
      </c>
      <c r="W37">
        <v>1</v>
      </c>
      <c r="X37" t="s">
        <v>197</v>
      </c>
      <c r="Y37">
        <v>0</v>
      </c>
      <c r="Z37" t="s">
        <v>197</v>
      </c>
      <c r="AA37" t="s">
        <v>197</v>
      </c>
      <c r="AB37" t="s">
        <v>197</v>
      </c>
      <c r="AC37" t="s">
        <v>198</v>
      </c>
      <c r="AD37" t="s">
        <v>199</v>
      </c>
      <c r="AE37">
        <v>36</v>
      </c>
      <c r="AF37">
        <v>44</v>
      </c>
      <c r="AG37">
        <v>255</v>
      </c>
      <c r="AH37">
        <v>0</v>
      </c>
      <c r="AI37">
        <v>0</v>
      </c>
      <c r="AJ37">
        <v>0</v>
      </c>
      <c r="AK37">
        <v>12.6</v>
      </c>
      <c r="AL37">
        <v>0</v>
      </c>
      <c r="AM37">
        <v>0</v>
      </c>
      <c r="AN37" t="s">
        <v>197</v>
      </c>
      <c r="AO37">
        <v>100</v>
      </c>
      <c r="AP37" t="s">
        <v>197</v>
      </c>
      <c r="AQ37" t="s">
        <v>200</v>
      </c>
      <c r="AR37">
        <v>1</v>
      </c>
      <c r="AS37">
        <v>0</v>
      </c>
      <c r="AT37" t="s">
        <v>255</v>
      </c>
      <c r="AU37" t="s">
        <v>255</v>
      </c>
      <c r="AV37" t="s">
        <v>202</v>
      </c>
      <c r="AW37" t="s">
        <v>203</v>
      </c>
      <c r="AX37" t="s">
        <v>203</v>
      </c>
      <c r="AY37" t="s">
        <v>203</v>
      </c>
      <c r="AZ37" t="s">
        <v>203</v>
      </c>
      <c r="BA37" t="s">
        <v>203</v>
      </c>
      <c r="BB37" t="s">
        <v>203</v>
      </c>
      <c r="BC37" t="s">
        <v>203</v>
      </c>
      <c r="BD37" t="s">
        <v>203</v>
      </c>
      <c r="BE37" t="s">
        <v>203</v>
      </c>
      <c r="BF37">
        <v>19.12</v>
      </c>
      <c r="BG37">
        <v>0.2</v>
      </c>
      <c r="BH37">
        <v>50</v>
      </c>
      <c r="BI37">
        <v>0</v>
      </c>
      <c r="BJ37" t="s">
        <v>198</v>
      </c>
      <c r="BK37" t="s">
        <v>198</v>
      </c>
      <c r="BL37" t="s">
        <v>198</v>
      </c>
      <c r="BM37" t="s">
        <v>198</v>
      </c>
      <c r="BN37" t="s">
        <v>198</v>
      </c>
      <c r="BO37" t="s">
        <v>198</v>
      </c>
      <c r="BP37" t="s">
        <v>198</v>
      </c>
      <c r="BQ37" t="s">
        <v>198</v>
      </c>
      <c r="BR37" t="s">
        <v>198</v>
      </c>
      <c r="BS37" t="s">
        <v>198</v>
      </c>
      <c r="BT37" t="s">
        <v>198</v>
      </c>
      <c r="BU37" t="s">
        <v>198</v>
      </c>
      <c r="BV37" t="s">
        <v>198</v>
      </c>
      <c r="BW37" t="s">
        <v>198</v>
      </c>
      <c r="BX37" t="s">
        <v>198</v>
      </c>
      <c r="BY37" t="s">
        <v>198</v>
      </c>
      <c r="BZ37" t="s">
        <v>198</v>
      </c>
      <c r="CA37" t="s">
        <v>198</v>
      </c>
      <c r="CB37" t="s">
        <v>204</v>
      </c>
      <c r="CC37" t="s">
        <v>204</v>
      </c>
      <c r="CD37" t="s">
        <v>204</v>
      </c>
      <c r="CE37" t="s">
        <v>204</v>
      </c>
      <c r="CF37" t="s">
        <v>204</v>
      </c>
      <c r="CG37" t="s">
        <v>204</v>
      </c>
      <c r="CH37" t="s">
        <v>204</v>
      </c>
      <c r="CI37" t="s">
        <v>204</v>
      </c>
      <c r="CJ37" t="s">
        <v>204</v>
      </c>
      <c r="CK37" t="s">
        <v>204</v>
      </c>
      <c r="CL37" t="s">
        <v>204</v>
      </c>
      <c r="CM37" t="s">
        <v>204</v>
      </c>
      <c r="CN37" t="s">
        <v>203</v>
      </c>
      <c r="CO37" t="s">
        <v>203</v>
      </c>
      <c r="CP37" t="s">
        <v>203</v>
      </c>
      <c r="CQ37" t="s">
        <v>203</v>
      </c>
      <c r="CR37" t="s">
        <v>203</v>
      </c>
      <c r="CS37" t="s">
        <v>203</v>
      </c>
      <c r="CT37" t="s">
        <v>203</v>
      </c>
      <c r="CU37" t="s">
        <v>203</v>
      </c>
      <c r="CV37">
        <v>0</v>
      </c>
      <c r="CW37">
        <v>0</v>
      </c>
      <c r="CX37" t="s">
        <v>198</v>
      </c>
      <c r="CY37" t="s">
        <v>198</v>
      </c>
      <c r="CZ37" t="s">
        <v>198</v>
      </c>
      <c r="DA37" t="s">
        <v>198</v>
      </c>
      <c r="DB37" t="s">
        <v>198</v>
      </c>
      <c r="DC37">
        <v>0</v>
      </c>
      <c r="DD37">
        <v>0</v>
      </c>
      <c r="DE37">
        <v>0</v>
      </c>
      <c r="DF37">
        <v>0</v>
      </c>
      <c r="DG37">
        <v>-35.3632621</v>
      </c>
      <c r="DH37">
        <v>149.1652374</v>
      </c>
      <c r="DI37" t="s">
        <v>205</v>
      </c>
      <c r="DJ37">
        <v>1.2</v>
      </c>
      <c r="DK37">
        <v>2</v>
      </c>
      <c r="DL37">
        <v>270.2</v>
      </c>
      <c r="DM37">
        <v>0</v>
      </c>
      <c r="DN37">
        <v>6</v>
      </c>
      <c r="DO37">
        <v>10</v>
      </c>
      <c r="DP37">
        <v>0</v>
      </c>
      <c r="DQ37">
        <v>255</v>
      </c>
      <c r="DR37">
        <v>255</v>
      </c>
      <c r="DS37">
        <v>255</v>
      </c>
      <c r="DT37">
        <v>255</v>
      </c>
      <c r="DU37">
        <v>255</v>
      </c>
      <c r="DV37">
        <v>255</v>
      </c>
      <c r="DW37">
        <v>255</v>
      </c>
      <c r="DX37" t="s">
        <v>206</v>
      </c>
      <c r="DY37" t="s">
        <v>206</v>
      </c>
      <c r="DZ37" t="s">
        <v>207</v>
      </c>
      <c r="EA37" t="s">
        <v>198</v>
      </c>
      <c r="EB37" t="s">
        <v>198</v>
      </c>
      <c r="EC37" t="s">
        <v>198</v>
      </c>
      <c r="ED37">
        <v>0</v>
      </c>
      <c r="EE37">
        <v>0</v>
      </c>
      <c r="EF37">
        <v>0</v>
      </c>
      <c r="EG37">
        <v>0</v>
      </c>
      <c r="EH37">
        <v>255</v>
      </c>
      <c r="EI37">
        <v>255</v>
      </c>
      <c r="EJ37">
        <v>255</v>
      </c>
      <c r="EK37">
        <v>255</v>
      </c>
      <c r="EL37">
        <v>255</v>
      </c>
      <c r="EM37">
        <v>255</v>
      </c>
      <c r="EN37">
        <v>255</v>
      </c>
      <c r="EO37">
        <v>255</v>
      </c>
      <c r="EP37">
        <v>255</v>
      </c>
      <c r="EQ37">
        <v>255</v>
      </c>
      <c r="ER37" t="s">
        <v>208</v>
      </c>
      <c r="ES37" t="s">
        <v>209</v>
      </c>
      <c r="ET37" t="s">
        <v>209</v>
      </c>
      <c r="EU37">
        <v>0</v>
      </c>
      <c r="EV37">
        <v>0</v>
      </c>
      <c r="EW37">
        <v>0</v>
      </c>
      <c r="EX37">
        <v>-20.7</v>
      </c>
      <c r="EY37">
        <v>0</v>
      </c>
      <c r="EZ37">
        <v>0</v>
      </c>
      <c r="FA37">
        <v>-2.5</v>
      </c>
      <c r="FB37" t="s">
        <v>198</v>
      </c>
      <c r="FC37" t="s">
        <v>198</v>
      </c>
      <c r="FD37" t="s">
        <v>198</v>
      </c>
      <c r="FE37" t="s">
        <v>198</v>
      </c>
      <c r="FF37" t="s">
        <v>198</v>
      </c>
      <c r="FG37" t="s">
        <v>198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203</v>
      </c>
      <c r="FP37" t="s">
        <v>203</v>
      </c>
      <c r="FQ37" t="s">
        <v>203</v>
      </c>
      <c r="FR37" t="s">
        <v>203</v>
      </c>
      <c r="FS37" t="s">
        <v>203</v>
      </c>
      <c r="FT37" t="s">
        <v>203</v>
      </c>
      <c r="FU37" t="s">
        <v>198</v>
      </c>
      <c r="FV37" t="s">
        <v>198</v>
      </c>
      <c r="FW37" t="s">
        <v>198</v>
      </c>
      <c r="FX37" t="s">
        <v>198</v>
      </c>
      <c r="FY37" t="s">
        <v>198</v>
      </c>
      <c r="FZ37" t="s">
        <v>198</v>
      </c>
      <c r="GA37">
        <v>31.07</v>
      </c>
      <c r="GB37">
        <v>31.06</v>
      </c>
      <c r="GC37" t="s">
        <v>203</v>
      </c>
      <c r="GD37">
        <v>0</v>
      </c>
      <c r="GE37">
        <v>504</v>
      </c>
      <c r="GF37">
        <v>0</v>
      </c>
      <c r="GG37">
        <v>0</v>
      </c>
      <c r="GH37">
        <v>0.3</v>
      </c>
      <c r="GI37">
        <v>0</v>
      </c>
      <c r="GJ37">
        <v>0</v>
      </c>
      <c r="GK37">
        <v>0</v>
      </c>
      <c r="GL37" t="s">
        <v>198</v>
      </c>
      <c r="GM37" t="s">
        <v>198</v>
      </c>
      <c r="GN37" t="s">
        <v>198</v>
      </c>
    </row>
    <row r="38" spans="1:196">
      <c r="A38" s="19">
        <v>46316.90432109954</v>
      </c>
      <c r="B38">
        <v>-0.1</v>
      </c>
      <c r="C38">
        <v>0</v>
      </c>
      <c r="D38">
        <v>359</v>
      </c>
      <c r="E38">
        <v>0</v>
      </c>
      <c r="F38">
        <v>0</v>
      </c>
      <c r="G38">
        <v>0</v>
      </c>
      <c r="H38">
        <v>0</v>
      </c>
      <c r="I38">
        <v>0</v>
      </c>
      <c r="J38">
        <v>0.003</v>
      </c>
      <c r="K38">
        <v>2.5</v>
      </c>
      <c r="L38">
        <v>23</v>
      </c>
      <c r="M38">
        <v>607.2</v>
      </c>
      <c r="N38">
        <v>20.9</v>
      </c>
      <c r="O38">
        <v>22.97</v>
      </c>
      <c r="P38">
        <v>22.966</v>
      </c>
      <c r="Q38">
        <v>0</v>
      </c>
      <c r="R38">
        <v>0</v>
      </c>
      <c r="S38">
        <v>0</v>
      </c>
      <c r="T38" t="s">
        <v>256</v>
      </c>
      <c r="U38">
        <v>0</v>
      </c>
      <c r="V38">
        <v>0</v>
      </c>
      <c r="W38">
        <v>1</v>
      </c>
      <c r="X38" t="s">
        <v>197</v>
      </c>
      <c r="Y38">
        <v>0</v>
      </c>
      <c r="Z38" t="s">
        <v>197</v>
      </c>
      <c r="AA38" t="s">
        <v>197</v>
      </c>
      <c r="AB38" t="s">
        <v>197</v>
      </c>
      <c r="AC38" t="s">
        <v>198</v>
      </c>
      <c r="AD38" t="s">
        <v>199</v>
      </c>
      <c r="AE38">
        <v>36</v>
      </c>
      <c r="AF38">
        <v>44</v>
      </c>
      <c r="AG38">
        <v>255</v>
      </c>
      <c r="AH38">
        <v>0</v>
      </c>
      <c r="AI38">
        <v>0</v>
      </c>
      <c r="AJ38">
        <v>0</v>
      </c>
      <c r="AK38">
        <v>12.6</v>
      </c>
      <c r="AL38">
        <v>0</v>
      </c>
      <c r="AM38">
        <v>0</v>
      </c>
      <c r="AN38" t="s">
        <v>197</v>
      </c>
      <c r="AO38">
        <v>100</v>
      </c>
      <c r="AP38" t="s">
        <v>197</v>
      </c>
      <c r="AQ38" t="s">
        <v>200</v>
      </c>
      <c r="AR38">
        <v>1</v>
      </c>
      <c r="AS38">
        <v>0</v>
      </c>
      <c r="AT38" t="s">
        <v>257</v>
      </c>
      <c r="AU38" t="s">
        <v>257</v>
      </c>
      <c r="AV38" t="s">
        <v>202</v>
      </c>
      <c r="AW38" t="s">
        <v>203</v>
      </c>
      <c r="AX38" t="s">
        <v>203</v>
      </c>
      <c r="AY38" t="s">
        <v>203</v>
      </c>
      <c r="AZ38" t="s">
        <v>203</v>
      </c>
      <c r="BA38" t="s">
        <v>203</v>
      </c>
      <c r="BB38" t="s">
        <v>203</v>
      </c>
      <c r="BC38" t="s">
        <v>203</v>
      </c>
      <c r="BD38" t="s">
        <v>203</v>
      </c>
      <c r="BE38" t="s">
        <v>203</v>
      </c>
      <c r="BF38">
        <v>21.62</v>
      </c>
      <c r="BG38">
        <v>0.2</v>
      </c>
      <c r="BH38">
        <v>50</v>
      </c>
      <c r="BI38">
        <v>0</v>
      </c>
      <c r="BJ38" t="s">
        <v>198</v>
      </c>
      <c r="BK38" t="s">
        <v>198</v>
      </c>
      <c r="BL38" t="s">
        <v>198</v>
      </c>
      <c r="BM38" t="s">
        <v>198</v>
      </c>
      <c r="BN38" t="s">
        <v>198</v>
      </c>
      <c r="BO38" t="s">
        <v>198</v>
      </c>
      <c r="BP38" t="s">
        <v>198</v>
      </c>
      <c r="BQ38" t="s">
        <v>198</v>
      </c>
      <c r="BR38" t="s">
        <v>198</v>
      </c>
      <c r="BS38" t="s">
        <v>198</v>
      </c>
      <c r="BT38" t="s">
        <v>198</v>
      </c>
      <c r="BU38" t="s">
        <v>198</v>
      </c>
      <c r="BV38" t="s">
        <v>198</v>
      </c>
      <c r="BW38" t="s">
        <v>198</v>
      </c>
      <c r="BX38" t="s">
        <v>198</v>
      </c>
      <c r="BY38" t="s">
        <v>198</v>
      </c>
      <c r="BZ38" t="s">
        <v>198</v>
      </c>
      <c r="CA38" t="s">
        <v>198</v>
      </c>
      <c r="CB38" t="s">
        <v>204</v>
      </c>
      <c r="CC38" t="s">
        <v>204</v>
      </c>
      <c r="CD38" t="s">
        <v>204</v>
      </c>
      <c r="CE38" t="s">
        <v>204</v>
      </c>
      <c r="CF38" t="s">
        <v>204</v>
      </c>
      <c r="CG38" t="s">
        <v>204</v>
      </c>
      <c r="CH38" t="s">
        <v>204</v>
      </c>
      <c r="CI38" t="s">
        <v>204</v>
      </c>
      <c r="CJ38" t="s">
        <v>204</v>
      </c>
      <c r="CK38" t="s">
        <v>204</v>
      </c>
      <c r="CL38" t="s">
        <v>204</v>
      </c>
      <c r="CM38" t="s">
        <v>204</v>
      </c>
      <c r="CN38" t="s">
        <v>203</v>
      </c>
      <c r="CO38" t="s">
        <v>203</v>
      </c>
      <c r="CP38" t="s">
        <v>203</v>
      </c>
      <c r="CQ38" t="s">
        <v>203</v>
      </c>
      <c r="CR38" t="s">
        <v>203</v>
      </c>
      <c r="CS38" t="s">
        <v>203</v>
      </c>
      <c r="CT38" t="s">
        <v>203</v>
      </c>
      <c r="CU38" t="s">
        <v>203</v>
      </c>
      <c r="CV38">
        <v>0</v>
      </c>
      <c r="CW38">
        <v>0</v>
      </c>
      <c r="CX38" t="s">
        <v>198</v>
      </c>
      <c r="CY38" t="s">
        <v>198</v>
      </c>
      <c r="CZ38" t="s">
        <v>198</v>
      </c>
      <c r="DA38" t="s">
        <v>198</v>
      </c>
      <c r="DB38" t="s">
        <v>198</v>
      </c>
      <c r="DC38">
        <v>0</v>
      </c>
      <c r="DD38">
        <v>0</v>
      </c>
      <c r="DE38">
        <v>0</v>
      </c>
      <c r="DF38">
        <v>0</v>
      </c>
      <c r="DG38">
        <v>-35.3632621</v>
      </c>
      <c r="DH38">
        <v>149.1652374</v>
      </c>
      <c r="DI38" t="s">
        <v>205</v>
      </c>
      <c r="DJ38">
        <v>1.2</v>
      </c>
      <c r="DK38">
        <v>2</v>
      </c>
      <c r="DL38">
        <v>88.09999999999999</v>
      </c>
      <c r="DM38">
        <v>0</v>
      </c>
      <c r="DN38">
        <v>6</v>
      </c>
      <c r="DO38">
        <v>10</v>
      </c>
      <c r="DP38">
        <v>0</v>
      </c>
      <c r="DQ38">
        <v>255</v>
      </c>
      <c r="DR38">
        <v>255</v>
      </c>
      <c r="DS38">
        <v>255</v>
      </c>
      <c r="DT38">
        <v>255</v>
      </c>
      <c r="DU38">
        <v>255</v>
      </c>
      <c r="DV38">
        <v>255</v>
      </c>
      <c r="DW38">
        <v>255</v>
      </c>
      <c r="DX38" t="s">
        <v>206</v>
      </c>
      <c r="DY38" t="s">
        <v>206</v>
      </c>
      <c r="DZ38" t="s">
        <v>207</v>
      </c>
      <c r="EA38" t="s">
        <v>198</v>
      </c>
      <c r="EB38" t="s">
        <v>198</v>
      </c>
      <c r="EC38" t="s">
        <v>198</v>
      </c>
      <c r="ED38">
        <v>0</v>
      </c>
      <c r="EE38">
        <v>0</v>
      </c>
      <c r="EF38">
        <v>0</v>
      </c>
      <c r="EG38">
        <v>0</v>
      </c>
      <c r="EH38">
        <v>255</v>
      </c>
      <c r="EI38">
        <v>255</v>
      </c>
      <c r="EJ38">
        <v>255</v>
      </c>
      <c r="EK38">
        <v>255</v>
      </c>
      <c r="EL38">
        <v>255</v>
      </c>
      <c r="EM38">
        <v>255</v>
      </c>
      <c r="EN38">
        <v>255</v>
      </c>
      <c r="EO38">
        <v>255</v>
      </c>
      <c r="EP38">
        <v>255</v>
      </c>
      <c r="EQ38">
        <v>255</v>
      </c>
      <c r="ER38" t="s">
        <v>208</v>
      </c>
      <c r="ES38" t="s">
        <v>209</v>
      </c>
      <c r="ET38" t="s">
        <v>209</v>
      </c>
      <c r="EU38">
        <v>0</v>
      </c>
      <c r="EV38">
        <v>0</v>
      </c>
      <c r="EW38">
        <v>0</v>
      </c>
      <c r="EX38">
        <v>-23.2</v>
      </c>
      <c r="EY38">
        <v>0</v>
      </c>
      <c r="EZ38">
        <v>0</v>
      </c>
      <c r="FA38">
        <v>-2.5</v>
      </c>
      <c r="FB38" t="s">
        <v>198</v>
      </c>
      <c r="FC38" t="s">
        <v>198</v>
      </c>
      <c r="FD38" t="s">
        <v>198</v>
      </c>
      <c r="FE38" t="s">
        <v>198</v>
      </c>
      <c r="FF38" t="s">
        <v>198</v>
      </c>
      <c r="FG38" t="s">
        <v>198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 t="s">
        <v>203</v>
      </c>
      <c r="FP38" t="s">
        <v>203</v>
      </c>
      <c r="FQ38" t="s">
        <v>203</v>
      </c>
      <c r="FR38" t="s">
        <v>203</v>
      </c>
      <c r="FS38" t="s">
        <v>203</v>
      </c>
      <c r="FT38" t="s">
        <v>203</v>
      </c>
      <c r="FU38" t="s">
        <v>198</v>
      </c>
      <c r="FV38" t="s">
        <v>198</v>
      </c>
      <c r="FW38" t="s">
        <v>198</v>
      </c>
      <c r="FX38" t="s">
        <v>198</v>
      </c>
      <c r="FY38" t="s">
        <v>198</v>
      </c>
      <c r="FZ38" t="s">
        <v>198</v>
      </c>
      <c r="GA38">
        <v>31.05</v>
      </c>
      <c r="GB38">
        <v>31.05</v>
      </c>
      <c r="GC38" t="s">
        <v>203</v>
      </c>
      <c r="GD38">
        <v>0</v>
      </c>
      <c r="GE38">
        <v>504</v>
      </c>
      <c r="GF38">
        <v>0</v>
      </c>
      <c r="GG38">
        <v>0</v>
      </c>
      <c r="GH38">
        <v>0.3</v>
      </c>
      <c r="GI38">
        <v>0</v>
      </c>
      <c r="GJ38">
        <v>0</v>
      </c>
      <c r="GK38">
        <v>0</v>
      </c>
      <c r="GL38" t="s">
        <v>198</v>
      </c>
      <c r="GM38" t="s">
        <v>198</v>
      </c>
      <c r="GN38" t="s">
        <v>198</v>
      </c>
    </row>
    <row r="39" spans="1:196">
      <c r="A39" s="19">
        <v>46316.90433266204</v>
      </c>
      <c r="B39">
        <v>0.1</v>
      </c>
      <c r="C39">
        <v>0</v>
      </c>
      <c r="D39">
        <v>359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2.5</v>
      </c>
      <c r="L39">
        <v>25.5</v>
      </c>
      <c r="M39">
        <v>609.7</v>
      </c>
      <c r="N39">
        <v>23.4</v>
      </c>
      <c r="O39">
        <v>25.47</v>
      </c>
      <c r="P39">
        <v>25.466</v>
      </c>
      <c r="Q39">
        <v>0</v>
      </c>
      <c r="R39">
        <v>0</v>
      </c>
      <c r="S39">
        <v>0</v>
      </c>
      <c r="T39" t="s">
        <v>258</v>
      </c>
      <c r="U39">
        <v>0</v>
      </c>
      <c r="V39">
        <v>0</v>
      </c>
      <c r="W39">
        <v>1</v>
      </c>
      <c r="X39" t="s">
        <v>197</v>
      </c>
      <c r="Y39">
        <v>0</v>
      </c>
      <c r="Z39" t="s">
        <v>197</v>
      </c>
      <c r="AA39" t="s">
        <v>197</v>
      </c>
      <c r="AB39" t="s">
        <v>197</v>
      </c>
      <c r="AC39" t="s">
        <v>198</v>
      </c>
      <c r="AD39" t="s">
        <v>199</v>
      </c>
      <c r="AE39">
        <v>36</v>
      </c>
      <c r="AF39">
        <v>44</v>
      </c>
      <c r="AG39">
        <v>255</v>
      </c>
      <c r="AH39">
        <v>0</v>
      </c>
      <c r="AI39">
        <v>0</v>
      </c>
      <c r="AJ39">
        <v>0</v>
      </c>
      <c r="AK39">
        <v>12.6</v>
      </c>
      <c r="AL39">
        <v>0</v>
      </c>
      <c r="AM39">
        <v>0</v>
      </c>
      <c r="AN39" t="s">
        <v>197</v>
      </c>
      <c r="AO39">
        <v>100</v>
      </c>
      <c r="AP39" t="s">
        <v>197</v>
      </c>
      <c r="AQ39" t="s">
        <v>200</v>
      </c>
      <c r="AR39">
        <v>1</v>
      </c>
      <c r="AS39">
        <v>0</v>
      </c>
      <c r="AT39" t="s">
        <v>259</v>
      </c>
      <c r="AU39" t="s">
        <v>259</v>
      </c>
      <c r="AV39" t="s">
        <v>202</v>
      </c>
      <c r="AW39" t="s">
        <v>203</v>
      </c>
      <c r="AX39" t="s">
        <v>203</v>
      </c>
      <c r="AY39" t="s">
        <v>203</v>
      </c>
      <c r="AZ39" t="s">
        <v>203</v>
      </c>
      <c r="BA39" t="s">
        <v>203</v>
      </c>
      <c r="BB39" t="s">
        <v>203</v>
      </c>
      <c r="BC39" t="s">
        <v>203</v>
      </c>
      <c r="BD39" t="s">
        <v>203</v>
      </c>
      <c r="BE39" t="s">
        <v>203</v>
      </c>
      <c r="BF39">
        <v>24.12</v>
      </c>
      <c r="BG39">
        <v>0.2</v>
      </c>
      <c r="BH39">
        <v>50</v>
      </c>
      <c r="BI39">
        <v>0</v>
      </c>
      <c r="BJ39" t="s">
        <v>198</v>
      </c>
      <c r="BK39" t="s">
        <v>198</v>
      </c>
      <c r="BL39" t="s">
        <v>198</v>
      </c>
      <c r="BM39" t="s">
        <v>198</v>
      </c>
      <c r="BN39" t="s">
        <v>198</v>
      </c>
      <c r="BO39" t="s">
        <v>198</v>
      </c>
      <c r="BP39" t="s">
        <v>198</v>
      </c>
      <c r="BQ39" t="s">
        <v>198</v>
      </c>
      <c r="BR39" t="s">
        <v>198</v>
      </c>
      <c r="BS39" t="s">
        <v>198</v>
      </c>
      <c r="BT39" t="s">
        <v>198</v>
      </c>
      <c r="BU39" t="s">
        <v>198</v>
      </c>
      <c r="BV39" t="s">
        <v>198</v>
      </c>
      <c r="BW39" t="s">
        <v>198</v>
      </c>
      <c r="BX39" t="s">
        <v>198</v>
      </c>
      <c r="BY39" t="s">
        <v>198</v>
      </c>
      <c r="BZ39" t="s">
        <v>198</v>
      </c>
      <c r="CA39" t="s">
        <v>198</v>
      </c>
      <c r="CB39" t="s">
        <v>204</v>
      </c>
      <c r="CC39" t="s">
        <v>204</v>
      </c>
      <c r="CD39" t="s">
        <v>204</v>
      </c>
      <c r="CE39" t="s">
        <v>204</v>
      </c>
      <c r="CF39" t="s">
        <v>204</v>
      </c>
      <c r="CG39" t="s">
        <v>204</v>
      </c>
      <c r="CH39" t="s">
        <v>204</v>
      </c>
      <c r="CI39" t="s">
        <v>204</v>
      </c>
      <c r="CJ39" t="s">
        <v>204</v>
      </c>
      <c r="CK39" t="s">
        <v>204</v>
      </c>
      <c r="CL39" t="s">
        <v>204</v>
      </c>
      <c r="CM39" t="s">
        <v>204</v>
      </c>
      <c r="CN39" t="s">
        <v>203</v>
      </c>
      <c r="CO39" t="s">
        <v>203</v>
      </c>
      <c r="CP39" t="s">
        <v>203</v>
      </c>
      <c r="CQ39" t="s">
        <v>203</v>
      </c>
      <c r="CR39" t="s">
        <v>203</v>
      </c>
      <c r="CS39" t="s">
        <v>203</v>
      </c>
      <c r="CT39" t="s">
        <v>203</v>
      </c>
      <c r="CU39" t="s">
        <v>203</v>
      </c>
      <c r="CV39">
        <v>0</v>
      </c>
      <c r="CW39">
        <v>0</v>
      </c>
      <c r="CX39" t="s">
        <v>198</v>
      </c>
      <c r="CY39" t="s">
        <v>198</v>
      </c>
      <c r="CZ39" t="s">
        <v>198</v>
      </c>
      <c r="DA39" t="s">
        <v>198</v>
      </c>
      <c r="DB39" t="s">
        <v>198</v>
      </c>
      <c r="DC39">
        <v>0</v>
      </c>
      <c r="DD39">
        <v>0</v>
      </c>
      <c r="DE39">
        <v>0</v>
      </c>
      <c r="DF39">
        <v>0</v>
      </c>
      <c r="DG39">
        <v>-35.3632621</v>
      </c>
      <c r="DH39">
        <v>149.1652374</v>
      </c>
      <c r="DI39" t="s">
        <v>205</v>
      </c>
      <c r="DJ39">
        <v>1.2</v>
      </c>
      <c r="DK39">
        <v>2</v>
      </c>
      <c r="DL39">
        <v>86.90000000000001</v>
      </c>
      <c r="DM39">
        <v>0</v>
      </c>
      <c r="DN39">
        <v>6</v>
      </c>
      <c r="DO39">
        <v>10</v>
      </c>
      <c r="DP39">
        <v>0</v>
      </c>
      <c r="DQ39">
        <v>255</v>
      </c>
      <c r="DR39">
        <v>255</v>
      </c>
      <c r="DS39">
        <v>255</v>
      </c>
      <c r="DT39">
        <v>255</v>
      </c>
      <c r="DU39">
        <v>255</v>
      </c>
      <c r="DV39">
        <v>255</v>
      </c>
      <c r="DW39">
        <v>255</v>
      </c>
      <c r="DX39" t="s">
        <v>206</v>
      </c>
      <c r="DY39" t="s">
        <v>206</v>
      </c>
      <c r="DZ39" t="s">
        <v>207</v>
      </c>
      <c r="EA39" t="s">
        <v>198</v>
      </c>
      <c r="EB39" t="s">
        <v>198</v>
      </c>
      <c r="EC39" t="s">
        <v>198</v>
      </c>
      <c r="ED39">
        <v>0</v>
      </c>
      <c r="EE39">
        <v>0</v>
      </c>
      <c r="EF39">
        <v>0</v>
      </c>
      <c r="EG39">
        <v>0</v>
      </c>
      <c r="EH39">
        <v>255</v>
      </c>
      <c r="EI39">
        <v>255</v>
      </c>
      <c r="EJ39">
        <v>255</v>
      </c>
      <c r="EK39">
        <v>255</v>
      </c>
      <c r="EL39">
        <v>255</v>
      </c>
      <c r="EM39">
        <v>255</v>
      </c>
      <c r="EN39">
        <v>255</v>
      </c>
      <c r="EO39">
        <v>255</v>
      </c>
      <c r="EP39">
        <v>255</v>
      </c>
      <c r="EQ39">
        <v>255</v>
      </c>
      <c r="ER39" t="s">
        <v>208</v>
      </c>
      <c r="ES39" t="s">
        <v>209</v>
      </c>
      <c r="ET39" t="s">
        <v>209</v>
      </c>
      <c r="EU39">
        <v>0</v>
      </c>
      <c r="EV39">
        <v>0</v>
      </c>
      <c r="EW39">
        <v>0</v>
      </c>
      <c r="EX39">
        <v>-25.7</v>
      </c>
      <c r="EY39">
        <v>0</v>
      </c>
      <c r="EZ39">
        <v>0</v>
      </c>
      <c r="FA39">
        <v>-2.5</v>
      </c>
      <c r="FB39" t="s">
        <v>198</v>
      </c>
      <c r="FC39" t="s">
        <v>198</v>
      </c>
      <c r="FD39" t="s">
        <v>198</v>
      </c>
      <c r="FE39" t="s">
        <v>198</v>
      </c>
      <c r="FF39" t="s">
        <v>198</v>
      </c>
      <c r="FG39" t="s">
        <v>198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 t="s">
        <v>203</v>
      </c>
      <c r="FP39" t="s">
        <v>203</v>
      </c>
      <c r="FQ39" t="s">
        <v>203</v>
      </c>
      <c r="FR39" t="s">
        <v>203</v>
      </c>
      <c r="FS39" t="s">
        <v>203</v>
      </c>
      <c r="FT39" t="s">
        <v>203</v>
      </c>
      <c r="FU39" t="s">
        <v>198</v>
      </c>
      <c r="FV39" t="s">
        <v>198</v>
      </c>
      <c r="FW39" t="s">
        <v>198</v>
      </c>
      <c r="FX39" t="s">
        <v>198</v>
      </c>
      <c r="FY39" t="s">
        <v>198</v>
      </c>
      <c r="FZ39" t="s">
        <v>198</v>
      </c>
      <c r="GA39">
        <v>31.03</v>
      </c>
      <c r="GB39">
        <v>31.03</v>
      </c>
      <c r="GC39" t="s">
        <v>203</v>
      </c>
      <c r="GD39">
        <v>0</v>
      </c>
      <c r="GE39">
        <v>504</v>
      </c>
      <c r="GF39">
        <v>0</v>
      </c>
      <c r="GG39">
        <v>0</v>
      </c>
      <c r="GH39">
        <v>0.3</v>
      </c>
      <c r="GI39">
        <v>0</v>
      </c>
      <c r="GJ39">
        <v>0</v>
      </c>
      <c r="GK39">
        <v>0</v>
      </c>
      <c r="GL39" t="s">
        <v>198</v>
      </c>
      <c r="GM39" t="s">
        <v>198</v>
      </c>
      <c r="GN39" t="s">
        <v>198</v>
      </c>
    </row>
    <row r="40" spans="1:196">
      <c r="A40" s="19">
        <v>46316.90434424768</v>
      </c>
      <c r="B40">
        <v>0.1</v>
      </c>
      <c r="C40">
        <v>0</v>
      </c>
      <c r="D40">
        <v>359</v>
      </c>
      <c r="E40">
        <v>0</v>
      </c>
      <c r="F40">
        <v>0</v>
      </c>
      <c r="G40">
        <v>0</v>
      </c>
      <c r="H40">
        <v>0</v>
      </c>
      <c r="I40">
        <v>0</v>
      </c>
      <c r="J40">
        <v>0.002</v>
      </c>
      <c r="K40">
        <v>2.5</v>
      </c>
      <c r="L40">
        <v>28</v>
      </c>
      <c r="M40">
        <v>612.1</v>
      </c>
      <c r="N40">
        <v>25.9</v>
      </c>
      <c r="O40">
        <v>27.96</v>
      </c>
      <c r="P40">
        <v>27.966</v>
      </c>
      <c r="Q40">
        <v>0</v>
      </c>
      <c r="R40">
        <v>0</v>
      </c>
      <c r="S40">
        <v>0</v>
      </c>
      <c r="T40" t="s">
        <v>260</v>
      </c>
      <c r="U40">
        <v>0</v>
      </c>
      <c r="V40">
        <v>0</v>
      </c>
      <c r="W40">
        <v>1</v>
      </c>
      <c r="X40" t="s">
        <v>197</v>
      </c>
      <c r="Y40">
        <v>0</v>
      </c>
      <c r="Z40" t="s">
        <v>197</v>
      </c>
      <c r="AA40" t="s">
        <v>197</v>
      </c>
      <c r="AB40" t="s">
        <v>197</v>
      </c>
      <c r="AC40" t="s">
        <v>198</v>
      </c>
      <c r="AD40" t="s">
        <v>199</v>
      </c>
      <c r="AE40">
        <v>36</v>
      </c>
      <c r="AF40">
        <v>44</v>
      </c>
      <c r="AG40">
        <v>255</v>
      </c>
      <c r="AH40">
        <v>0</v>
      </c>
      <c r="AI40">
        <v>0</v>
      </c>
      <c r="AJ40">
        <v>0</v>
      </c>
      <c r="AK40">
        <v>12.6</v>
      </c>
      <c r="AL40">
        <v>0</v>
      </c>
      <c r="AM40">
        <v>0</v>
      </c>
      <c r="AN40" t="s">
        <v>197</v>
      </c>
      <c r="AO40">
        <v>100</v>
      </c>
      <c r="AP40" t="s">
        <v>197</v>
      </c>
      <c r="AQ40" t="s">
        <v>200</v>
      </c>
      <c r="AR40">
        <v>1</v>
      </c>
      <c r="AS40">
        <v>0</v>
      </c>
      <c r="AT40" t="s">
        <v>261</v>
      </c>
      <c r="AU40" t="s">
        <v>261</v>
      </c>
      <c r="AV40" t="s">
        <v>202</v>
      </c>
      <c r="AW40" t="s">
        <v>203</v>
      </c>
      <c r="AX40" t="s">
        <v>203</v>
      </c>
      <c r="AY40" t="s">
        <v>203</v>
      </c>
      <c r="AZ40" t="s">
        <v>203</v>
      </c>
      <c r="BA40" t="s">
        <v>203</v>
      </c>
      <c r="BB40" t="s">
        <v>203</v>
      </c>
      <c r="BC40" t="s">
        <v>203</v>
      </c>
      <c r="BD40" t="s">
        <v>203</v>
      </c>
      <c r="BE40" t="s">
        <v>203</v>
      </c>
      <c r="BF40">
        <v>26.62</v>
      </c>
      <c r="BG40">
        <v>0.2</v>
      </c>
      <c r="BH40">
        <v>50</v>
      </c>
      <c r="BI40">
        <v>0</v>
      </c>
      <c r="BJ40" t="s">
        <v>198</v>
      </c>
      <c r="BK40" t="s">
        <v>198</v>
      </c>
      <c r="BL40" t="s">
        <v>198</v>
      </c>
      <c r="BM40" t="s">
        <v>198</v>
      </c>
      <c r="BN40" t="s">
        <v>198</v>
      </c>
      <c r="BO40" t="s">
        <v>198</v>
      </c>
      <c r="BP40" t="s">
        <v>198</v>
      </c>
      <c r="BQ40" t="s">
        <v>198</v>
      </c>
      <c r="BR40" t="s">
        <v>198</v>
      </c>
      <c r="BS40" t="s">
        <v>198</v>
      </c>
      <c r="BT40" t="s">
        <v>198</v>
      </c>
      <c r="BU40" t="s">
        <v>198</v>
      </c>
      <c r="BV40" t="s">
        <v>198</v>
      </c>
      <c r="BW40" t="s">
        <v>198</v>
      </c>
      <c r="BX40" t="s">
        <v>198</v>
      </c>
      <c r="BY40" t="s">
        <v>198</v>
      </c>
      <c r="BZ40" t="s">
        <v>198</v>
      </c>
      <c r="CA40" t="s">
        <v>198</v>
      </c>
      <c r="CB40" t="s">
        <v>204</v>
      </c>
      <c r="CC40" t="s">
        <v>204</v>
      </c>
      <c r="CD40" t="s">
        <v>204</v>
      </c>
      <c r="CE40" t="s">
        <v>204</v>
      </c>
      <c r="CF40" t="s">
        <v>204</v>
      </c>
      <c r="CG40" t="s">
        <v>204</v>
      </c>
      <c r="CH40" t="s">
        <v>204</v>
      </c>
      <c r="CI40" t="s">
        <v>204</v>
      </c>
      <c r="CJ40" t="s">
        <v>204</v>
      </c>
      <c r="CK40" t="s">
        <v>204</v>
      </c>
      <c r="CL40" t="s">
        <v>204</v>
      </c>
      <c r="CM40" t="s">
        <v>204</v>
      </c>
      <c r="CN40" t="s">
        <v>203</v>
      </c>
      <c r="CO40" t="s">
        <v>203</v>
      </c>
      <c r="CP40" t="s">
        <v>203</v>
      </c>
      <c r="CQ40" t="s">
        <v>203</v>
      </c>
      <c r="CR40" t="s">
        <v>203</v>
      </c>
      <c r="CS40" t="s">
        <v>203</v>
      </c>
      <c r="CT40" t="s">
        <v>203</v>
      </c>
      <c r="CU40" t="s">
        <v>203</v>
      </c>
      <c r="CV40">
        <v>0</v>
      </c>
      <c r="CW40">
        <v>0</v>
      </c>
      <c r="CX40" t="s">
        <v>198</v>
      </c>
      <c r="CY40" t="s">
        <v>198</v>
      </c>
      <c r="CZ40" t="s">
        <v>198</v>
      </c>
      <c r="DA40" t="s">
        <v>198</v>
      </c>
      <c r="DB40" t="s">
        <v>198</v>
      </c>
      <c r="DC40">
        <v>0</v>
      </c>
      <c r="DD40">
        <v>0</v>
      </c>
      <c r="DE40">
        <v>0</v>
      </c>
      <c r="DF40">
        <v>0</v>
      </c>
      <c r="DG40">
        <v>-35.3632621</v>
      </c>
      <c r="DH40">
        <v>149.1652374</v>
      </c>
      <c r="DI40" t="s">
        <v>205</v>
      </c>
      <c r="DJ40">
        <v>1.2</v>
      </c>
      <c r="DK40">
        <v>2</v>
      </c>
      <c r="DL40">
        <v>273.9</v>
      </c>
      <c r="DM40">
        <v>0</v>
      </c>
      <c r="DN40">
        <v>6</v>
      </c>
      <c r="DO40">
        <v>10</v>
      </c>
      <c r="DP40">
        <v>0</v>
      </c>
      <c r="DQ40">
        <v>255</v>
      </c>
      <c r="DR40">
        <v>255</v>
      </c>
      <c r="DS40">
        <v>255</v>
      </c>
      <c r="DT40">
        <v>255</v>
      </c>
      <c r="DU40">
        <v>255</v>
      </c>
      <c r="DV40">
        <v>255</v>
      </c>
      <c r="DW40">
        <v>255</v>
      </c>
      <c r="DX40" t="s">
        <v>206</v>
      </c>
      <c r="DY40" t="s">
        <v>206</v>
      </c>
      <c r="DZ40" t="s">
        <v>207</v>
      </c>
      <c r="EA40" t="s">
        <v>198</v>
      </c>
      <c r="EB40" t="s">
        <v>198</v>
      </c>
      <c r="EC40" t="s">
        <v>198</v>
      </c>
      <c r="ED40">
        <v>0</v>
      </c>
      <c r="EE40">
        <v>0</v>
      </c>
      <c r="EF40">
        <v>0</v>
      </c>
      <c r="EG40">
        <v>0</v>
      </c>
      <c r="EH40">
        <v>255</v>
      </c>
      <c r="EI40">
        <v>255</v>
      </c>
      <c r="EJ40">
        <v>255</v>
      </c>
      <c r="EK40">
        <v>255</v>
      </c>
      <c r="EL40">
        <v>255</v>
      </c>
      <c r="EM40">
        <v>255</v>
      </c>
      <c r="EN40">
        <v>255</v>
      </c>
      <c r="EO40">
        <v>255</v>
      </c>
      <c r="EP40">
        <v>255</v>
      </c>
      <c r="EQ40">
        <v>255</v>
      </c>
      <c r="ER40" t="s">
        <v>208</v>
      </c>
      <c r="ES40" t="s">
        <v>209</v>
      </c>
      <c r="ET40" t="s">
        <v>209</v>
      </c>
      <c r="EU40">
        <v>0</v>
      </c>
      <c r="EV40">
        <v>0</v>
      </c>
      <c r="EW40">
        <v>0</v>
      </c>
      <c r="EX40">
        <v>-28.1</v>
      </c>
      <c r="EY40">
        <v>0</v>
      </c>
      <c r="EZ40">
        <v>0</v>
      </c>
      <c r="FA40">
        <v>-2.5</v>
      </c>
      <c r="FB40" t="s">
        <v>198</v>
      </c>
      <c r="FC40" t="s">
        <v>198</v>
      </c>
      <c r="FD40" t="s">
        <v>198</v>
      </c>
      <c r="FE40" t="s">
        <v>198</v>
      </c>
      <c r="FF40" t="s">
        <v>198</v>
      </c>
      <c r="FG40" t="s">
        <v>198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 t="s">
        <v>203</v>
      </c>
      <c r="FP40" t="s">
        <v>203</v>
      </c>
      <c r="FQ40" t="s">
        <v>203</v>
      </c>
      <c r="FR40" t="s">
        <v>203</v>
      </c>
      <c r="FS40" t="s">
        <v>203</v>
      </c>
      <c r="FT40" t="s">
        <v>203</v>
      </c>
      <c r="FU40" t="s">
        <v>198</v>
      </c>
      <c r="FV40" t="s">
        <v>198</v>
      </c>
      <c r="FW40" t="s">
        <v>198</v>
      </c>
      <c r="FX40" t="s">
        <v>198</v>
      </c>
      <c r="FY40" t="s">
        <v>198</v>
      </c>
      <c r="FZ40" t="s">
        <v>198</v>
      </c>
      <c r="GA40">
        <v>31.02</v>
      </c>
      <c r="GB40">
        <v>31.02</v>
      </c>
      <c r="GC40" t="s">
        <v>203</v>
      </c>
      <c r="GD40">
        <v>0</v>
      </c>
      <c r="GE40">
        <v>504</v>
      </c>
      <c r="GF40">
        <v>0</v>
      </c>
      <c r="GG40">
        <v>0</v>
      </c>
      <c r="GH40">
        <v>0.3</v>
      </c>
      <c r="GI40">
        <v>0</v>
      </c>
      <c r="GJ40">
        <v>0</v>
      </c>
      <c r="GK40">
        <v>0</v>
      </c>
      <c r="GL40" t="s">
        <v>198</v>
      </c>
      <c r="GM40" t="s">
        <v>198</v>
      </c>
      <c r="GN40" t="s">
        <v>198</v>
      </c>
    </row>
    <row r="41" spans="1:196">
      <c r="A41" s="19">
        <v>46316.90435582176</v>
      </c>
      <c r="B41">
        <v>0</v>
      </c>
      <c r="C41">
        <v>0</v>
      </c>
      <c r="D41">
        <v>359</v>
      </c>
      <c r="E41">
        <v>0</v>
      </c>
      <c r="F41">
        <v>0</v>
      </c>
      <c r="G41">
        <v>0</v>
      </c>
      <c r="H41">
        <v>0</v>
      </c>
      <c r="I41">
        <v>0</v>
      </c>
      <c r="J41">
        <v>0.002</v>
      </c>
      <c r="K41">
        <v>2.5</v>
      </c>
      <c r="L41">
        <v>30.5</v>
      </c>
      <c r="M41">
        <v>614.7</v>
      </c>
      <c r="N41">
        <v>28.4</v>
      </c>
      <c r="O41">
        <v>30.47</v>
      </c>
      <c r="P41">
        <v>30.466</v>
      </c>
      <c r="Q41">
        <v>0</v>
      </c>
      <c r="R41">
        <v>0</v>
      </c>
      <c r="S41">
        <v>0</v>
      </c>
      <c r="T41" t="s">
        <v>262</v>
      </c>
      <c r="U41">
        <v>0</v>
      </c>
      <c r="V41">
        <v>0</v>
      </c>
      <c r="W41">
        <v>1</v>
      </c>
      <c r="X41" t="s">
        <v>197</v>
      </c>
      <c r="Y41">
        <v>0</v>
      </c>
      <c r="Z41" t="s">
        <v>197</v>
      </c>
      <c r="AA41" t="s">
        <v>197</v>
      </c>
      <c r="AB41" t="s">
        <v>197</v>
      </c>
      <c r="AC41" t="s">
        <v>198</v>
      </c>
      <c r="AD41" t="s">
        <v>199</v>
      </c>
      <c r="AE41">
        <v>36</v>
      </c>
      <c r="AF41">
        <v>44</v>
      </c>
      <c r="AG41">
        <v>255</v>
      </c>
      <c r="AH41">
        <v>0</v>
      </c>
      <c r="AI41">
        <v>0</v>
      </c>
      <c r="AJ41">
        <v>0</v>
      </c>
      <c r="AK41">
        <v>12.6</v>
      </c>
      <c r="AL41">
        <v>0</v>
      </c>
      <c r="AM41">
        <v>0</v>
      </c>
      <c r="AN41" t="s">
        <v>197</v>
      </c>
      <c r="AO41">
        <v>100</v>
      </c>
      <c r="AP41" t="s">
        <v>197</v>
      </c>
      <c r="AQ41" t="s">
        <v>200</v>
      </c>
      <c r="AR41">
        <v>1</v>
      </c>
      <c r="AS41">
        <v>0</v>
      </c>
      <c r="AT41" t="s">
        <v>263</v>
      </c>
      <c r="AU41" t="s">
        <v>263</v>
      </c>
      <c r="AV41" t="s">
        <v>202</v>
      </c>
      <c r="AW41" t="s">
        <v>203</v>
      </c>
      <c r="AX41" t="s">
        <v>203</v>
      </c>
      <c r="AY41" t="s">
        <v>203</v>
      </c>
      <c r="AZ41" t="s">
        <v>203</v>
      </c>
      <c r="BA41" t="s">
        <v>203</v>
      </c>
      <c r="BB41" t="s">
        <v>203</v>
      </c>
      <c r="BC41" t="s">
        <v>203</v>
      </c>
      <c r="BD41" t="s">
        <v>203</v>
      </c>
      <c r="BE41" t="s">
        <v>203</v>
      </c>
      <c r="BF41">
        <v>29.12</v>
      </c>
      <c r="BG41">
        <v>0.2</v>
      </c>
      <c r="BH41">
        <v>50</v>
      </c>
      <c r="BI41">
        <v>0</v>
      </c>
      <c r="BJ41" t="s">
        <v>198</v>
      </c>
      <c r="BK41" t="s">
        <v>198</v>
      </c>
      <c r="BL41" t="s">
        <v>198</v>
      </c>
      <c r="BM41" t="s">
        <v>198</v>
      </c>
      <c r="BN41" t="s">
        <v>198</v>
      </c>
      <c r="BO41" t="s">
        <v>198</v>
      </c>
      <c r="BP41" t="s">
        <v>198</v>
      </c>
      <c r="BQ41" t="s">
        <v>198</v>
      </c>
      <c r="BR41" t="s">
        <v>198</v>
      </c>
      <c r="BS41" t="s">
        <v>198</v>
      </c>
      <c r="BT41" t="s">
        <v>198</v>
      </c>
      <c r="BU41" t="s">
        <v>198</v>
      </c>
      <c r="BV41" t="s">
        <v>198</v>
      </c>
      <c r="BW41" t="s">
        <v>198</v>
      </c>
      <c r="BX41" t="s">
        <v>198</v>
      </c>
      <c r="BY41" t="s">
        <v>198</v>
      </c>
      <c r="BZ41" t="s">
        <v>198</v>
      </c>
      <c r="CA41" t="s">
        <v>198</v>
      </c>
      <c r="CB41" t="s">
        <v>204</v>
      </c>
      <c r="CC41" t="s">
        <v>204</v>
      </c>
      <c r="CD41" t="s">
        <v>204</v>
      </c>
      <c r="CE41" t="s">
        <v>204</v>
      </c>
      <c r="CF41" t="s">
        <v>204</v>
      </c>
      <c r="CG41" t="s">
        <v>204</v>
      </c>
      <c r="CH41" t="s">
        <v>204</v>
      </c>
      <c r="CI41" t="s">
        <v>204</v>
      </c>
      <c r="CJ41" t="s">
        <v>204</v>
      </c>
      <c r="CK41" t="s">
        <v>204</v>
      </c>
      <c r="CL41" t="s">
        <v>204</v>
      </c>
      <c r="CM41" t="s">
        <v>204</v>
      </c>
      <c r="CN41" t="s">
        <v>203</v>
      </c>
      <c r="CO41" t="s">
        <v>203</v>
      </c>
      <c r="CP41" t="s">
        <v>203</v>
      </c>
      <c r="CQ41" t="s">
        <v>203</v>
      </c>
      <c r="CR41" t="s">
        <v>203</v>
      </c>
      <c r="CS41" t="s">
        <v>203</v>
      </c>
      <c r="CT41" t="s">
        <v>203</v>
      </c>
      <c r="CU41" t="s">
        <v>203</v>
      </c>
      <c r="CV41">
        <v>0</v>
      </c>
      <c r="CW41">
        <v>0</v>
      </c>
      <c r="CX41" t="s">
        <v>198</v>
      </c>
      <c r="CY41" t="s">
        <v>198</v>
      </c>
      <c r="CZ41" t="s">
        <v>198</v>
      </c>
      <c r="DA41" t="s">
        <v>198</v>
      </c>
      <c r="DB41" t="s">
        <v>198</v>
      </c>
      <c r="DC41">
        <v>0</v>
      </c>
      <c r="DD41">
        <v>0</v>
      </c>
      <c r="DE41">
        <v>0</v>
      </c>
      <c r="DF41">
        <v>0</v>
      </c>
      <c r="DG41">
        <v>-35.3632621</v>
      </c>
      <c r="DH41">
        <v>149.1652374</v>
      </c>
      <c r="DI41" t="s">
        <v>205</v>
      </c>
      <c r="DJ41">
        <v>1.2</v>
      </c>
      <c r="DK41">
        <v>2</v>
      </c>
      <c r="DL41">
        <v>272.9</v>
      </c>
      <c r="DM41">
        <v>0</v>
      </c>
      <c r="DN41">
        <v>6</v>
      </c>
      <c r="DO41">
        <v>10</v>
      </c>
      <c r="DP41">
        <v>0</v>
      </c>
      <c r="DQ41">
        <v>255</v>
      </c>
      <c r="DR41">
        <v>255</v>
      </c>
      <c r="DS41">
        <v>255</v>
      </c>
      <c r="DT41">
        <v>255</v>
      </c>
      <c r="DU41">
        <v>255</v>
      </c>
      <c r="DV41">
        <v>255</v>
      </c>
      <c r="DW41">
        <v>255</v>
      </c>
      <c r="DX41" t="s">
        <v>206</v>
      </c>
      <c r="DY41" t="s">
        <v>206</v>
      </c>
      <c r="DZ41" t="s">
        <v>207</v>
      </c>
      <c r="EA41" t="s">
        <v>198</v>
      </c>
      <c r="EB41" t="s">
        <v>198</v>
      </c>
      <c r="EC41" t="s">
        <v>198</v>
      </c>
      <c r="ED41">
        <v>0</v>
      </c>
      <c r="EE41">
        <v>0</v>
      </c>
      <c r="EF41">
        <v>0</v>
      </c>
      <c r="EG41">
        <v>0</v>
      </c>
      <c r="EH41">
        <v>255</v>
      </c>
      <c r="EI41">
        <v>255</v>
      </c>
      <c r="EJ41">
        <v>255</v>
      </c>
      <c r="EK41">
        <v>255</v>
      </c>
      <c r="EL41">
        <v>255</v>
      </c>
      <c r="EM41">
        <v>255</v>
      </c>
      <c r="EN41">
        <v>255</v>
      </c>
      <c r="EO41">
        <v>255</v>
      </c>
      <c r="EP41">
        <v>255</v>
      </c>
      <c r="EQ41">
        <v>255</v>
      </c>
      <c r="ER41" t="s">
        <v>208</v>
      </c>
      <c r="ES41" t="s">
        <v>209</v>
      </c>
      <c r="ET41" t="s">
        <v>209</v>
      </c>
      <c r="EU41">
        <v>0</v>
      </c>
      <c r="EV41">
        <v>0</v>
      </c>
      <c r="EW41">
        <v>0</v>
      </c>
      <c r="EX41">
        <v>-30.7</v>
      </c>
      <c r="EY41">
        <v>0</v>
      </c>
      <c r="EZ41">
        <v>0</v>
      </c>
      <c r="FA41">
        <v>-2.5</v>
      </c>
      <c r="FB41" t="s">
        <v>198</v>
      </c>
      <c r="FC41" t="s">
        <v>198</v>
      </c>
      <c r="FD41" t="s">
        <v>198</v>
      </c>
      <c r="FE41" t="s">
        <v>198</v>
      </c>
      <c r="FF41" t="s">
        <v>198</v>
      </c>
      <c r="FG41" t="s">
        <v>198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203</v>
      </c>
      <c r="FP41" t="s">
        <v>203</v>
      </c>
      <c r="FQ41" t="s">
        <v>203</v>
      </c>
      <c r="FR41" t="s">
        <v>203</v>
      </c>
      <c r="FS41" t="s">
        <v>203</v>
      </c>
      <c r="FT41" t="s">
        <v>203</v>
      </c>
      <c r="FU41" t="s">
        <v>198</v>
      </c>
      <c r="FV41" t="s">
        <v>198</v>
      </c>
      <c r="FW41" t="s">
        <v>198</v>
      </c>
      <c r="FX41" t="s">
        <v>198</v>
      </c>
      <c r="FY41" t="s">
        <v>198</v>
      </c>
      <c r="FZ41" t="s">
        <v>198</v>
      </c>
      <c r="GA41">
        <v>31</v>
      </c>
      <c r="GB41">
        <v>31</v>
      </c>
      <c r="GC41" t="s">
        <v>203</v>
      </c>
      <c r="GD41">
        <v>0</v>
      </c>
      <c r="GE41">
        <v>504</v>
      </c>
      <c r="GF41">
        <v>0</v>
      </c>
      <c r="GG41">
        <v>0</v>
      </c>
      <c r="GH41">
        <v>0.3</v>
      </c>
      <c r="GI41">
        <v>0</v>
      </c>
      <c r="GJ41">
        <v>0</v>
      </c>
      <c r="GK41">
        <v>0</v>
      </c>
      <c r="GL41" t="s">
        <v>198</v>
      </c>
      <c r="GM41" t="s">
        <v>198</v>
      </c>
      <c r="GN41" t="s">
        <v>198</v>
      </c>
    </row>
    <row r="42" spans="1:196">
      <c r="A42" s="19">
        <v>46316.90436739584</v>
      </c>
      <c r="B42">
        <v>-0.2</v>
      </c>
      <c r="C42">
        <v>0</v>
      </c>
      <c r="D42">
        <v>359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2.5</v>
      </c>
      <c r="L42">
        <v>33</v>
      </c>
      <c r="M42">
        <v>617.2</v>
      </c>
      <c r="N42">
        <v>30.9</v>
      </c>
      <c r="O42">
        <v>32.97</v>
      </c>
      <c r="P42">
        <v>32.966</v>
      </c>
      <c r="Q42">
        <v>0</v>
      </c>
      <c r="R42">
        <v>0</v>
      </c>
      <c r="S42">
        <v>0</v>
      </c>
      <c r="T42" t="s">
        <v>264</v>
      </c>
      <c r="U42">
        <v>0</v>
      </c>
      <c r="V42">
        <v>0</v>
      </c>
      <c r="W42">
        <v>1</v>
      </c>
      <c r="X42" t="s">
        <v>197</v>
      </c>
      <c r="Y42">
        <v>0</v>
      </c>
      <c r="Z42" t="s">
        <v>197</v>
      </c>
      <c r="AA42" t="s">
        <v>197</v>
      </c>
      <c r="AB42" t="s">
        <v>197</v>
      </c>
      <c r="AC42" t="s">
        <v>198</v>
      </c>
      <c r="AD42" t="s">
        <v>199</v>
      </c>
      <c r="AE42">
        <v>36</v>
      </c>
      <c r="AF42">
        <v>44</v>
      </c>
      <c r="AG42">
        <v>255</v>
      </c>
      <c r="AH42">
        <v>0</v>
      </c>
      <c r="AI42">
        <v>0</v>
      </c>
      <c r="AJ42">
        <v>0</v>
      </c>
      <c r="AK42">
        <v>12.6</v>
      </c>
      <c r="AL42">
        <v>0</v>
      </c>
      <c r="AM42">
        <v>0</v>
      </c>
      <c r="AN42" t="s">
        <v>197</v>
      </c>
      <c r="AO42">
        <v>100</v>
      </c>
      <c r="AP42" t="s">
        <v>197</v>
      </c>
      <c r="AQ42" t="s">
        <v>200</v>
      </c>
      <c r="AR42">
        <v>1</v>
      </c>
      <c r="AS42">
        <v>0</v>
      </c>
      <c r="AT42" t="s">
        <v>265</v>
      </c>
      <c r="AU42" t="s">
        <v>265</v>
      </c>
      <c r="AV42" t="s">
        <v>202</v>
      </c>
      <c r="AW42" t="s">
        <v>203</v>
      </c>
      <c r="AX42" t="s">
        <v>203</v>
      </c>
      <c r="AY42" t="s">
        <v>203</v>
      </c>
      <c r="AZ42" t="s">
        <v>203</v>
      </c>
      <c r="BA42" t="s">
        <v>203</v>
      </c>
      <c r="BB42" t="s">
        <v>203</v>
      </c>
      <c r="BC42" t="s">
        <v>203</v>
      </c>
      <c r="BD42" t="s">
        <v>203</v>
      </c>
      <c r="BE42" t="s">
        <v>203</v>
      </c>
      <c r="BF42">
        <v>31.62</v>
      </c>
      <c r="BG42">
        <v>0.2</v>
      </c>
      <c r="BH42">
        <v>50</v>
      </c>
      <c r="BI42">
        <v>0</v>
      </c>
      <c r="BJ42" t="s">
        <v>198</v>
      </c>
      <c r="BK42" t="s">
        <v>198</v>
      </c>
      <c r="BL42" t="s">
        <v>198</v>
      </c>
      <c r="BM42" t="s">
        <v>198</v>
      </c>
      <c r="BN42" t="s">
        <v>198</v>
      </c>
      <c r="BO42" t="s">
        <v>198</v>
      </c>
      <c r="BP42" t="s">
        <v>198</v>
      </c>
      <c r="BQ42" t="s">
        <v>198</v>
      </c>
      <c r="BR42" t="s">
        <v>198</v>
      </c>
      <c r="BS42" t="s">
        <v>198</v>
      </c>
      <c r="BT42" t="s">
        <v>198</v>
      </c>
      <c r="BU42" t="s">
        <v>198</v>
      </c>
      <c r="BV42" t="s">
        <v>198</v>
      </c>
      <c r="BW42" t="s">
        <v>198</v>
      </c>
      <c r="BX42" t="s">
        <v>198</v>
      </c>
      <c r="BY42" t="s">
        <v>198</v>
      </c>
      <c r="BZ42" t="s">
        <v>198</v>
      </c>
      <c r="CA42" t="s">
        <v>198</v>
      </c>
      <c r="CB42" t="s">
        <v>204</v>
      </c>
      <c r="CC42" t="s">
        <v>204</v>
      </c>
      <c r="CD42" t="s">
        <v>204</v>
      </c>
      <c r="CE42" t="s">
        <v>204</v>
      </c>
      <c r="CF42" t="s">
        <v>204</v>
      </c>
      <c r="CG42" t="s">
        <v>204</v>
      </c>
      <c r="CH42" t="s">
        <v>204</v>
      </c>
      <c r="CI42" t="s">
        <v>204</v>
      </c>
      <c r="CJ42" t="s">
        <v>204</v>
      </c>
      <c r="CK42" t="s">
        <v>204</v>
      </c>
      <c r="CL42" t="s">
        <v>204</v>
      </c>
      <c r="CM42" t="s">
        <v>204</v>
      </c>
      <c r="CN42" t="s">
        <v>203</v>
      </c>
      <c r="CO42" t="s">
        <v>203</v>
      </c>
      <c r="CP42" t="s">
        <v>203</v>
      </c>
      <c r="CQ42" t="s">
        <v>203</v>
      </c>
      <c r="CR42" t="s">
        <v>203</v>
      </c>
      <c r="CS42" t="s">
        <v>203</v>
      </c>
      <c r="CT42" t="s">
        <v>203</v>
      </c>
      <c r="CU42" t="s">
        <v>203</v>
      </c>
      <c r="CV42">
        <v>0</v>
      </c>
      <c r="CW42">
        <v>0</v>
      </c>
      <c r="CX42" t="s">
        <v>198</v>
      </c>
      <c r="CY42" t="s">
        <v>198</v>
      </c>
      <c r="CZ42" t="s">
        <v>198</v>
      </c>
      <c r="DA42" t="s">
        <v>198</v>
      </c>
      <c r="DB42" t="s">
        <v>198</v>
      </c>
      <c r="DC42">
        <v>0</v>
      </c>
      <c r="DD42">
        <v>0</v>
      </c>
      <c r="DE42">
        <v>0</v>
      </c>
      <c r="DF42">
        <v>0</v>
      </c>
      <c r="DG42">
        <v>-35.3632621</v>
      </c>
      <c r="DH42">
        <v>149.1652374</v>
      </c>
      <c r="DI42" t="s">
        <v>205</v>
      </c>
      <c r="DJ42">
        <v>1.2</v>
      </c>
      <c r="DK42">
        <v>2</v>
      </c>
      <c r="DL42">
        <v>288.9</v>
      </c>
      <c r="DM42">
        <v>0</v>
      </c>
      <c r="DN42">
        <v>6</v>
      </c>
      <c r="DO42">
        <v>10</v>
      </c>
      <c r="DP42">
        <v>0</v>
      </c>
      <c r="DQ42">
        <v>255</v>
      </c>
      <c r="DR42">
        <v>255</v>
      </c>
      <c r="DS42">
        <v>255</v>
      </c>
      <c r="DT42">
        <v>255</v>
      </c>
      <c r="DU42">
        <v>255</v>
      </c>
      <c r="DV42">
        <v>255</v>
      </c>
      <c r="DW42">
        <v>255</v>
      </c>
      <c r="DX42" t="s">
        <v>206</v>
      </c>
      <c r="DY42" t="s">
        <v>206</v>
      </c>
      <c r="DZ42" t="s">
        <v>207</v>
      </c>
      <c r="EA42" t="s">
        <v>198</v>
      </c>
      <c r="EB42" t="s">
        <v>198</v>
      </c>
      <c r="EC42" t="s">
        <v>198</v>
      </c>
      <c r="ED42">
        <v>0</v>
      </c>
      <c r="EE42">
        <v>0</v>
      </c>
      <c r="EF42">
        <v>0</v>
      </c>
      <c r="EG42">
        <v>0</v>
      </c>
      <c r="EH42">
        <v>255</v>
      </c>
      <c r="EI42">
        <v>255</v>
      </c>
      <c r="EJ42">
        <v>255</v>
      </c>
      <c r="EK42">
        <v>255</v>
      </c>
      <c r="EL42">
        <v>255</v>
      </c>
      <c r="EM42">
        <v>255</v>
      </c>
      <c r="EN42">
        <v>255</v>
      </c>
      <c r="EO42">
        <v>255</v>
      </c>
      <c r="EP42">
        <v>255</v>
      </c>
      <c r="EQ42">
        <v>255</v>
      </c>
      <c r="ER42" t="s">
        <v>208</v>
      </c>
      <c r="ES42" t="s">
        <v>209</v>
      </c>
      <c r="ET42" t="s">
        <v>209</v>
      </c>
      <c r="EU42">
        <v>0</v>
      </c>
      <c r="EV42">
        <v>0</v>
      </c>
      <c r="EW42">
        <v>0</v>
      </c>
      <c r="EX42">
        <v>-33.2</v>
      </c>
      <c r="EY42">
        <v>0</v>
      </c>
      <c r="EZ42">
        <v>0</v>
      </c>
      <c r="FA42">
        <v>-2.5</v>
      </c>
      <c r="FB42" t="s">
        <v>198</v>
      </c>
      <c r="FC42" t="s">
        <v>198</v>
      </c>
      <c r="FD42" t="s">
        <v>198</v>
      </c>
      <c r="FE42" t="s">
        <v>198</v>
      </c>
      <c r="FF42" t="s">
        <v>198</v>
      </c>
      <c r="FG42" t="s">
        <v>198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 t="s">
        <v>203</v>
      </c>
      <c r="FP42" t="s">
        <v>203</v>
      </c>
      <c r="FQ42" t="s">
        <v>203</v>
      </c>
      <c r="FR42" t="s">
        <v>203</v>
      </c>
      <c r="FS42" t="s">
        <v>203</v>
      </c>
      <c r="FT42" t="s">
        <v>203</v>
      </c>
      <c r="FU42" t="s">
        <v>198</v>
      </c>
      <c r="FV42" t="s">
        <v>198</v>
      </c>
      <c r="FW42" t="s">
        <v>198</v>
      </c>
      <c r="FX42" t="s">
        <v>198</v>
      </c>
      <c r="FY42" t="s">
        <v>198</v>
      </c>
      <c r="FZ42" t="s">
        <v>198</v>
      </c>
      <c r="GA42">
        <v>30.98</v>
      </c>
      <c r="GB42">
        <v>30.98</v>
      </c>
      <c r="GC42" t="s">
        <v>203</v>
      </c>
      <c r="GD42">
        <v>0</v>
      </c>
      <c r="GE42">
        <v>504</v>
      </c>
      <c r="GF42">
        <v>0</v>
      </c>
      <c r="GG42">
        <v>0</v>
      </c>
      <c r="GH42">
        <v>0.3</v>
      </c>
      <c r="GI42">
        <v>0</v>
      </c>
      <c r="GJ42">
        <v>0</v>
      </c>
      <c r="GK42">
        <v>0</v>
      </c>
      <c r="GL42" t="s">
        <v>198</v>
      </c>
      <c r="GM42" t="s">
        <v>198</v>
      </c>
      <c r="GN42" t="s">
        <v>198</v>
      </c>
    </row>
    <row r="43" spans="1:196">
      <c r="A43" s="19">
        <v>46316.90437896991</v>
      </c>
      <c r="B43">
        <v>-0.1</v>
      </c>
      <c r="C43">
        <v>0</v>
      </c>
      <c r="D43">
        <v>359</v>
      </c>
      <c r="E43">
        <v>0</v>
      </c>
      <c r="F43">
        <v>0</v>
      </c>
      <c r="G43">
        <v>0</v>
      </c>
      <c r="H43">
        <v>0</v>
      </c>
      <c r="I43">
        <v>0</v>
      </c>
      <c r="J43">
        <v>0.005</v>
      </c>
      <c r="K43">
        <v>2.5</v>
      </c>
      <c r="L43">
        <v>35.5</v>
      </c>
      <c r="M43">
        <v>619.6</v>
      </c>
      <c r="N43">
        <v>33.4</v>
      </c>
      <c r="O43">
        <v>35.46</v>
      </c>
      <c r="P43">
        <v>35.466</v>
      </c>
      <c r="Q43">
        <v>0</v>
      </c>
      <c r="R43">
        <v>0</v>
      </c>
      <c r="S43">
        <v>0</v>
      </c>
      <c r="T43" t="s">
        <v>266</v>
      </c>
      <c r="U43">
        <v>0</v>
      </c>
      <c r="V43">
        <v>0</v>
      </c>
      <c r="W43">
        <v>1</v>
      </c>
      <c r="X43" t="s">
        <v>197</v>
      </c>
      <c r="Y43">
        <v>0</v>
      </c>
      <c r="Z43" t="s">
        <v>197</v>
      </c>
      <c r="AA43" t="s">
        <v>197</v>
      </c>
      <c r="AB43" t="s">
        <v>197</v>
      </c>
      <c r="AC43" t="s">
        <v>198</v>
      </c>
      <c r="AD43" t="s">
        <v>199</v>
      </c>
      <c r="AE43">
        <v>36</v>
      </c>
      <c r="AF43">
        <v>44</v>
      </c>
      <c r="AG43">
        <v>255</v>
      </c>
      <c r="AH43">
        <v>0</v>
      </c>
      <c r="AI43">
        <v>0</v>
      </c>
      <c r="AJ43">
        <v>0</v>
      </c>
      <c r="AK43">
        <v>12.6</v>
      </c>
      <c r="AL43">
        <v>0</v>
      </c>
      <c r="AM43">
        <v>0</v>
      </c>
      <c r="AN43" t="s">
        <v>197</v>
      </c>
      <c r="AO43">
        <v>100</v>
      </c>
      <c r="AP43" t="s">
        <v>197</v>
      </c>
      <c r="AQ43" t="s">
        <v>200</v>
      </c>
      <c r="AR43">
        <v>1</v>
      </c>
      <c r="AS43">
        <v>0</v>
      </c>
      <c r="AT43" t="s">
        <v>267</v>
      </c>
      <c r="AU43" t="s">
        <v>267</v>
      </c>
      <c r="AV43" t="s">
        <v>202</v>
      </c>
      <c r="AW43" t="s">
        <v>203</v>
      </c>
      <c r="AX43" t="s">
        <v>203</v>
      </c>
      <c r="AY43" t="s">
        <v>203</v>
      </c>
      <c r="AZ43" t="s">
        <v>203</v>
      </c>
      <c r="BA43" t="s">
        <v>203</v>
      </c>
      <c r="BB43" t="s">
        <v>203</v>
      </c>
      <c r="BC43" t="s">
        <v>203</v>
      </c>
      <c r="BD43" t="s">
        <v>203</v>
      </c>
      <c r="BE43" t="s">
        <v>203</v>
      </c>
      <c r="BF43">
        <v>34.12</v>
      </c>
      <c r="BG43">
        <v>0.2</v>
      </c>
      <c r="BH43">
        <v>50</v>
      </c>
      <c r="BI43">
        <v>0</v>
      </c>
      <c r="BJ43" t="s">
        <v>198</v>
      </c>
      <c r="BK43" t="s">
        <v>198</v>
      </c>
      <c r="BL43" t="s">
        <v>198</v>
      </c>
      <c r="BM43" t="s">
        <v>198</v>
      </c>
      <c r="BN43" t="s">
        <v>198</v>
      </c>
      <c r="BO43" t="s">
        <v>198</v>
      </c>
      <c r="BP43" t="s">
        <v>198</v>
      </c>
      <c r="BQ43" t="s">
        <v>198</v>
      </c>
      <c r="BR43" t="s">
        <v>198</v>
      </c>
      <c r="BS43" t="s">
        <v>198</v>
      </c>
      <c r="BT43" t="s">
        <v>198</v>
      </c>
      <c r="BU43" t="s">
        <v>198</v>
      </c>
      <c r="BV43" t="s">
        <v>198</v>
      </c>
      <c r="BW43" t="s">
        <v>198</v>
      </c>
      <c r="BX43" t="s">
        <v>198</v>
      </c>
      <c r="BY43" t="s">
        <v>198</v>
      </c>
      <c r="BZ43" t="s">
        <v>198</v>
      </c>
      <c r="CA43" t="s">
        <v>198</v>
      </c>
      <c r="CB43" t="s">
        <v>204</v>
      </c>
      <c r="CC43" t="s">
        <v>204</v>
      </c>
      <c r="CD43" t="s">
        <v>204</v>
      </c>
      <c r="CE43" t="s">
        <v>204</v>
      </c>
      <c r="CF43" t="s">
        <v>204</v>
      </c>
      <c r="CG43" t="s">
        <v>204</v>
      </c>
      <c r="CH43" t="s">
        <v>204</v>
      </c>
      <c r="CI43" t="s">
        <v>204</v>
      </c>
      <c r="CJ43" t="s">
        <v>204</v>
      </c>
      <c r="CK43" t="s">
        <v>204</v>
      </c>
      <c r="CL43" t="s">
        <v>204</v>
      </c>
      <c r="CM43" t="s">
        <v>204</v>
      </c>
      <c r="CN43" t="s">
        <v>203</v>
      </c>
      <c r="CO43" t="s">
        <v>203</v>
      </c>
      <c r="CP43" t="s">
        <v>203</v>
      </c>
      <c r="CQ43" t="s">
        <v>203</v>
      </c>
      <c r="CR43" t="s">
        <v>203</v>
      </c>
      <c r="CS43" t="s">
        <v>203</v>
      </c>
      <c r="CT43" t="s">
        <v>203</v>
      </c>
      <c r="CU43" t="s">
        <v>203</v>
      </c>
      <c r="CV43">
        <v>0</v>
      </c>
      <c r="CW43">
        <v>0</v>
      </c>
      <c r="CX43" t="s">
        <v>198</v>
      </c>
      <c r="CY43" t="s">
        <v>198</v>
      </c>
      <c r="CZ43" t="s">
        <v>198</v>
      </c>
      <c r="DA43" t="s">
        <v>198</v>
      </c>
      <c r="DB43" t="s">
        <v>198</v>
      </c>
      <c r="DC43">
        <v>0</v>
      </c>
      <c r="DD43">
        <v>0</v>
      </c>
      <c r="DE43">
        <v>0</v>
      </c>
      <c r="DF43">
        <v>0</v>
      </c>
      <c r="DG43">
        <v>-35.3632621</v>
      </c>
      <c r="DH43">
        <v>149.1652374</v>
      </c>
      <c r="DI43" t="s">
        <v>205</v>
      </c>
      <c r="DJ43">
        <v>1.2</v>
      </c>
      <c r="DK43">
        <v>2</v>
      </c>
      <c r="DL43">
        <v>88.3</v>
      </c>
      <c r="DM43">
        <v>0</v>
      </c>
      <c r="DN43">
        <v>6</v>
      </c>
      <c r="DO43">
        <v>10</v>
      </c>
      <c r="DP43">
        <v>0</v>
      </c>
      <c r="DQ43">
        <v>255</v>
      </c>
      <c r="DR43">
        <v>255</v>
      </c>
      <c r="DS43">
        <v>255</v>
      </c>
      <c r="DT43">
        <v>255</v>
      </c>
      <c r="DU43">
        <v>255</v>
      </c>
      <c r="DV43">
        <v>255</v>
      </c>
      <c r="DW43">
        <v>255</v>
      </c>
      <c r="DX43" t="s">
        <v>206</v>
      </c>
      <c r="DY43" t="s">
        <v>206</v>
      </c>
      <c r="DZ43" t="s">
        <v>207</v>
      </c>
      <c r="EA43" t="s">
        <v>198</v>
      </c>
      <c r="EB43" t="s">
        <v>198</v>
      </c>
      <c r="EC43" t="s">
        <v>198</v>
      </c>
      <c r="ED43">
        <v>0</v>
      </c>
      <c r="EE43">
        <v>0</v>
      </c>
      <c r="EF43">
        <v>0</v>
      </c>
      <c r="EG43">
        <v>0</v>
      </c>
      <c r="EH43">
        <v>255</v>
      </c>
      <c r="EI43">
        <v>255</v>
      </c>
      <c r="EJ43">
        <v>255</v>
      </c>
      <c r="EK43">
        <v>255</v>
      </c>
      <c r="EL43">
        <v>255</v>
      </c>
      <c r="EM43">
        <v>255</v>
      </c>
      <c r="EN43">
        <v>255</v>
      </c>
      <c r="EO43">
        <v>255</v>
      </c>
      <c r="EP43">
        <v>255</v>
      </c>
      <c r="EQ43">
        <v>255</v>
      </c>
      <c r="ER43" t="s">
        <v>208</v>
      </c>
      <c r="ES43" t="s">
        <v>209</v>
      </c>
      <c r="ET43" t="s">
        <v>209</v>
      </c>
      <c r="EU43">
        <v>0</v>
      </c>
      <c r="EV43">
        <v>0</v>
      </c>
      <c r="EW43">
        <v>0</v>
      </c>
      <c r="EX43">
        <v>-35.7</v>
      </c>
      <c r="EY43">
        <v>0</v>
      </c>
      <c r="EZ43">
        <v>0</v>
      </c>
      <c r="FA43">
        <v>-2.5</v>
      </c>
      <c r="FB43" t="s">
        <v>198</v>
      </c>
      <c r="FC43" t="s">
        <v>198</v>
      </c>
      <c r="FD43" t="s">
        <v>198</v>
      </c>
      <c r="FE43" t="s">
        <v>198</v>
      </c>
      <c r="FF43" t="s">
        <v>198</v>
      </c>
      <c r="FG43" t="s">
        <v>198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203</v>
      </c>
      <c r="FP43" t="s">
        <v>203</v>
      </c>
      <c r="FQ43" t="s">
        <v>203</v>
      </c>
      <c r="FR43" t="s">
        <v>203</v>
      </c>
      <c r="FS43" t="s">
        <v>203</v>
      </c>
      <c r="FT43" t="s">
        <v>203</v>
      </c>
      <c r="FU43" t="s">
        <v>198</v>
      </c>
      <c r="FV43" t="s">
        <v>198</v>
      </c>
      <c r="FW43" t="s">
        <v>198</v>
      </c>
      <c r="FX43" t="s">
        <v>198</v>
      </c>
      <c r="FY43" t="s">
        <v>198</v>
      </c>
      <c r="FZ43" t="s">
        <v>198</v>
      </c>
      <c r="GA43">
        <v>30.97</v>
      </c>
      <c r="GB43">
        <v>30.97</v>
      </c>
      <c r="GC43" t="s">
        <v>203</v>
      </c>
      <c r="GD43">
        <v>0</v>
      </c>
      <c r="GE43">
        <v>504</v>
      </c>
      <c r="GF43">
        <v>0</v>
      </c>
      <c r="GG43">
        <v>0</v>
      </c>
      <c r="GH43">
        <v>0.3</v>
      </c>
      <c r="GI43">
        <v>0</v>
      </c>
      <c r="GJ43">
        <v>0</v>
      </c>
      <c r="GK43">
        <v>0</v>
      </c>
      <c r="GL43" t="s">
        <v>198</v>
      </c>
      <c r="GM43" t="s">
        <v>198</v>
      </c>
      <c r="GN43" t="s">
        <v>198</v>
      </c>
    </row>
    <row r="44" spans="1:196">
      <c r="A44" s="19">
        <v>46316.90439054398</v>
      </c>
      <c r="B44">
        <v>0.1</v>
      </c>
      <c r="C44">
        <v>0</v>
      </c>
      <c r="D44">
        <v>359</v>
      </c>
      <c r="E44">
        <v>0</v>
      </c>
      <c r="F44">
        <v>0</v>
      </c>
      <c r="G44">
        <v>0</v>
      </c>
      <c r="H44">
        <v>0</v>
      </c>
      <c r="I44">
        <v>0</v>
      </c>
      <c r="J44">
        <v>0.001</v>
      </c>
      <c r="K44">
        <v>2.5</v>
      </c>
      <c r="L44">
        <v>38</v>
      </c>
      <c r="M44">
        <v>622.1</v>
      </c>
      <c r="N44">
        <v>35.9</v>
      </c>
      <c r="O44">
        <v>37.96</v>
      </c>
      <c r="P44">
        <v>37.966</v>
      </c>
      <c r="Q44">
        <v>0</v>
      </c>
      <c r="R44">
        <v>0</v>
      </c>
      <c r="S44">
        <v>0</v>
      </c>
      <c r="T44" t="s">
        <v>268</v>
      </c>
      <c r="U44">
        <v>0</v>
      </c>
      <c r="V44">
        <v>0</v>
      </c>
      <c r="W44">
        <v>1</v>
      </c>
      <c r="X44" t="s">
        <v>197</v>
      </c>
      <c r="Y44">
        <v>0</v>
      </c>
      <c r="Z44" t="s">
        <v>197</v>
      </c>
      <c r="AA44" t="s">
        <v>197</v>
      </c>
      <c r="AB44" t="s">
        <v>197</v>
      </c>
      <c r="AC44" t="s">
        <v>198</v>
      </c>
      <c r="AD44" t="s">
        <v>199</v>
      </c>
      <c r="AE44">
        <v>36</v>
      </c>
      <c r="AF44">
        <v>44</v>
      </c>
      <c r="AG44">
        <v>255</v>
      </c>
      <c r="AH44">
        <v>0</v>
      </c>
      <c r="AI44">
        <v>0</v>
      </c>
      <c r="AJ44">
        <v>0</v>
      </c>
      <c r="AK44">
        <v>12.6</v>
      </c>
      <c r="AL44">
        <v>0</v>
      </c>
      <c r="AM44">
        <v>0</v>
      </c>
      <c r="AN44" t="s">
        <v>197</v>
      </c>
      <c r="AO44">
        <v>100</v>
      </c>
      <c r="AP44" t="s">
        <v>197</v>
      </c>
      <c r="AQ44" t="s">
        <v>200</v>
      </c>
      <c r="AR44">
        <v>1</v>
      </c>
      <c r="AS44">
        <v>0</v>
      </c>
      <c r="AT44" t="s">
        <v>269</v>
      </c>
      <c r="AU44" t="s">
        <v>269</v>
      </c>
      <c r="AV44" t="s">
        <v>202</v>
      </c>
      <c r="AW44" t="s">
        <v>203</v>
      </c>
      <c r="AX44" t="s">
        <v>203</v>
      </c>
      <c r="AY44" t="s">
        <v>203</v>
      </c>
      <c r="AZ44" t="s">
        <v>203</v>
      </c>
      <c r="BA44" t="s">
        <v>203</v>
      </c>
      <c r="BB44" t="s">
        <v>203</v>
      </c>
      <c r="BC44" t="s">
        <v>203</v>
      </c>
      <c r="BD44" t="s">
        <v>203</v>
      </c>
      <c r="BE44" t="s">
        <v>203</v>
      </c>
      <c r="BF44">
        <v>36.62</v>
      </c>
      <c r="BG44">
        <v>0.2</v>
      </c>
      <c r="BH44">
        <v>50</v>
      </c>
      <c r="BI44">
        <v>0</v>
      </c>
      <c r="BJ44" t="s">
        <v>198</v>
      </c>
      <c r="BK44" t="s">
        <v>198</v>
      </c>
      <c r="BL44" t="s">
        <v>198</v>
      </c>
      <c r="BM44" t="s">
        <v>198</v>
      </c>
      <c r="BN44" t="s">
        <v>198</v>
      </c>
      <c r="BO44" t="s">
        <v>198</v>
      </c>
      <c r="BP44" t="s">
        <v>198</v>
      </c>
      <c r="BQ44" t="s">
        <v>198</v>
      </c>
      <c r="BR44" t="s">
        <v>198</v>
      </c>
      <c r="BS44" t="s">
        <v>198</v>
      </c>
      <c r="BT44" t="s">
        <v>198</v>
      </c>
      <c r="BU44" t="s">
        <v>198</v>
      </c>
      <c r="BV44" t="s">
        <v>198</v>
      </c>
      <c r="BW44" t="s">
        <v>198</v>
      </c>
      <c r="BX44" t="s">
        <v>198</v>
      </c>
      <c r="BY44" t="s">
        <v>198</v>
      </c>
      <c r="BZ44" t="s">
        <v>198</v>
      </c>
      <c r="CA44" t="s">
        <v>198</v>
      </c>
      <c r="CB44" t="s">
        <v>204</v>
      </c>
      <c r="CC44" t="s">
        <v>204</v>
      </c>
      <c r="CD44" t="s">
        <v>204</v>
      </c>
      <c r="CE44" t="s">
        <v>204</v>
      </c>
      <c r="CF44" t="s">
        <v>204</v>
      </c>
      <c r="CG44" t="s">
        <v>204</v>
      </c>
      <c r="CH44" t="s">
        <v>204</v>
      </c>
      <c r="CI44" t="s">
        <v>204</v>
      </c>
      <c r="CJ44" t="s">
        <v>204</v>
      </c>
      <c r="CK44" t="s">
        <v>204</v>
      </c>
      <c r="CL44" t="s">
        <v>204</v>
      </c>
      <c r="CM44" t="s">
        <v>204</v>
      </c>
      <c r="CN44" t="s">
        <v>203</v>
      </c>
      <c r="CO44" t="s">
        <v>203</v>
      </c>
      <c r="CP44" t="s">
        <v>203</v>
      </c>
      <c r="CQ44" t="s">
        <v>203</v>
      </c>
      <c r="CR44" t="s">
        <v>203</v>
      </c>
      <c r="CS44" t="s">
        <v>203</v>
      </c>
      <c r="CT44" t="s">
        <v>203</v>
      </c>
      <c r="CU44" t="s">
        <v>203</v>
      </c>
      <c r="CV44">
        <v>0</v>
      </c>
      <c r="CW44">
        <v>0</v>
      </c>
      <c r="CX44" t="s">
        <v>198</v>
      </c>
      <c r="CY44" t="s">
        <v>198</v>
      </c>
      <c r="CZ44" t="s">
        <v>198</v>
      </c>
      <c r="DA44" t="s">
        <v>198</v>
      </c>
      <c r="DB44" t="s">
        <v>198</v>
      </c>
      <c r="DC44">
        <v>0</v>
      </c>
      <c r="DD44">
        <v>0</v>
      </c>
      <c r="DE44">
        <v>0</v>
      </c>
      <c r="DF44">
        <v>0</v>
      </c>
      <c r="DG44">
        <v>-35.3632621</v>
      </c>
      <c r="DH44">
        <v>149.1652374</v>
      </c>
      <c r="DI44" t="s">
        <v>205</v>
      </c>
      <c r="DJ44">
        <v>1.2</v>
      </c>
      <c r="DK44">
        <v>2</v>
      </c>
      <c r="DL44">
        <v>268.6</v>
      </c>
      <c r="DM44">
        <v>0</v>
      </c>
      <c r="DN44">
        <v>6</v>
      </c>
      <c r="DO44">
        <v>10</v>
      </c>
      <c r="DP44">
        <v>0</v>
      </c>
      <c r="DQ44">
        <v>255</v>
      </c>
      <c r="DR44">
        <v>255</v>
      </c>
      <c r="DS44">
        <v>255</v>
      </c>
      <c r="DT44">
        <v>255</v>
      </c>
      <c r="DU44">
        <v>255</v>
      </c>
      <c r="DV44">
        <v>255</v>
      </c>
      <c r="DW44">
        <v>255</v>
      </c>
      <c r="DX44" t="s">
        <v>206</v>
      </c>
      <c r="DY44" t="s">
        <v>206</v>
      </c>
      <c r="DZ44" t="s">
        <v>207</v>
      </c>
      <c r="EA44" t="s">
        <v>198</v>
      </c>
      <c r="EB44" t="s">
        <v>198</v>
      </c>
      <c r="EC44" t="s">
        <v>198</v>
      </c>
      <c r="ED44">
        <v>0</v>
      </c>
      <c r="EE44">
        <v>0</v>
      </c>
      <c r="EF44">
        <v>0</v>
      </c>
      <c r="EG44">
        <v>0</v>
      </c>
      <c r="EH44">
        <v>255</v>
      </c>
      <c r="EI44">
        <v>255</v>
      </c>
      <c r="EJ44">
        <v>255</v>
      </c>
      <c r="EK44">
        <v>255</v>
      </c>
      <c r="EL44">
        <v>255</v>
      </c>
      <c r="EM44">
        <v>255</v>
      </c>
      <c r="EN44">
        <v>255</v>
      </c>
      <c r="EO44">
        <v>255</v>
      </c>
      <c r="EP44">
        <v>255</v>
      </c>
      <c r="EQ44">
        <v>255</v>
      </c>
      <c r="ER44" t="s">
        <v>208</v>
      </c>
      <c r="ES44" t="s">
        <v>209</v>
      </c>
      <c r="ET44" t="s">
        <v>209</v>
      </c>
      <c r="EU44">
        <v>0</v>
      </c>
      <c r="EV44">
        <v>0</v>
      </c>
      <c r="EW44">
        <v>0</v>
      </c>
      <c r="EX44">
        <v>-38.2</v>
      </c>
      <c r="EY44">
        <v>0</v>
      </c>
      <c r="EZ44">
        <v>0</v>
      </c>
      <c r="FA44">
        <v>-2.5</v>
      </c>
      <c r="FB44" t="s">
        <v>198</v>
      </c>
      <c r="FC44" t="s">
        <v>198</v>
      </c>
      <c r="FD44" t="s">
        <v>198</v>
      </c>
      <c r="FE44" t="s">
        <v>198</v>
      </c>
      <c r="FF44" t="s">
        <v>198</v>
      </c>
      <c r="FG44" t="s">
        <v>198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203</v>
      </c>
      <c r="FP44" t="s">
        <v>203</v>
      </c>
      <c r="FQ44" t="s">
        <v>203</v>
      </c>
      <c r="FR44" t="s">
        <v>203</v>
      </c>
      <c r="FS44" t="s">
        <v>203</v>
      </c>
      <c r="FT44" t="s">
        <v>203</v>
      </c>
      <c r="FU44" t="s">
        <v>198</v>
      </c>
      <c r="FV44" t="s">
        <v>198</v>
      </c>
      <c r="FW44" t="s">
        <v>198</v>
      </c>
      <c r="FX44" t="s">
        <v>198</v>
      </c>
      <c r="FY44" t="s">
        <v>198</v>
      </c>
      <c r="FZ44" t="s">
        <v>198</v>
      </c>
      <c r="GA44">
        <v>30.95</v>
      </c>
      <c r="GB44">
        <v>30.95</v>
      </c>
      <c r="GC44" t="s">
        <v>203</v>
      </c>
      <c r="GD44">
        <v>0</v>
      </c>
      <c r="GE44">
        <v>504</v>
      </c>
      <c r="GF44">
        <v>0</v>
      </c>
      <c r="GG44">
        <v>0</v>
      </c>
      <c r="GH44">
        <v>0.3</v>
      </c>
      <c r="GI44">
        <v>0</v>
      </c>
      <c r="GJ44">
        <v>0</v>
      </c>
      <c r="GK44">
        <v>0</v>
      </c>
      <c r="GL44" t="s">
        <v>198</v>
      </c>
      <c r="GM44" t="s">
        <v>198</v>
      </c>
      <c r="GN44" t="s">
        <v>198</v>
      </c>
    </row>
    <row r="45" spans="1:196">
      <c r="A45" s="19">
        <v>46316.90440210648</v>
      </c>
      <c r="B45">
        <v>0.2</v>
      </c>
      <c r="C45">
        <v>0</v>
      </c>
      <c r="D45">
        <v>359</v>
      </c>
      <c r="E45">
        <v>0</v>
      </c>
      <c r="F45">
        <v>0</v>
      </c>
      <c r="G45">
        <v>0</v>
      </c>
      <c r="H45">
        <v>0</v>
      </c>
      <c r="I45">
        <v>0</v>
      </c>
      <c r="J45">
        <v>0.003</v>
      </c>
      <c r="K45">
        <v>2.5</v>
      </c>
      <c r="L45">
        <v>40.5</v>
      </c>
      <c r="M45">
        <v>624.6</v>
      </c>
      <c r="N45">
        <v>38.4</v>
      </c>
      <c r="O45">
        <v>40.46</v>
      </c>
      <c r="P45">
        <v>40.466</v>
      </c>
      <c r="Q45">
        <v>0</v>
      </c>
      <c r="R45">
        <v>0</v>
      </c>
      <c r="S45">
        <v>0</v>
      </c>
      <c r="T45" t="s">
        <v>270</v>
      </c>
      <c r="U45">
        <v>0</v>
      </c>
      <c r="V45">
        <v>0</v>
      </c>
      <c r="W45">
        <v>1</v>
      </c>
      <c r="X45" t="s">
        <v>197</v>
      </c>
      <c r="Y45">
        <v>0</v>
      </c>
      <c r="Z45" t="s">
        <v>197</v>
      </c>
      <c r="AA45" t="s">
        <v>197</v>
      </c>
      <c r="AB45" t="s">
        <v>197</v>
      </c>
      <c r="AC45" t="s">
        <v>198</v>
      </c>
      <c r="AD45" t="s">
        <v>199</v>
      </c>
      <c r="AE45">
        <v>36</v>
      </c>
      <c r="AF45">
        <v>44</v>
      </c>
      <c r="AG45">
        <v>255</v>
      </c>
      <c r="AH45">
        <v>0</v>
      </c>
      <c r="AI45">
        <v>0</v>
      </c>
      <c r="AJ45">
        <v>0</v>
      </c>
      <c r="AK45">
        <v>12.6</v>
      </c>
      <c r="AL45">
        <v>0</v>
      </c>
      <c r="AM45">
        <v>0</v>
      </c>
      <c r="AN45" t="s">
        <v>197</v>
      </c>
      <c r="AO45">
        <v>100</v>
      </c>
      <c r="AP45" t="s">
        <v>197</v>
      </c>
      <c r="AQ45" t="s">
        <v>200</v>
      </c>
      <c r="AR45">
        <v>1</v>
      </c>
      <c r="AS45">
        <v>0</v>
      </c>
      <c r="AT45" t="s">
        <v>271</v>
      </c>
      <c r="AU45" t="s">
        <v>271</v>
      </c>
      <c r="AV45" t="s">
        <v>202</v>
      </c>
      <c r="AW45" t="s">
        <v>203</v>
      </c>
      <c r="AX45" t="s">
        <v>203</v>
      </c>
      <c r="AY45" t="s">
        <v>203</v>
      </c>
      <c r="AZ45" t="s">
        <v>203</v>
      </c>
      <c r="BA45" t="s">
        <v>203</v>
      </c>
      <c r="BB45" t="s">
        <v>203</v>
      </c>
      <c r="BC45" t="s">
        <v>203</v>
      </c>
      <c r="BD45" t="s">
        <v>203</v>
      </c>
      <c r="BE45" t="s">
        <v>203</v>
      </c>
      <c r="BF45">
        <v>39.12</v>
      </c>
      <c r="BG45">
        <v>0.2</v>
      </c>
      <c r="BH45">
        <v>50</v>
      </c>
      <c r="BI45">
        <v>0</v>
      </c>
      <c r="BJ45" t="s">
        <v>198</v>
      </c>
      <c r="BK45" t="s">
        <v>198</v>
      </c>
      <c r="BL45" t="s">
        <v>198</v>
      </c>
      <c r="BM45" t="s">
        <v>198</v>
      </c>
      <c r="BN45" t="s">
        <v>198</v>
      </c>
      <c r="BO45" t="s">
        <v>198</v>
      </c>
      <c r="BP45" t="s">
        <v>198</v>
      </c>
      <c r="BQ45" t="s">
        <v>198</v>
      </c>
      <c r="BR45" t="s">
        <v>198</v>
      </c>
      <c r="BS45" t="s">
        <v>198</v>
      </c>
      <c r="BT45" t="s">
        <v>198</v>
      </c>
      <c r="BU45" t="s">
        <v>198</v>
      </c>
      <c r="BV45" t="s">
        <v>198</v>
      </c>
      <c r="BW45" t="s">
        <v>198</v>
      </c>
      <c r="BX45" t="s">
        <v>198</v>
      </c>
      <c r="BY45" t="s">
        <v>198</v>
      </c>
      <c r="BZ45" t="s">
        <v>198</v>
      </c>
      <c r="CA45" t="s">
        <v>198</v>
      </c>
      <c r="CB45" t="s">
        <v>204</v>
      </c>
      <c r="CC45" t="s">
        <v>204</v>
      </c>
      <c r="CD45" t="s">
        <v>204</v>
      </c>
      <c r="CE45" t="s">
        <v>204</v>
      </c>
      <c r="CF45" t="s">
        <v>204</v>
      </c>
      <c r="CG45" t="s">
        <v>204</v>
      </c>
      <c r="CH45" t="s">
        <v>204</v>
      </c>
      <c r="CI45" t="s">
        <v>204</v>
      </c>
      <c r="CJ45" t="s">
        <v>204</v>
      </c>
      <c r="CK45" t="s">
        <v>204</v>
      </c>
      <c r="CL45" t="s">
        <v>204</v>
      </c>
      <c r="CM45" t="s">
        <v>204</v>
      </c>
      <c r="CN45" t="s">
        <v>203</v>
      </c>
      <c r="CO45" t="s">
        <v>203</v>
      </c>
      <c r="CP45" t="s">
        <v>203</v>
      </c>
      <c r="CQ45" t="s">
        <v>203</v>
      </c>
      <c r="CR45" t="s">
        <v>203</v>
      </c>
      <c r="CS45" t="s">
        <v>203</v>
      </c>
      <c r="CT45" t="s">
        <v>203</v>
      </c>
      <c r="CU45" t="s">
        <v>203</v>
      </c>
      <c r="CV45">
        <v>0</v>
      </c>
      <c r="CW45">
        <v>0</v>
      </c>
      <c r="CX45" t="s">
        <v>198</v>
      </c>
      <c r="CY45" t="s">
        <v>198</v>
      </c>
      <c r="CZ45" t="s">
        <v>198</v>
      </c>
      <c r="DA45" t="s">
        <v>198</v>
      </c>
      <c r="DB45" t="s">
        <v>198</v>
      </c>
      <c r="DC45">
        <v>0</v>
      </c>
      <c r="DD45">
        <v>0</v>
      </c>
      <c r="DE45">
        <v>0</v>
      </c>
      <c r="DF45">
        <v>0</v>
      </c>
      <c r="DG45">
        <v>-35.3632621</v>
      </c>
      <c r="DH45">
        <v>149.1652374</v>
      </c>
      <c r="DI45" t="s">
        <v>205</v>
      </c>
      <c r="DJ45">
        <v>1.2</v>
      </c>
      <c r="DK45">
        <v>2</v>
      </c>
      <c r="DL45">
        <v>273.2</v>
      </c>
      <c r="DM45">
        <v>0</v>
      </c>
      <c r="DN45">
        <v>6</v>
      </c>
      <c r="DO45">
        <v>10</v>
      </c>
      <c r="DP45">
        <v>0</v>
      </c>
      <c r="DQ45">
        <v>255</v>
      </c>
      <c r="DR45">
        <v>255</v>
      </c>
      <c r="DS45">
        <v>255</v>
      </c>
      <c r="DT45">
        <v>255</v>
      </c>
      <c r="DU45">
        <v>255</v>
      </c>
      <c r="DV45">
        <v>255</v>
      </c>
      <c r="DW45">
        <v>255</v>
      </c>
      <c r="DX45" t="s">
        <v>206</v>
      </c>
      <c r="DY45" t="s">
        <v>206</v>
      </c>
      <c r="DZ45" t="s">
        <v>207</v>
      </c>
      <c r="EA45" t="s">
        <v>198</v>
      </c>
      <c r="EB45" t="s">
        <v>198</v>
      </c>
      <c r="EC45" t="s">
        <v>198</v>
      </c>
      <c r="ED45">
        <v>0</v>
      </c>
      <c r="EE45">
        <v>0</v>
      </c>
      <c r="EF45">
        <v>0</v>
      </c>
      <c r="EG45">
        <v>0</v>
      </c>
      <c r="EH45">
        <v>255</v>
      </c>
      <c r="EI45">
        <v>255</v>
      </c>
      <c r="EJ45">
        <v>255</v>
      </c>
      <c r="EK45">
        <v>255</v>
      </c>
      <c r="EL45">
        <v>255</v>
      </c>
      <c r="EM45">
        <v>255</v>
      </c>
      <c r="EN45">
        <v>255</v>
      </c>
      <c r="EO45">
        <v>255</v>
      </c>
      <c r="EP45">
        <v>255</v>
      </c>
      <c r="EQ45">
        <v>255</v>
      </c>
      <c r="ER45" t="s">
        <v>208</v>
      </c>
      <c r="ES45" t="s">
        <v>209</v>
      </c>
      <c r="ET45" t="s">
        <v>209</v>
      </c>
      <c r="EU45">
        <v>0</v>
      </c>
      <c r="EV45">
        <v>0</v>
      </c>
      <c r="EW45">
        <v>0</v>
      </c>
      <c r="EX45">
        <v>-40.7</v>
      </c>
      <c r="EY45">
        <v>0</v>
      </c>
      <c r="EZ45">
        <v>0</v>
      </c>
      <c r="FA45">
        <v>-2.5</v>
      </c>
      <c r="FB45" t="s">
        <v>198</v>
      </c>
      <c r="FC45" t="s">
        <v>198</v>
      </c>
      <c r="FD45" t="s">
        <v>198</v>
      </c>
      <c r="FE45" t="s">
        <v>198</v>
      </c>
      <c r="FF45" t="s">
        <v>198</v>
      </c>
      <c r="FG45" t="s">
        <v>198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203</v>
      </c>
      <c r="FP45" t="s">
        <v>203</v>
      </c>
      <c r="FQ45" t="s">
        <v>203</v>
      </c>
      <c r="FR45" t="s">
        <v>203</v>
      </c>
      <c r="FS45" t="s">
        <v>203</v>
      </c>
      <c r="FT45" t="s">
        <v>203</v>
      </c>
      <c r="FU45" t="s">
        <v>198</v>
      </c>
      <c r="FV45" t="s">
        <v>198</v>
      </c>
      <c r="FW45" t="s">
        <v>198</v>
      </c>
      <c r="FX45" t="s">
        <v>198</v>
      </c>
      <c r="FY45" t="s">
        <v>198</v>
      </c>
      <c r="FZ45" t="s">
        <v>198</v>
      </c>
      <c r="GA45">
        <v>30.94</v>
      </c>
      <c r="GB45">
        <v>30.94</v>
      </c>
      <c r="GC45" t="s">
        <v>203</v>
      </c>
      <c r="GD45">
        <v>0</v>
      </c>
      <c r="GE45">
        <v>504</v>
      </c>
      <c r="GF45">
        <v>0</v>
      </c>
      <c r="GG45">
        <v>0</v>
      </c>
      <c r="GH45">
        <v>0.3</v>
      </c>
      <c r="GI45">
        <v>0</v>
      </c>
      <c r="GJ45">
        <v>0</v>
      </c>
      <c r="GK45">
        <v>0</v>
      </c>
      <c r="GL45" t="s">
        <v>198</v>
      </c>
      <c r="GM45" t="s">
        <v>198</v>
      </c>
      <c r="GN45" t="s">
        <v>198</v>
      </c>
    </row>
    <row r="46" spans="1:196">
      <c r="A46" s="19">
        <v>46316.90441369213</v>
      </c>
      <c r="B46">
        <v>0</v>
      </c>
      <c r="C46">
        <v>0</v>
      </c>
      <c r="D46">
        <v>359</v>
      </c>
      <c r="E46">
        <v>0</v>
      </c>
      <c r="F46">
        <v>0</v>
      </c>
      <c r="G46">
        <v>0</v>
      </c>
      <c r="H46">
        <v>0</v>
      </c>
      <c r="I46">
        <v>0</v>
      </c>
      <c r="J46">
        <v>0.001</v>
      </c>
      <c r="K46">
        <v>2.5</v>
      </c>
      <c r="L46">
        <v>43</v>
      </c>
      <c r="M46">
        <v>627.1</v>
      </c>
      <c r="N46">
        <v>40.9</v>
      </c>
      <c r="O46">
        <v>42.96</v>
      </c>
      <c r="P46">
        <v>42.966</v>
      </c>
      <c r="Q46">
        <v>0</v>
      </c>
      <c r="R46">
        <v>0</v>
      </c>
      <c r="S46">
        <v>0</v>
      </c>
      <c r="T46" t="s">
        <v>272</v>
      </c>
      <c r="U46">
        <v>0</v>
      </c>
      <c r="V46">
        <v>0</v>
      </c>
      <c r="W46">
        <v>1</v>
      </c>
      <c r="X46" t="s">
        <v>197</v>
      </c>
      <c r="Y46">
        <v>0</v>
      </c>
      <c r="Z46" t="s">
        <v>197</v>
      </c>
      <c r="AA46" t="s">
        <v>197</v>
      </c>
      <c r="AB46" t="s">
        <v>197</v>
      </c>
      <c r="AC46" t="s">
        <v>198</v>
      </c>
      <c r="AD46" t="s">
        <v>199</v>
      </c>
      <c r="AE46">
        <v>36</v>
      </c>
      <c r="AF46">
        <v>44</v>
      </c>
      <c r="AG46">
        <v>255</v>
      </c>
      <c r="AH46">
        <v>0</v>
      </c>
      <c r="AI46">
        <v>0</v>
      </c>
      <c r="AJ46">
        <v>0</v>
      </c>
      <c r="AK46">
        <v>12.6</v>
      </c>
      <c r="AL46">
        <v>0</v>
      </c>
      <c r="AM46">
        <v>0</v>
      </c>
      <c r="AN46" t="s">
        <v>197</v>
      </c>
      <c r="AO46">
        <v>100</v>
      </c>
      <c r="AP46" t="s">
        <v>197</v>
      </c>
      <c r="AQ46" t="s">
        <v>200</v>
      </c>
      <c r="AR46">
        <v>1</v>
      </c>
      <c r="AS46">
        <v>0</v>
      </c>
      <c r="AT46" t="s">
        <v>273</v>
      </c>
      <c r="AU46" t="s">
        <v>273</v>
      </c>
      <c r="AV46" t="s">
        <v>202</v>
      </c>
      <c r="AW46" t="s">
        <v>203</v>
      </c>
      <c r="AX46" t="s">
        <v>203</v>
      </c>
      <c r="AY46" t="s">
        <v>203</v>
      </c>
      <c r="AZ46" t="s">
        <v>203</v>
      </c>
      <c r="BA46" t="s">
        <v>203</v>
      </c>
      <c r="BB46" t="s">
        <v>203</v>
      </c>
      <c r="BC46" t="s">
        <v>203</v>
      </c>
      <c r="BD46" t="s">
        <v>203</v>
      </c>
      <c r="BE46" t="s">
        <v>203</v>
      </c>
      <c r="BF46">
        <v>41.62</v>
      </c>
      <c r="BG46">
        <v>0.2</v>
      </c>
      <c r="BH46">
        <v>50</v>
      </c>
      <c r="BI46">
        <v>0</v>
      </c>
      <c r="BJ46" t="s">
        <v>198</v>
      </c>
      <c r="BK46" t="s">
        <v>198</v>
      </c>
      <c r="BL46" t="s">
        <v>198</v>
      </c>
      <c r="BM46" t="s">
        <v>198</v>
      </c>
      <c r="BN46" t="s">
        <v>198</v>
      </c>
      <c r="BO46" t="s">
        <v>198</v>
      </c>
      <c r="BP46" t="s">
        <v>198</v>
      </c>
      <c r="BQ46" t="s">
        <v>198</v>
      </c>
      <c r="BR46" t="s">
        <v>198</v>
      </c>
      <c r="BS46" t="s">
        <v>198</v>
      </c>
      <c r="BT46" t="s">
        <v>198</v>
      </c>
      <c r="BU46" t="s">
        <v>198</v>
      </c>
      <c r="BV46" t="s">
        <v>198</v>
      </c>
      <c r="BW46" t="s">
        <v>198</v>
      </c>
      <c r="BX46" t="s">
        <v>198</v>
      </c>
      <c r="BY46" t="s">
        <v>198</v>
      </c>
      <c r="BZ46" t="s">
        <v>198</v>
      </c>
      <c r="CA46" t="s">
        <v>198</v>
      </c>
      <c r="CB46" t="s">
        <v>204</v>
      </c>
      <c r="CC46" t="s">
        <v>204</v>
      </c>
      <c r="CD46" t="s">
        <v>204</v>
      </c>
      <c r="CE46" t="s">
        <v>204</v>
      </c>
      <c r="CF46" t="s">
        <v>204</v>
      </c>
      <c r="CG46" t="s">
        <v>204</v>
      </c>
      <c r="CH46" t="s">
        <v>204</v>
      </c>
      <c r="CI46" t="s">
        <v>204</v>
      </c>
      <c r="CJ46" t="s">
        <v>204</v>
      </c>
      <c r="CK46" t="s">
        <v>204</v>
      </c>
      <c r="CL46" t="s">
        <v>204</v>
      </c>
      <c r="CM46" t="s">
        <v>204</v>
      </c>
      <c r="CN46" t="s">
        <v>203</v>
      </c>
      <c r="CO46" t="s">
        <v>203</v>
      </c>
      <c r="CP46" t="s">
        <v>203</v>
      </c>
      <c r="CQ46" t="s">
        <v>203</v>
      </c>
      <c r="CR46" t="s">
        <v>203</v>
      </c>
      <c r="CS46" t="s">
        <v>203</v>
      </c>
      <c r="CT46" t="s">
        <v>203</v>
      </c>
      <c r="CU46" t="s">
        <v>203</v>
      </c>
      <c r="CV46">
        <v>0</v>
      </c>
      <c r="CW46">
        <v>0</v>
      </c>
      <c r="CX46" t="s">
        <v>198</v>
      </c>
      <c r="CY46" t="s">
        <v>198</v>
      </c>
      <c r="CZ46" t="s">
        <v>198</v>
      </c>
      <c r="DA46" t="s">
        <v>198</v>
      </c>
      <c r="DB46" t="s">
        <v>198</v>
      </c>
      <c r="DC46">
        <v>0</v>
      </c>
      <c r="DD46">
        <v>0</v>
      </c>
      <c r="DE46">
        <v>0</v>
      </c>
      <c r="DF46">
        <v>0</v>
      </c>
      <c r="DG46">
        <v>-35.3632621</v>
      </c>
      <c r="DH46">
        <v>149.1652374</v>
      </c>
      <c r="DI46" t="s">
        <v>205</v>
      </c>
      <c r="DJ46">
        <v>1.2</v>
      </c>
      <c r="DK46">
        <v>2</v>
      </c>
      <c r="DL46">
        <v>97.09999999999999</v>
      </c>
      <c r="DM46">
        <v>0</v>
      </c>
      <c r="DN46">
        <v>6</v>
      </c>
      <c r="DO46">
        <v>10</v>
      </c>
      <c r="DP46">
        <v>0</v>
      </c>
      <c r="DQ46">
        <v>255</v>
      </c>
      <c r="DR46">
        <v>255</v>
      </c>
      <c r="DS46">
        <v>255</v>
      </c>
      <c r="DT46">
        <v>255</v>
      </c>
      <c r="DU46">
        <v>255</v>
      </c>
      <c r="DV46">
        <v>255</v>
      </c>
      <c r="DW46">
        <v>255</v>
      </c>
      <c r="DX46" t="s">
        <v>206</v>
      </c>
      <c r="DY46" t="s">
        <v>206</v>
      </c>
      <c r="DZ46" t="s">
        <v>207</v>
      </c>
      <c r="EA46" t="s">
        <v>198</v>
      </c>
      <c r="EB46" t="s">
        <v>198</v>
      </c>
      <c r="EC46" t="s">
        <v>198</v>
      </c>
      <c r="ED46">
        <v>0</v>
      </c>
      <c r="EE46">
        <v>0</v>
      </c>
      <c r="EF46">
        <v>0</v>
      </c>
      <c r="EG46">
        <v>0</v>
      </c>
      <c r="EH46">
        <v>255</v>
      </c>
      <c r="EI46">
        <v>255</v>
      </c>
      <c r="EJ46">
        <v>255</v>
      </c>
      <c r="EK46">
        <v>255</v>
      </c>
      <c r="EL46">
        <v>255</v>
      </c>
      <c r="EM46">
        <v>255</v>
      </c>
      <c r="EN46">
        <v>255</v>
      </c>
      <c r="EO46">
        <v>255</v>
      </c>
      <c r="EP46">
        <v>255</v>
      </c>
      <c r="EQ46">
        <v>255</v>
      </c>
      <c r="ER46" t="s">
        <v>208</v>
      </c>
      <c r="ES46" t="s">
        <v>209</v>
      </c>
      <c r="ET46" t="s">
        <v>209</v>
      </c>
      <c r="EU46">
        <v>0</v>
      </c>
      <c r="EV46">
        <v>0</v>
      </c>
      <c r="EW46">
        <v>0</v>
      </c>
      <c r="EX46">
        <v>-43.2</v>
      </c>
      <c r="EY46">
        <v>0</v>
      </c>
      <c r="EZ46">
        <v>0</v>
      </c>
      <c r="FA46">
        <v>-2.5</v>
      </c>
      <c r="FB46" t="s">
        <v>198</v>
      </c>
      <c r="FC46" t="s">
        <v>198</v>
      </c>
      <c r="FD46" t="s">
        <v>198</v>
      </c>
      <c r="FE46" t="s">
        <v>198</v>
      </c>
      <c r="FF46" t="s">
        <v>198</v>
      </c>
      <c r="FG46" t="s">
        <v>198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 t="s">
        <v>203</v>
      </c>
      <c r="FP46" t="s">
        <v>203</v>
      </c>
      <c r="FQ46" t="s">
        <v>203</v>
      </c>
      <c r="FR46" t="s">
        <v>203</v>
      </c>
      <c r="FS46" t="s">
        <v>203</v>
      </c>
      <c r="FT46" t="s">
        <v>203</v>
      </c>
      <c r="FU46" t="s">
        <v>198</v>
      </c>
      <c r="FV46" t="s">
        <v>198</v>
      </c>
      <c r="FW46" t="s">
        <v>198</v>
      </c>
      <c r="FX46" t="s">
        <v>198</v>
      </c>
      <c r="FY46" t="s">
        <v>198</v>
      </c>
      <c r="FZ46" t="s">
        <v>198</v>
      </c>
      <c r="GA46">
        <v>30.92</v>
      </c>
      <c r="GB46">
        <v>30.92</v>
      </c>
      <c r="GC46" t="s">
        <v>203</v>
      </c>
      <c r="GD46">
        <v>0</v>
      </c>
      <c r="GE46">
        <v>504</v>
      </c>
      <c r="GF46">
        <v>0</v>
      </c>
      <c r="GG46">
        <v>0</v>
      </c>
      <c r="GH46">
        <v>0.3</v>
      </c>
      <c r="GI46">
        <v>0</v>
      </c>
      <c r="GJ46">
        <v>0</v>
      </c>
      <c r="GK46">
        <v>0</v>
      </c>
      <c r="GL46" t="s">
        <v>198</v>
      </c>
      <c r="GM46" t="s">
        <v>198</v>
      </c>
      <c r="GN46" t="s">
        <v>198</v>
      </c>
    </row>
    <row r="47" spans="1:196">
      <c r="A47" s="19">
        <v>46316.90442526621</v>
      </c>
      <c r="B47">
        <v>-0.2</v>
      </c>
      <c r="C47">
        <v>0</v>
      </c>
      <c r="D47">
        <v>359</v>
      </c>
      <c r="E47">
        <v>0</v>
      </c>
      <c r="F47">
        <v>0</v>
      </c>
      <c r="G47">
        <v>0</v>
      </c>
      <c r="H47">
        <v>0</v>
      </c>
      <c r="I47">
        <v>0</v>
      </c>
      <c r="J47">
        <v>0.005</v>
      </c>
      <c r="K47">
        <v>2.5</v>
      </c>
      <c r="L47">
        <v>45.5</v>
      </c>
      <c r="M47">
        <v>629.6</v>
      </c>
      <c r="N47">
        <v>43.4</v>
      </c>
      <c r="O47">
        <v>45.46</v>
      </c>
      <c r="P47">
        <v>45.466</v>
      </c>
      <c r="Q47">
        <v>0</v>
      </c>
      <c r="R47">
        <v>0</v>
      </c>
      <c r="S47">
        <v>0</v>
      </c>
      <c r="T47" t="s">
        <v>274</v>
      </c>
      <c r="U47">
        <v>0</v>
      </c>
      <c r="V47">
        <v>0</v>
      </c>
      <c r="W47">
        <v>1</v>
      </c>
      <c r="X47" t="s">
        <v>197</v>
      </c>
      <c r="Y47">
        <v>0</v>
      </c>
      <c r="Z47" t="s">
        <v>197</v>
      </c>
      <c r="AA47" t="s">
        <v>197</v>
      </c>
      <c r="AB47" t="s">
        <v>197</v>
      </c>
      <c r="AC47" t="s">
        <v>198</v>
      </c>
      <c r="AD47" t="s">
        <v>199</v>
      </c>
      <c r="AE47">
        <v>36</v>
      </c>
      <c r="AF47">
        <v>44</v>
      </c>
      <c r="AG47">
        <v>255</v>
      </c>
      <c r="AH47">
        <v>0</v>
      </c>
      <c r="AI47">
        <v>0</v>
      </c>
      <c r="AJ47">
        <v>0</v>
      </c>
      <c r="AK47">
        <v>12.6</v>
      </c>
      <c r="AL47">
        <v>0</v>
      </c>
      <c r="AM47">
        <v>0</v>
      </c>
      <c r="AN47" t="s">
        <v>197</v>
      </c>
      <c r="AO47">
        <v>100</v>
      </c>
      <c r="AP47" t="s">
        <v>197</v>
      </c>
      <c r="AQ47" t="s">
        <v>200</v>
      </c>
      <c r="AR47">
        <v>1</v>
      </c>
      <c r="AS47">
        <v>0</v>
      </c>
      <c r="AT47" t="s">
        <v>275</v>
      </c>
      <c r="AU47" t="s">
        <v>275</v>
      </c>
      <c r="AV47" t="s">
        <v>202</v>
      </c>
      <c r="AW47" t="s">
        <v>203</v>
      </c>
      <c r="AX47" t="s">
        <v>203</v>
      </c>
      <c r="AY47" t="s">
        <v>203</v>
      </c>
      <c r="AZ47" t="s">
        <v>203</v>
      </c>
      <c r="BA47" t="s">
        <v>203</v>
      </c>
      <c r="BB47" t="s">
        <v>203</v>
      </c>
      <c r="BC47" t="s">
        <v>203</v>
      </c>
      <c r="BD47" t="s">
        <v>203</v>
      </c>
      <c r="BE47" t="s">
        <v>203</v>
      </c>
      <c r="BF47">
        <v>44.12</v>
      </c>
      <c r="BG47">
        <v>0.2</v>
      </c>
      <c r="BH47">
        <v>50</v>
      </c>
      <c r="BI47">
        <v>0</v>
      </c>
      <c r="BJ47" t="s">
        <v>198</v>
      </c>
      <c r="BK47" t="s">
        <v>198</v>
      </c>
      <c r="BL47" t="s">
        <v>198</v>
      </c>
      <c r="BM47" t="s">
        <v>198</v>
      </c>
      <c r="BN47" t="s">
        <v>198</v>
      </c>
      <c r="BO47" t="s">
        <v>198</v>
      </c>
      <c r="BP47" t="s">
        <v>198</v>
      </c>
      <c r="BQ47" t="s">
        <v>198</v>
      </c>
      <c r="BR47" t="s">
        <v>198</v>
      </c>
      <c r="BS47" t="s">
        <v>198</v>
      </c>
      <c r="BT47" t="s">
        <v>198</v>
      </c>
      <c r="BU47" t="s">
        <v>198</v>
      </c>
      <c r="BV47" t="s">
        <v>198</v>
      </c>
      <c r="BW47" t="s">
        <v>198</v>
      </c>
      <c r="BX47" t="s">
        <v>198</v>
      </c>
      <c r="BY47" t="s">
        <v>198</v>
      </c>
      <c r="BZ47" t="s">
        <v>198</v>
      </c>
      <c r="CA47" t="s">
        <v>198</v>
      </c>
      <c r="CB47" t="s">
        <v>204</v>
      </c>
      <c r="CC47" t="s">
        <v>204</v>
      </c>
      <c r="CD47" t="s">
        <v>204</v>
      </c>
      <c r="CE47" t="s">
        <v>204</v>
      </c>
      <c r="CF47" t="s">
        <v>204</v>
      </c>
      <c r="CG47" t="s">
        <v>204</v>
      </c>
      <c r="CH47" t="s">
        <v>204</v>
      </c>
      <c r="CI47" t="s">
        <v>204</v>
      </c>
      <c r="CJ47" t="s">
        <v>204</v>
      </c>
      <c r="CK47" t="s">
        <v>204</v>
      </c>
      <c r="CL47" t="s">
        <v>204</v>
      </c>
      <c r="CM47" t="s">
        <v>204</v>
      </c>
      <c r="CN47" t="s">
        <v>203</v>
      </c>
      <c r="CO47" t="s">
        <v>203</v>
      </c>
      <c r="CP47" t="s">
        <v>203</v>
      </c>
      <c r="CQ47" t="s">
        <v>203</v>
      </c>
      <c r="CR47" t="s">
        <v>203</v>
      </c>
      <c r="CS47" t="s">
        <v>203</v>
      </c>
      <c r="CT47" t="s">
        <v>203</v>
      </c>
      <c r="CU47" t="s">
        <v>203</v>
      </c>
      <c r="CV47">
        <v>0</v>
      </c>
      <c r="CW47">
        <v>0</v>
      </c>
      <c r="CX47" t="s">
        <v>198</v>
      </c>
      <c r="CY47" t="s">
        <v>198</v>
      </c>
      <c r="CZ47" t="s">
        <v>198</v>
      </c>
      <c r="DA47" t="s">
        <v>198</v>
      </c>
      <c r="DB47" t="s">
        <v>198</v>
      </c>
      <c r="DC47">
        <v>0</v>
      </c>
      <c r="DD47">
        <v>0</v>
      </c>
      <c r="DE47">
        <v>0</v>
      </c>
      <c r="DF47">
        <v>0</v>
      </c>
      <c r="DG47">
        <v>-35.3632621</v>
      </c>
      <c r="DH47">
        <v>149.1652374</v>
      </c>
      <c r="DI47" t="s">
        <v>205</v>
      </c>
      <c r="DJ47">
        <v>1.2</v>
      </c>
      <c r="DK47">
        <v>2</v>
      </c>
      <c r="DL47">
        <v>87.90000000000001</v>
      </c>
      <c r="DM47">
        <v>0</v>
      </c>
      <c r="DN47">
        <v>6</v>
      </c>
      <c r="DO47">
        <v>10</v>
      </c>
      <c r="DP47">
        <v>0</v>
      </c>
      <c r="DQ47">
        <v>255</v>
      </c>
      <c r="DR47">
        <v>255</v>
      </c>
      <c r="DS47">
        <v>255</v>
      </c>
      <c r="DT47">
        <v>255</v>
      </c>
      <c r="DU47">
        <v>255</v>
      </c>
      <c r="DV47">
        <v>255</v>
      </c>
      <c r="DW47">
        <v>255</v>
      </c>
      <c r="DX47" t="s">
        <v>206</v>
      </c>
      <c r="DY47" t="s">
        <v>206</v>
      </c>
      <c r="DZ47" t="s">
        <v>207</v>
      </c>
      <c r="EA47" t="s">
        <v>198</v>
      </c>
      <c r="EB47" t="s">
        <v>198</v>
      </c>
      <c r="EC47" t="s">
        <v>198</v>
      </c>
      <c r="ED47">
        <v>0</v>
      </c>
      <c r="EE47">
        <v>0</v>
      </c>
      <c r="EF47">
        <v>0</v>
      </c>
      <c r="EG47">
        <v>0</v>
      </c>
      <c r="EH47">
        <v>255</v>
      </c>
      <c r="EI47">
        <v>255</v>
      </c>
      <c r="EJ47">
        <v>255</v>
      </c>
      <c r="EK47">
        <v>255</v>
      </c>
      <c r="EL47">
        <v>255</v>
      </c>
      <c r="EM47">
        <v>255</v>
      </c>
      <c r="EN47">
        <v>255</v>
      </c>
      <c r="EO47">
        <v>255</v>
      </c>
      <c r="EP47">
        <v>255</v>
      </c>
      <c r="EQ47">
        <v>255</v>
      </c>
      <c r="ER47" t="s">
        <v>208</v>
      </c>
      <c r="ES47" t="s">
        <v>209</v>
      </c>
      <c r="ET47" t="s">
        <v>209</v>
      </c>
      <c r="EU47">
        <v>0</v>
      </c>
      <c r="EV47">
        <v>0</v>
      </c>
      <c r="EW47">
        <v>0</v>
      </c>
      <c r="EX47">
        <v>-45.7</v>
      </c>
      <c r="EY47">
        <v>0</v>
      </c>
      <c r="EZ47">
        <v>0</v>
      </c>
      <c r="FA47">
        <v>-2.5</v>
      </c>
      <c r="FB47" t="s">
        <v>198</v>
      </c>
      <c r="FC47" t="s">
        <v>198</v>
      </c>
      <c r="FD47" t="s">
        <v>198</v>
      </c>
      <c r="FE47" t="s">
        <v>198</v>
      </c>
      <c r="FF47" t="s">
        <v>198</v>
      </c>
      <c r="FG47" t="s">
        <v>198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 t="s">
        <v>203</v>
      </c>
      <c r="FP47" t="s">
        <v>203</v>
      </c>
      <c r="FQ47" t="s">
        <v>203</v>
      </c>
      <c r="FR47" t="s">
        <v>203</v>
      </c>
      <c r="FS47" t="s">
        <v>203</v>
      </c>
      <c r="FT47" t="s">
        <v>203</v>
      </c>
      <c r="FU47" t="s">
        <v>198</v>
      </c>
      <c r="FV47" t="s">
        <v>198</v>
      </c>
      <c r="FW47" t="s">
        <v>198</v>
      </c>
      <c r="FX47" t="s">
        <v>198</v>
      </c>
      <c r="FY47" t="s">
        <v>198</v>
      </c>
      <c r="FZ47" t="s">
        <v>198</v>
      </c>
      <c r="GA47">
        <v>30.9</v>
      </c>
      <c r="GB47">
        <v>30.9</v>
      </c>
      <c r="GC47" t="s">
        <v>203</v>
      </c>
      <c r="GD47">
        <v>0</v>
      </c>
      <c r="GE47">
        <v>504</v>
      </c>
      <c r="GF47">
        <v>0</v>
      </c>
      <c r="GG47">
        <v>0</v>
      </c>
      <c r="GH47">
        <v>0.3</v>
      </c>
      <c r="GI47">
        <v>0</v>
      </c>
      <c r="GJ47">
        <v>0</v>
      </c>
      <c r="GK47">
        <v>0</v>
      </c>
      <c r="GL47" t="s">
        <v>198</v>
      </c>
      <c r="GM47" t="s">
        <v>198</v>
      </c>
      <c r="GN47" t="s">
        <v>198</v>
      </c>
    </row>
    <row r="48" spans="1:196">
      <c r="A48" s="19">
        <v>46316.90443684028</v>
      </c>
      <c r="B48">
        <v>-0.1</v>
      </c>
      <c r="C48">
        <v>0</v>
      </c>
      <c r="D48">
        <v>359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2.1</v>
      </c>
      <c r="L48">
        <v>47.9</v>
      </c>
      <c r="M48">
        <v>632.1</v>
      </c>
      <c r="N48">
        <v>45.9</v>
      </c>
      <c r="O48">
        <v>47.87</v>
      </c>
      <c r="P48">
        <v>47.852</v>
      </c>
      <c r="Q48">
        <v>0</v>
      </c>
      <c r="R48">
        <v>0</v>
      </c>
      <c r="S48">
        <v>0</v>
      </c>
      <c r="T48" t="s">
        <v>276</v>
      </c>
      <c r="U48">
        <v>0</v>
      </c>
      <c r="V48">
        <v>0</v>
      </c>
      <c r="W48">
        <v>1</v>
      </c>
      <c r="X48" t="s">
        <v>197</v>
      </c>
      <c r="Y48">
        <v>0</v>
      </c>
      <c r="Z48" t="s">
        <v>197</v>
      </c>
      <c r="AA48" t="s">
        <v>197</v>
      </c>
      <c r="AB48" t="s">
        <v>197</v>
      </c>
      <c r="AC48" t="s">
        <v>198</v>
      </c>
      <c r="AD48" t="s">
        <v>199</v>
      </c>
      <c r="AE48">
        <v>33</v>
      </c>
      <c r="AF48">
        <v>44</v>
      </c>
      <c r="AG48">
        <v>255</v>
      </c>
      <c r="AH48">
        <v>0</v>
      </c>
      <c r="AI48">
        <v>0</v>
      </c>
      <c r="AJ48">
        <v>0</v>
      </c>
      <c r="AK48">
        <v>12.6</v>
      </c>
      <c r="AL48">
        <v>0</v>
      </c>
      <c r="AM48">
        <v>0</v>
      </c>
      <c r="AN48" t="s">
        <v>197</v>
      </c>
      <c r="AO48">
        <v>100</v>
      </c>
      <c r="AP48" t="s">
        <v>197</v>
      </c>
      <c r="AQ48" t="s">
        <v>200</v>
      </c>
      <c r="AR48">
        <v>1</v>
      </c>
      <c r="AS48">
        <v>0</v>
      </c>
      <c r="AT48" t="s">
        <v>277</v>
      </c>
      <c r="AU48" t="s">
        <v>277</v>
      </c>
      <c r="AV48" t="s">
        <v>202</v>
      </c>
      <c r="AW48" t="s">
        <v>203</v>
      </c>
      <c r="AX48" t="s">
        <v>203</v>
      </c>
      <c r="AY48" t="s">
        <v>203</v>
      </c>
      <c r="AZ48" t="s">
        <v>203</v>
      </c>
      <c r="BA48" t="s">
        <v>203</v>
      </c>
      <c r="BB48" t="s">
        <v>203</v>
      </c>
      <c r="BC48" t="s">
        <v>203</v>
      </c>
      <c r="BD48" t="s">
        <v>203</v>
      </c>
      <c r="BE48" t="s">
        <v>203</v>
      </c>
      <c r="BF48">
        <v>46.53</v>
      </c>
      <c r="BG48">
        <v>0.2</v>
      </c>
      <c r="BH48">
        <v>50</v>
      </c>
      <c r="BI48">
        <v>0</v>
      </c>
      <c r="BJ48" t="s">
        <v>198</v>
      </c>
      <c r="BK48" t="s">
        <v>198</v>
      </c>
      <c r="BL48" t="s">
        <v>198</v>
      </c>
      <c r="BM48" t="s">
        <v>198</v>
      </c>
      <c r="BN48" t="s">
        <v>198</v>
      </c>
      <c r="BO48" t="s">
        <v>198</v>
      </c>
      <c r="BP48" t="s">
        <v>198</v>
      </c>
      <c r="BQ48" t="s">
        <v>198</v>
      </c>
      <c r="BR48" t="s">
        <v>198</v>
      </c>
      <c r="BS48" t="s">
        <v>198</v>
      </c>
      <c r="BT48" t="s">
        <v>198</v>
      </c>
      <c r="BU48" t="s">
        <v>198</v>
      </c>
      <c r="BV48" t="s">
        <v>198</v>
      </c>
      <c r="BW48" t="s">
        <v>198</v>
      </c>
      <c r="BX48" t="s">
        <v>198</v>
      </c>
      <c r="BY48" t="s">
        <v>198</v>
      </c>
      <c r="BZ48" t="s">
        <v>198</v>
      </c>
      <c r="CA48" t="s">
        <v>198</v>
      </c>
      <c r="CB48" t="s">
        <v>204</v>
      </c>
      <c r="CC48" t="s">
        <v>204</v>
      </c>
      <c r="CD48" t="s">
        <v>204</v>
      </c>
      <c r="CE48" t="s">
        <v>204</v>
      </c>
      <c r="CF48" t="s">
        <v>204</v>
      </c>
      <c r="CG48" t="s">
        <v>204</v>
      </c>
      <c r="CH48" t="s">
        <v>204</v>
      </c>
      <c r="CI48" t="s">
        <v>204</v>
      </c>
      <c r="CJ48" t="s">
        <v>204</v>
      </c>
      <c r="CK48" t="s">
        <v>204</v>
      </c>
      <c r="CL48" t="s">
        <v>204</v>
      </c>
      <c r="CM48" t="s">
        <v>204</v>
      </c>
      <c r="CN48" t="s">
        <v>203</v>
      </c>
      <c r="CO48" t="s">
        <v>203</v>
      </c>
      <c r="CP48" t="s">
        <v>203</v>
      </c>
      <c r="CQ48" t="s">
        <v>203</v>
      </c>
      <c r="CR48" t="s">
        <v>203</v>
      </c>
      <c r="CS48" t="s">
        <v>203</v>
      </c>
      <c r="CT48" t="s">
        <v>203</v>
      </c>
      <c r="CU48" t="s">
        <v>203</v>
      </c>
      <c r="CV48">
        <v>0</v>
      </c>
      <c r="CW48">
        <v>0</v>
      </c>
      <c r="CX48" t="s">
        <v>198</v>
      </c>
      <c r="CY48" t="s">
        <v>198</v>
      </c>
      <c r="CZ48" t="s">
        <v>198</v>
      </c>
      <c r="DA48" t="s">
        <v>198</v>
      </c>
      <c r="DB48" t="s">
        <v>198</v>
      </c>
      <c r="DC48">
        <v>0</v>
      </c>
      <c r="DD48">
        <v>0</v>
      </c>
      <c r="DE48">
        <v>0</v>
      </c>
      <c r="DF48">
        <v>0</v>
      </c>
      <c r="DG48">
        <v>-35.3632621</v>
      </c>
      <c r="DH48">
        <v>149.1652374</v>
      </c>
      <c r="DI48" t="s">
        <v>205</v>
      </c>
      <c r="DJ48">
        <v>1.2</v>
      </c>
      <c r="DK48">
        <v>2</v>
      </c>
      <c r="DL48">
        <v>228.8</v>
      </c>
      <c r="DM48">
        <v>0</v>
      </c>
      <c r="DN48">
        <v>6</v>
      </c>
      <c r="DO48">
        <v>10</v>
      </c>
      <c r="DP48">
        <v>0</v>
      </c>
      <c r="DQ48">
        <v>255</v>
      </c>
      <c r="DR48">
        <v>255</v>
      </c>
      <c r="DS48">
        <v>255</v>
      </c>
      <c r="DT48">
        <v>255</v>
      </c>
      <c r="DU48">
        <v>255</v>
      </c>
      <c r="DV48">
        <v>255</v>
      </c>
      <c r="DW48">
        <v>255</v>
      </c>
      <c r="DX48" t="s">
        <v>206</v>
      </c>
      <c r="DY48" t="s">
        <v>206</v>
      </c>
      <c r="DZ48" t="s">
        <v>207</v>
      </c>
      <c r="EA48" t="s">
        <v>198</v>
      </c>
      <c r="EB48" t="s">
        <v>198</v>
      </c>
      <c r="EC48" t="s">
        <v>198</v>
      </c>
      <c r="ED48">
        <v>0</v>
      </c>
      <c r="EE48">
        <v>0</v>
      </c>
      <c r="EF48">
        <v>0</v>
      </c>
      <c r="EG48">
        <v>0</v>
      </c>
      <c r="EH48">
        <v>255</v>
      </c>
      <c r="EI48">
        <v>255</v>
      </c>
      <c r="EJ48">
        <v>255</v>
      </c>
      <c r="EK48">
        <v>255</v>
      </c>
      <c r="EL48">
        <v>255</v>
      </c>
      <c r="EM48">
        <v>255</v>
      </c>
      <c r="EN48">
        <v>255</v>
      </c>
      <c r="EO48">
        <v>255</v>
      </c>
      <c r="EP48">
        <v>255</v>
      </c>
      <c r="EQ48">
        <v>255</v>
      </c>
      <c r="ER48" t="s">
        <v>208</v>
      </c>
      <c r="ES48" t="s">
        <v>209</v>
      </c>
      <c r="ET48" t="s">
        <v>209</v>
      </c>
      <c r="EU48">
        <v>0</v>
      </c>
      <c r="EV48">
        <v>0</v>
      </c>
      <c r="EW48">
        <v>0</v>
      </c>
      <c r="EX48">
        <v>-48.1</v>
      </c>
      <c r="EY48">
        <v>0</v>
      </c>
      <c r="EZ48">
        <v>0</v>
      </c>
      <c r="FA48">
        <v>-2.1</v>
      </c>
      <c r="FB48" t="s">
        <v>198</v>
      </c>
      <c r="FC48" t="s">
        <v>198</v>
      </c>
      <c r="FD48" t="s">
        <v>198</v>
      </c>
      <c r="FE48" t="s">
        <v>198</v>
      </c>
      <c r="FF48" t="s">
        <v>198</v>
      </c>
      <c r="FG48" t="s">
        <v>198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 t="s">
        <v>203</v>
      </c>
      <c r="FP48" t="s">
        <v>203</v>
      </c>
      <c r="FQ48" t="s">
        <v>203</v>
      </c>
      <c r="FR48" t="s">
        <v>203</v>
      </c>
      <c r="FS48" t="s">
        <v>203</v>
      </c>
      <c r="FT48" t="s">
        <v>203</v>
      </c>
      <c r="FU48" t="s">
        <v>198</v>
      </c>
      <c r="FV48" t="s">
        <v>198</v>
      </c>
      <c r="FW48" t="s">
        <v>198</v>
      </c>
      <c r="FX48" t="s">
        <v>198</v>
      </c>
      <c r="FY48" t="s">
        <v>198</v>
      </c>
      <c r="FZ48" t="s">
        <v>198</v>
      </c>
      <c r="GA48">
        <v>30.89</v>
      </c>
      <c r="GB48">
        <v>30.89</v>
      </c>
      <c r="GC48" t="s">
        <v>203</v>
      </c>
      <c r="GD48">
        <v>0</v>
      </c>
      <c r="GE48">
        <v>504</v>
      </c>
      <c r="GF48">
        <v>0</v>
      </c>
      <c r="GG48">
        <v>0.1</v>
      </c>
      <c r="GH48">
        <v>0.3</v>
      </c>
      <c r="GI48">
        <v>0</v>
      </c>
      <c r="GJ48">
        <v>0</v>
      </c>
      <c r="GK48">
        <v>0</v>
      </c>
      <c r="GL48" t="s">
        <v>198</v>
      </c>
      <c r="GM48" t="s">
        <v>198</v>
      </c>
      <c r="GN48" t="s">
        <v>198</v>
      </c>
    </row>
    <row r="49" spans="1:196">
      <c r="A49" s="19">
        <v>46316.90444841435</v>
      </c>
      <c r="B49">
        <v>-0.1</v>
      </c>
      <c r="C49">
        <v>0</v>
      </c>
      <c r="D49">
        <v>359</v>
      </c>
      <c r="E49">
        <v>0</v>
      </c>
      <c r="F49">
        <v>0</v>
      </c>
      <c r="G49">
        <v>0</v>
      </c>
      <c r="H49">
        <v>0</v>
      </c>
      <c r="I49">
        <v>0</v>
      </c>
      <c r="J49">
        <v>0.002</v>
      </c>
      <c r="K49">
        <v>1.1</v>
      </c>
      <c r="L49">
        <v>49.5</v>
      </c>
      <c r="M49">
        <v>633.6</v>
      </c>
      <c r="N49">
        <v>48</v>
      </c>
      <c r="O49">
        <v>49.46</v>
      </c>
      <c r="P49">
        <v>49.414</v>
      </c>
      <c r="Q49">
        <v>0</v>
      </c>
      <c r="R49">
        <v>0</v>
      </c>
      <c r="S49">
        <v>0</v>
      </c>
      <c r="T49" t="s">
        <v>278</v>
      </c>
      <c r="U49">
        <v>0</v>
      </c>
      <c r="V49">
        <v>0</v>
      </c>
      <c r="W49">
        <v>1</v>
      </c>
      <c r="X49" t="s">
        <v>197</v>
      </c>
      <c r="Y49">
        <v>0</v>
      </c>
      <c r="Z49" t="s">
        <v>197</v>
      </c>
      <c r="AA49" t="s">
        <v>197</v>
      </c>
      <c r="AB49" t="s">
        <v>197</v>
      </c>
      <c r="AC49" t="s">
        <v>198</v>
      </c>
      <c r="AD49" t="s">
        <v>199</v>
      </c>
      <c r="AE49">
        <v>31</v>
      </c>
      <c r="AF49">
        <v>44</v>
      </c>
      <c r="AG49">
        <v>255</v>
      </c>
      <c r="AH49">
        <v>0</v>
      </c>
      <c r="AI49">
        <v>0</v>
      </c>
      <c r="AJ49">
        <v>0</v>
      </c>
      <c r="AK49">
        <v>12.6</v>
      </c>
      <c r="AL49">
        <v>0</v>
      </c>
      <c r="AM49">
        <v>0</v>
      </c>
      <c r="AN49" t="s">
        <v>197</v>
      </c>
      <c r="AO49">
        <v>100</v>
      </c>
      <c r="AP49" t="s">
        <v>197</v>
      </c>
      <c r="AQ49" t="s">
        <v>200</v>
      </c>
      <c r="AR49">
        <v>1</v>
      </c>
      <c r="AS49">
        <v>0</v>
      </c>
      <c r="AT49" t="s">
        <v>279</v>
      </c>
      <c r="AU49" t="s">
        <v>279</v>
      </c>
      <c r="AV49" t="s">
        <v>202</v>
      </c>
      <c r="AW49" t="s">
        <v>203</v>
      </c>
      <c r="AX49" t="s">
        <v>203</v>
      </c>
      <c r="AY49" t="s">
        <v>203</v>
      </c>
      <c r="AZ49" t="s">
        <v>203</v>
      </c>
      <c r="BA49" t="s">
        <v>203</v>
      </c>
      <c r="BB49" t="s">
        <v>203</v>
      </c>
      <c r="BC49" t="s">
        <v>203</v>
      </c>
      <c r="BD49" t="s">
        <v>203</v>
      </c>
      <c r="BE49" t="s">
        <v>203</v>
      </c>
      <c r="BF49">
        <v>48.12</v>
      </c>
      <c r="BG49">
        <v>0.2</v>
      </c>
      <c r="BH49">
        <v>50</v>
      </c>
      <c r="BI49">
        <v>0</v>
      </c>
      <c r="BJ49" t="s">
        <v>198</v>
      </c>
      <c r="BK49" t="s">
        <v>198</v>
      </c>
      <c r="BL49" t="s">
        <v>198</v>
      </c>
      <c r="BM49" t="s">
        <v>198</v>
      </c>
      <c r="BN49" t="s">
        <v>198</v>
      </c>
      <c r="BO49" t="s">
        <v>198</v>
      </c>
      <c r="BP49" t="s">
        <v>198</v>
      </c>
      <c r="BQ49" t="s">
        <v>198</v>
      </c>
      <c r="BR49" t="s">
        <v>198</v>
      </c>
      <c r="BS49" t="s">
        <v>198</v>
      </c>
      <c r="BT49" t="s">
        <v>198</v>
      </c>
      <c r="BU49" t="s">
        <v>198</v>
      </c>
      <c r="BV49" t="s">
        <v>198</v>
      </c>
      <c r="BW49" t="s">
        <v>198</v>
      </c>
      <c r="BX49" t="s">
        <v>198</v>
      </c>
      <c r="BY49" t="s">
        <v>198</v>
      </c>
      <c r="BZ49" t="s">
        <v>198</v>
      </c>
      <c r="CA49" t="s">
        <v>198</v>
      </c>
      <c r="CB49" t="s">
        <v>204</v>
      </c>
      <c r="CC49" t="s">
        <v>204</v>
      </c>
      <c r="CD49" t="s">
        <v>204</v>
      </c>
      <c r="CE49" t="s">
        <v>204</v>
      </c>
      <c r="CF49" t="s">
        <v>204</v>
      </c>
      <c r="CG49" t="s">
        <v>204</v>
      </c>
      <c r="CH49" t="s">
        <v>204</v>
      </c>
      <c r="CI49" t="s">
        <v>204</v>
      </c>
      <c r="CJ49" t="s">
        <v>204</v>
      </c>
      <c r="CK49" t="s">
        <v>204</v>
      </c>
      <c r="CL49" t="s">
        <v>204</v>
      </c>
      <c r="CM49" t="s">
        <v>204</v>
      </c>
      <c r="CN49" t="s">
        <v>203</v>
      </c>
      <c r="CO49" t="s">
        <v>203</v>
      </c>
      <c r="CP49" t="s">
        <v>203</v>
      </c>
      <c r="CQ49" t="s">
        <v>203</v>
      </c>
      <c r="CR49" t="s">
        <v>203</v>
      </c>
      <c r="CS49" t="s">
        <v>203</v>
      </c>
      <c r="CT49" t="s">
        <v>203</v>
      </c>
      <c r="CU49" t="s">
        <v>203</v>
      </c>
      <c r="CV49">
        <v>0</v>
      </c>
      <c r="CW49">
        <v>0</v>
      </c>
      <c r="CX49" t="s">
        <v>198</v>
      </c>
      <c r="CY49" t="s">
        <v>198</v>
      </c>
      <c r="CZ49" t="s">
        <v>198</v>
      </c>
      <c r="DA49" t="s">
        <v>198</v>
      </c>
      <c r="DB49" t="s">
        <v>198</v>
      </c>
      <c r="DC49">
        <v>0</v>
      </c>
      <c r="DD49">
        <v>0</v>
      </c>
      <c r="DE49">
        <v>0</v>
      </c>
      <c r="DF49">
        <v>0</v>
      </c>
      <c r="DG49">
        <v>-35.3632621</v>
      </c>
      <c r="DH49">
        <v>149.1652374</v>
      </c>
      <c r="DI49" t="s">
        <v>205</v>
      </c>
      <c r="DJ49">
        <v>1.2</v>
      </c>
      <c r="DK49">
        <v>2</v>
      </c>
      <c r="DL49">
        <v>275.4</v>
      </c>
      <c r="DM49">
        <v>0</v>
      </c>
      <c r="DN49">
        <v>6</v>
      </c>
      <c r="DO49">
        <v>10</v>
      </c>
      <c r="DP49">
        <v>0</v>
      </c>
      <c r="DQ49">
        <v>255</v>
      </c>
      <c r="DR49">
        <v>255</v>
      </c>
      <c r="DS49">
        <v>255</v>
      </c>
      <c r="DT49">
        <v>255</v>
      </c>
      <c r="DU49">
        <v>255</v>
      </c>
      <c r="DV49">
        <v>255</v>
      </c>
      <c r="DW49">
        <v>255</v>
      </c>
      <c r="DX49" t="s">
        <v>206</v>
      </c>
      <c r="DY49" t="s">
        <v>206</v>
      </c>
      <c r="DZ49" t="s">
        <v>207</v>
      </c>
      <c r="EA49" t="s">
        <v>198</v>
      </c>
      <c r="EB49" t="s">
        <v>198</v>
      </c>
      <c r="EC49" t="s">
        <v>198</v>
      </c>
      <c r="ED49">
        <v>0</v>
      </c>
      <c r="EE49">
        <v>0</v>
      </c>
      <c r="EF49">
        <v>0</v>
      </c>
      <c r="EG49">
        <v>0</v>
      </c>
      <c r="EH49">
        <v>255</v>
      </c>
      <c r="EI49">
        <v>255</v>
      </c>
      <c r="EJ49">
        <v>255</v>
      </c>
      <c r="EK49">
        <v>255</v>
      </c>
      <c r="EL49">
        <v>255</v>
      </c>
      <c r="EM49">
        <v>255</v>
      </c>
      <c r="EN49">
        <v>255</v>
      </c>
      <c r="EO49">
        <v>255</v>
      </c>
      <c r="EP49">
        <v>255</v>
      </c>
      <c r="EQ49">
        <v>255</v>
      </c>
      <c r="ER49" t="s">
        <v>208</v>
      </c>
      <c r="ES49" t="s">
        <v>209</v>
      </c>
      <c r="ET49" t="s">
        <v>209</v>
      </c>
      <c r="EU49">
        <v>0</v>
      </c>
      <c r="EV49">
        <v>0</v>
      </c>
      <c r="EW49">
        <v>0</v>
      </c>
      <c r="EX49">
        <v>-49.7</v>
      </c>
      <c r="EY49">
        <v>0</v>
      </c>
      <c r="EZ49">
        <v>0</v>
      </c>
      <c r="FA49">
        <v>-1.1</v>
      </c>
      <c r="FB49" t="s">
        <v>198</v>
      </c>
      <c r="FC49" t="s">
        <v>198</v>
      </c>
      <c r="FD49" t="s">
        <v>198</v>
      </c>
      <c r="FE49" t="s">
        <v>198</v>
      </c>
      <c r="FF49" t="s">
        <v>198</v>
      </c>
      <c r="FG49" t="s">
        <v>198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 t="s">
        <v>203</v>
      </c>
      <c r="FP49" t="s">
        <v>203</v>
      </c>
      <c r="FQ49" t="s">
        <v>203</v>
      </c>
      <c r="FR49" t="s">
        <v>203</v>
      </c>
      <c r="FS49" t="s">
        <v>203</v>
      </c>
      <c r="FT49" t="s">
        <v>203</v>
      </c>
      <c r="FU49" t="s">
        <v>198</v>
      </c>
      <c r="FV49" t="s">
        <v>198</v>
      </c>
      <c r="FW49" t="s">
        <v>198</v>
      </c>
      <c r="FX49" t="s">
        <v>198</v>
      </c>
      <c r="FY49" t="s">
        <v>198</v>
      </c>
      <c r="FZ49" t="s">
        <v>198</v>
      </c>
      <c r="GA49">
        <v>30.88</v>
      </c>
      <c r="GB49">
        <v>30.88</v>
      </c>
      <c r="GC49" t="s">
        <v>203</v>
      </c>
      <c r="GD49">
        <v>0</v>
      </c>
      <c r="GE49">
        <v>504</v>
      </c>
      <c r="GF49">
        <v>0</v>
      </c>
      <c r="GG49">
        <v>0.1</v>
      </c>
      <c r="GH49">
        <v>0.4</v>
      </c>
      <c r="GI49">
        <v>0</v>
      </c>
      <c r="GJ49">
        <v>0</v>
      </c>
      <c r="GK49">
        <v>0</v>
      </c>
      <c r="GL49" t="s">
        <v>198</v>
      </c>
      <c r="GM49" t="s">
        <v>198</v>
      </c>
      <c r="GN49" t="s">
        <v>198</v>
      </c>
    </row>
    <row r="50" spans="1:196">
      <c r="A50" s="19">
        <v>46316.90445998843</v>
      </c>
      <c r="B50">
        <v>0</v>
      </c>
      <c r="C50">
        <v>0</v>
      </c>
      <c r="D50">
        <v>359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</v>
      </c>
      <c r="L50">
        <v>50</v>
      </c>
      <c r="M50">
        <v>634.2</v>
      </c>
      <c r="N50">
        <v>49</v>
      </c>
      <c r="O50">
        <v>50.01</v>
      </c>
      <c r="P50">
        <v>50</v>
      </c>
      <c r="Q50">
        <v>0</v>
      </c>
      <c r="R50">
        <v>0</v>
      </c>
      <c r="S50">
        <v>0</v>
      </c>
      <c r="T50" t="s">
        <v>280</v>
      </c>
      <c r="U50">
        <v>0</v>
      </c>
      <c r="V50">
        <v>0</v>
      </c>
      <c r="W50">
        <v>2</v>
      </c>
      <c r="X50">
        <v>278</v>
      </c>
      <c r="Y50">
        <v>115</v>
      </c>
      <c r="Z50" t="s">
        <v>197</v>
      </c>
      <c r="AA50" t="s">
        <v>197</v>
      </c>
      <c r="AB50" t="s">
        <v>197</v>
      </c>
      <c r="AC50" t="s">
        <v>198</v>
      </c>
      <c r="AD50" t="s">
        <v>199</v>
      </c>
      <c r="AE50">
        <v>32</v>
      </c>
      <c r="AF50">
        <v>44</v>
      </c>
      <c r="AG50">
        <v>255</v>
      </c>
      <c r="AH50">
        <v>0</v>
      </c>
      <c r="AI50">
        <v>0</v>
      </c>
      <c r="AJ50">
        <v>0</v>
      </c>
      <c r="AK50">
        <v>12.6</v>
      </c>
      <c r="AL50">
        <v>0</v>
      </c>
      <c r="AM50">
        <v>0</v>
      </c>
      <c r="AN50" t="s">
        <v>197</v>
      </c>
      <c r="AO50">
        <v>100</v>
      </c>
      <c r="AP50" t="s">
        <v>197</v>
      </c>
      <c r="AQ50" t="s">
        <v>200</v>
      </c>
      <c r="AR50">
        <v>1</v>
      </c>
      <c r="AS50">
        <v>0</v>
      </c>
      <c r="AT50" t="s">
        <v>281</v>
      </c>
      <c r="AU50" t="s">
        <v>281</v>
      </c>
      <c r="AV50" t="s">
        <v>202</v>
      </c>
      <c r="AW50" t="s">
        <v>203</v>
      </c>
      <c r="AX50" t="s">
        <v>203</v>
      </c>
      <c r="AY50" t="s">
        <v>203</v>
      </c>
      <c r="AZ50" t="s">
        <v>203</v>
      </c>
      <c r="BA50" t="s">
        <v>203</v>
      </c>
      <c r="BB50" t="s">
        <v>203</v>
      </c>
      <c r="BC50" t="s">
        <v>203</v>
      </c>
      <c r="BD50" t="s">
        <v>203</v>
      </c>
      <c r="BE50" t="s">
        <v>203</v>
      </c>
      <c r="BF50">
        <v>48.68</v>
      </c>
      <c r="BG50">
        <v>0.2</v>
      </c>
      <c r="BH50">
        <v>50</v>
      </c>
      <c r="BI50">
        <v>0</v>
      </c>
      <c r="BJ50" t="s">
        <v>198</v>
      </c>
      <c r="BK50" t="s">
        <v>198</v>
      </c>
      <c r="BL50" t="s">
        <v>198</v>
      </c>
      <c r="BM50" t="s">
        <v>198</v>
      </c>
      <c r="BN50" t="s">
        <v>198</v>
      </c>
      <c r="BO50" t="s">
        <v>198</v>
      </c>
      <c r="BP50" t="s">
        <v>198</v>
      </c>
      <c r="BQ50" t="s">
        <v>198</v>
      </c>
      <c r="BR50" t="s">
        <v>198</v>
      </c>
      <c r="BS50" t="s">
        <v>198</v>
      </c>
      <c r="BT50" t="s">
        <v>198</v>
      </c>
      <c r="BU50" t="s">
        <v>198</v>
      </c>
      <c r="BV50" t="s">
        <v>198</v>
      </c>
      <c r="BW50" t="s">
        <v>198</v>
      </c>
      <c r="BX50" t="s">
        <v>198</v>
      </c>
      <c r="BY50" t="s">
        <v>198</v>
      </c>
      <c r="BZ50" t="s">
        <v>198</v>
      </c>
      <c r="CA50" t="s">
        <v>198</v>
      </c>
      <c r="CB50" t="s">
        <v>204</v>
      </c>
      <c r="CC50" t="s">
        <v>204</v>
      </c>
      <c r="CD50" t="s">
        <v>204</v>
      </c>
      <c r="CE50" t="s">
        <v>204</v>
      </c>
      <c r="CF50" t="s">
        <v>204</v>
      </c>
      <c r="CG50" t="s">
        <v>204</v>
      </c>
      <c r="CH50" t="s">
        <v>204</v>
      </c>
      <c r="CI50" t="s">
        <v>204</v>
      </c>
      <c r="CJ50" t="s">
        <v>204</v>
      </c>
      <c r="CK50" t="s">
        <v>204</v>
      </c>
      <c r="CL50" t="s">
        <v>204</v>
      </c>
      <c r="CM50" t="s">
        <v>204</v>
      </c>
      <c r="CN50" t="s">
        <v>203</v>
      </c>
      <c r="CO50" t="s">
        <v>203</v>
      </c>
      <c r="CP50" t="s">
        <v>203</v>
      </c>
      <c r="CQ50" t="s">
        <v>203</v>
      </c>
      <c r="CR50" t="s">
        <v>203</v>
      </c>
      <c r="CS50" t="s">
        <v>203</v>
      </c>
      <c r="CT50" t="s">
        <v>203</v>
      </c>
      <c r="CU50" t="s">
        <v>203</v>
      </c>
      <c r="CV50">
        <v>0</v>
      </c>
      <c r="CW50">
        <v>0</v>
      </c>
      <c r="CX50" t="s">
        <v>198</v>
      </c>
      <c r="CY50" t="s">
        <v>198</v>
      </c>
      <c r="CZ50" t="s">
        <v>198</v>
      </c>
      <c r="DA50" t="s">
        <v>198</v>
      </c>
      <c r="DB50" t="s">
        <v>198</v>
      </c>
      <c r="DC50">
        <v>0</v>
      </c>
      <c r="DD50">
        <v>0</v>
      </c>
      <c r="DE50">
        <v>0</v>
      </c>
      <c r="DF50">
        <v>0</v>
      </c>
      <c r="DG50">
        <v>-35.3632621</v>
      </c>
      <c r="DH50">
        <v>149.1652374</v>
      </c>
      <c r="DI50" t="s">
        <v>205</v>
      </c>
      <c r="DJ50">
        <v>1.2</v>
      </c>
      <c r="DK50">
        <v>2</v>
      </c>
      <c r="DL50">
        <v>123.9</v>
      </c>
      <c r="DM50">
        <v>0</v>
      </c>
      <c r="DN50">
        <v>6</v>
      </c>
      <c r="DO50">
        <v>10</v>
      </c>
      <c r="DP50">
        <v>0</v>
      </c>
      <c r="DQ50">
        <v>255</v>
      </c>
      <c r="DR50">
        <v>255</v>
      </c>
      <c r="DS50">
        <v>255</v>
      </c>
      <c r="DT50">
        <v>255</v>
      </c>
      <c r="DU50">
        <v>255</v>
      </c>
      <c r="DV50">
        <v>255</v>
      </c>
      <c r="DW50">
        <v>255</v>
      </c>
      <c r="DX50" t="s">
        <v>206</v>
      </c>
      <c r="DY50" t="s">
        <v>206</v>
      </c>
      <c r="DZ50" t="s">
        <v>207</v>
      </c>
      <c r="EA50" t="s">
        <v>198</v>
      </c>
      <c r="EB50" t="s">
        <v>198</v>
      </c>
      <c r="EC50" t="s">
        <v>198</v>
      </c>
      <c r="ED50">
        <v>0</v>
      </c>
      <c r="EE50">
        <v>0</v>
      </c>
      <c r="EF50">
        <v>0</v>
      </c>
      <c r="EG50">
        <v>0</v>
      </c>
      <c r="EH50">
        <v>255</v>
      </c>
      <c r="EI50">
        <v>255</v>
      </c>
      <c r="EJ50">
        <v>255</v>
      </c>
      <c r="EK50">
        <v>255</v>
      </c>
      <c r="EL50">
        <v>255</v>
      </c>
      <c r="EM50">
        <v>255</v>
      </c>
      <c r="EN50">
        <v>255</v>
      </c>
      <c r="EO50">
        <v>255</v>
      </c>
      <c r="EP50">
        <v>255</v>
      </c>
      <c r="EQ50">
        <v>255</v>
      </c>
      <c r="ER50" t="s">
        <v>208</v>
      </c>
      <c r="ES50" t="s">
        <v>209</v>
      </c>
      <c r="ET50" t="s">
        <v>209</v>
      </c>
      <c r="EU50">
        <v>0</v>
      </c>
      <c r="EV50">
        <v>0</v>
      </c>
      <c r="EW50">
        <v>0</v>
      </c>
      <c r="EX50">
        <v>-50.2</v>
      </c>
      <c r="EY50">
        <v>0</v>
      </c>
      <c r="EZ50">
        <v>0</v>
      </c>
      <c r="FA50">
        <v>-0.1</v>
      </c>
      <c r="FB50" t="s">
        <v>198</v>
      </c>
      <c r="FC50" t="s">
        <v>198</v>
      </c>
      <c r="FD50" t="s">
        <v>198</v>
      </c>
      <c r="FE50" t="s">
        <v>198</v>
      </c>
      <c r="FF50" t="s">
        <v>198</v>
      </c>
      <c r="FG50" t="s">
        <v>198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 t="s">
        <v>203</v>
      </c>
      <c r="FP50" t="s">
        <v>203</v>
      </c>
      <c r="FQ50" t="s">
        <v>203</v>
      </c>
      <c r="FR50" t="s">
        <v>203</v>
      </c>
      <c r="FS50" t="s">
        <v>203</v>
      </c>
      <c r="FT50" t="s">
        <v>203</v>
      </c>
      <c r="FU50" t="s">
        <v>198</v>
      </c>
      <c r="FV50" t="s">
        <v>198</v>
      </c>
      <c r="FW50" t="s">
        <v>198</v>
      </c>
      <c r="FX50" t="s">
        <v>198</v>
      </c>
      <c r="FY50" t="s">
        <v>198</v>
      </c>
      <c r="FZ50" t="s">
        <v>198</v>
      </c>
      <c r="GA50">
        <v>30.87</v>
      </c>
      <c r="GB50">
        <v>30.87</v>
      </c>
      <c r="GC50" t="s">
        <v>203</v>
      </c>
      <c r="GD50">
        <v>0</v>
      </c>
      <c r="GE50">
        <v>504</v>
      </c>
      <c r="GF50">
        <v>0</v>
      </c>
      <c r="GG50">
        <v>0.1</v>
      </c>
      <c r="GH50">
        <v>0.6</v>
      </c>
      <c r="GI50">
        <v>0</v>
      </c>
      <c r="GJ50">
        <v>0</v>
      </c>
      <c r="GK50">
        <v>0</v>
      </c>
      <c r="GL50" t="s">
        <v>198</v>
      </c>
      <c r="GM50" t="s">
        <v>198</v>
      </c>
      <c r="GN50" t="s">
        <v>198</v>
      </c>
    </row>
    <row r="51" spans="1:196">
      <c r="A51" s="19">
        <v>46316.9044715625</v>
      </c>
      <c r="B51">
        <v>-5</v>
      </c>
      <c r="C51">
        <v>-1</v>
      </c>
      <c r="D51">
        <v>356</v>
      </c>
      <c r="E51">
        <v>0</v>
      </c>
      <c r="F51">
        <v>0</v>
      </c>
      <c r="G51">
        <v>0</v>
      </c>
      <c r="H51">
        <v>0.4</v>
      </c>
      <c r="I51">
        <v>0.2</v>
      </c>
      <c r="J51">
        <v>0.223</v>
      </c>
      <c r="K51">
        <v>0</v>
      </c>
      <c r="L51">
        <v>50</v>
      </c>
      <c r="M51">
        <v>634.2</v>
      </c>
      <c r="N51">
        <v>49.2</v>
      </c>
      <c r="O51">
        <v>49.99</v>
      </c>
      <c r="P51">
        <v>50</v>
      </c>
      <c r="Q51">
        <v>0.008</v>
      </c>
      <c r="R51">
        <v>0</v>
      </c>
      <c r="S51">
        <v>0</v>
      </c>
      <c r="T51" t="s">
        <v>282</v>
      </c>
      <c r="U51">
        <v>0.1</v>
      </c>
      <c r="V51">
        <v>0.3</v>
      </c>
      <c r="W51">
        <v>2</v>
      </c>
      <c r="X51">
        <v>278</v>
      </c>
      <c r="Y51">
        <v>115</v>
      </c>
      <c r="Z51" t="s">
        <v>197</v>
      </c>
      <c r="AA51" t="s">
        <v>197</v>
      </c>
      <c r="AB51" t="s">
        <v>197</v>
      </c>
      <c r="AC51" t="s">
        <v>198</v>
      </c>
      <c r="AD51" t="s">
        <v>199</v>
      </c>
      <c r="AE51">
        <v>33</v>
      </c>
      <c r="AF51">
        <v>44</v>
      </c>
      <c r="AG51">
        <v>255</v>
      </c>
      <c r="AH51">
        <v>0</v>
      </c>
      <c r="AI51">
        <v>0</v>
      </c>
      <c r="AJ51">
        <v>0</v>
      </c>
      <c r="AK51">
        <v>12.6</v>
      </c>
      <c r="AL51">
        <v>0</v>
      </c>
      <c r="AM51">
        <v>0</v>
      </c>
      <c r="AN51" t="s">
        <v>197</v>
      </c>
      <c r="AO51">
        <v>100</v>
      </c>
      <c r="AP51" t="s">
        <v>197</v>
      </c>
      <c r="AQ51" t="s">
        <v>200</v>
      </c>
      <c r="AR51">
        <v>1</v>
      </c>
      <c r="AS51">
        <v>0</v>
      </c>
      <c r="AT51" t="s">
        <v>283</v>
      </c>
      <c r="AU51" t="s">
        <v>283</v>
      </c>
      <c r="AV51" t="s">
        <v>202</v>
      </c>
      <c r="AW51" t="s">
        <v>203</v>
      </c>
      <c r="AX51" t="s">
        <v>203</v>
      </c>
      <c r="AY51" t="s">
        <v>203</v>
      </c>
      <c r="AZ51" t="s">
        <v>203</v>
      </c>
      <c r="BA51" t="s">
        <v>203</v>
      </c>
      <c r="BB51" t="s">
        <v>203</v>
      </c>
      <c r="BC51" t="s">
        <v>203</v>
      </c>
      <c r="BD51" t="s">
        <v>203</v>
      </c>
      <c r="BE51" t="s">
        <v>203</v>
      </c>
      <c r="BF51">
        <v>48.86</v>
      </c>
      <c r="BG51">
        <v>0.2</v>
      </c>
      <c r="BH51">
        <v>50</v>
      </c>
      <c r="BI51">
        <v>0</v>
      </c>
      <c r="BJ51" t="s">
        <v>198</v>
      </c>
      <c r="BK51" t="s">
        <v>198</v>
      </c>
      <c r="BL51" t="s">
        <v>198</v>
      </c>
      <c r="BM51" t="s">
        <v>198</v>
      </c>
      <c r="BN51" t="s">
        <v>198</v>
      </c>
      <c r="BO51" t="s">
        <v>198</v>
      </c>
      <c r="BP51" t="s">
        <v>198</v>
      </c>
      <c r="BQ51" t="s">
        <v>198</v>
      </c>
      <c r="BR51" t="s">
        <v>198</v>
      </c>
      <c r="BS51" t="s">
        <v>198</v>
      </c>
      <c r="BT51" t="s">
        <v>198</v>
      </c>
      <c r="BU51" t="s">
        <v>198</v>
      </c>
      <c r="BV51" t="s">
        <v>198</v>
      </c>
      <c r="BW51" t="s">
        <v>198</v>
      </c>
      <c r="BX51" t="s">
        <v>198</v>
      </c>
      <c r="BY51" t="s">
        <v>198</v>
      </c>
      <c r="BZ51" t="s">
        <v>198</v>
      </c>
      <c r="CA51" t="s">
        <v>198</v>
      </c>
      <c r="CB51" t="s">
        <v>204</v>
      </c>
      <c r="CC51" t="s">
        <v>204</v>
      </c>
      <c r="CD51" t="s">
        <v>204</v>
      </c>
      <c r="CE51" t="s">
        <v>204</v>
      </c>
      <c r="CF51" t="s">
        <v>204</v>
      </c>
      <c r="CG51" t="s">
        <v>204</v>
      </c>
      <c r="CH51" t="s">
        <v>204</v>
      </c>
      <c r="CI51" t="s">
        <v>204</v>
      </c>
      <c r="CJ51" t="s">
        <v>204</v>
      </c>
      <c r="CK51" t="s">
        <v>204</v>
      </c>
      <c r="CL51" t="s">
        <v>204</v>
      </c>
      <c r="CM51" t="s">
        <v>204</v>
      </c>
      <c r="CN51" t="s">
        <v>203</v>
      </c>
      <c r="CO51" t="s">
        <v>203</v>
      </c>
      <c r="CP51" t="s">
        <v>203</v>
      </c>
      <c r="CQ51" t="s">
        <v>203</v>
      </c>
      <c r="CR51" t="s">
        <v>203</v>
      </c>
      <c r="CS51" t="s">
        <v>203</v>
      </c>
      <c r="CT51" t="s">
        <v>203</v>
      </c>
      <c r="CU51" t="s">
        <v>203</v>
      </c>
      <c r="CV51">
        <v>0</v>
      </c>
      <c r="CW51">
        <v>0</v>
      </c>
      <c r="CX51" t="s">
        <v>198</v>
      </c>
      <c r="CY51" t="s">
        <v>198</v>
      </c>
      <c r="CZ51" t="s">
        <v>198</v>
      </c>
      <c r="DA51" t="s">
        <v>198</v>
      </c>
      <c r="DB51" t="s">
        <v>198</v>
      </c>
      <c r="DC51">
        <v>0</v>
      </c>
      <c r="DD51">
        <v>0</v>
      </c>
      <c r="DE51">
        <v>0</v>
      </c>
      <c r="DF51">
        <v>0</v>
      </c>
      <c r="DG51">
        <v>-35.363262</v>
      </c>
      <c r="DH51">
        <v>149.1652368</v>
      </c>
      <c r="DI51" t="s">
        <v>205</v>
      </c>
      <c r="DJ51">
        <v>1.2</v>
      </c>
      <c r="DK51">
        <v>2</v>
      </c>
      <c r="DL51">
        <v>277.6</v>
      </c>
      <c r="DM51">
        <v>0</v>
      </c>
      <c r="DN51">
        <v>6</v>
      </c>
      <c r="DO51">
        <v>10</v>
      </c>
      <c r="DP51">
        <v>0</v>
      </c>
      <c r="DQ51">
        <v>255</v>
      </c>
      <c r="DR51">
        <v>255</v>
      </c>
      <c r="DS51">
        <v>255</v>
      </c>
      <c r="DT51">
        <v>255</v>
      </c>
      <c r="DU51">
        <v>255</v>
      </c>
      <c r="DV51">
        <v>255</v>
      </c>
      <c r="DW51">
        <v>255</v>
      </c>
      <c r="DX51" t="s">
        <v>206</v>
      </c>
      <c r="DY51" t="s">
        <v>206</v>
      </c>
      <c r="DZ51" t="s">
        <v>207</v>
      </c>
      <c r="EA51" t="s">
        <v>198</v>
      </c>
      <c r="EB51" t="s">
        <v>198</v>
      </c>
      <c r="EC51" t="s">
        <v>198</v>
      </c>
      <c r="ED51">
        <v>0</v>
      </c>
      <c r="EE51">
        <v>0</v>
      </c>
      <c r="EF51">
        <v>0</v>
      </c>
      <c r="EG51">
        <v>0</v>
      </c>
      <c r="EH51">
        <v>255</v>
      </c>
      <c r="EI51">
        <v>255</v>
      </c>
      <c r="EJ51">
        <v>255</v>
      </c>
      <c r="EK51">
        <v>255</v>
      </c>
      <c r="EL51">
        <v>255</v>
      </c>
      <c r="EM51">
        <v>255</v>
      </c>
      <c r="EN51">
        <v>255</v>
      </c>
      <c r="EO51">
        <v>255</v>
      </c>
      <c r="EP51">
        <v>255</v>
      </c>
      <c r="EQ51">
        <v>255</v>
      </c>
      <c r="ER51" t="s">
        <v>208</v>
      </c>
      <c r="ES51" t="s">
        <v>209</v>
      </c>
      <c r="ET51" t="s">
        <v>209</v>
      </c>
      <c r="EU51">
        <v>0</v>
      </c>
      <c r="EV51">
        <v>0</v>
      </c>
      <c r="EW51">
        <v>-0.1</v>
      </c>
      <c r="EX51">
        <v>-50.2</v>
      </c>
      <c r="EY51">
        <v>0</v>
      </c>
      <c r="EZ51">
        <v>-0.4</v>
      </c>
      <c r="FA51">
        <v>0</v>
      </c>
      <c r="FB51" t="s">
        <v>198</v>
      </c>
      <c r="FC51" t="s">
        <v>198</v>
      </c>
      <c r="FD51" t="s">
        <v>198</v>
      </c>
      <c r="FE51" t="s">
        <v>198</v>
      </c>
      <c r="FF51" t="s">
        <v>198</v>
      </c>
      <c r="FG51" t="s">
        <v>198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 t="s">
        <v>203</v>
      </c>
      <c r="FP51" t="s">
        <v>203</v>
      </c>
      <c r="FQ51" t="s">
        <v>203</v>
      </c>
      <c r="FR51" t="s">
        <v>203</v>
      </c>
      <c r="FS51" t="s">
        <v>203</v>
      </c>
      <c r="FT51" t="s">
        <v>203</v>
      </c>
      <c r="FU51" t="s">
        <v>198</v>
      </c>
      <c r="FV51" t="s">
        <v>198</v>
      </c>
      <c r="FW51" t="s">
        <v>198</v>
      </c>
      <c r="FX51" t="s">
        <v>198</v>
      </c>
      <c r="FY51" t="s">
        <v>198</v>
      </c>
      <c r="FZ51" t="s">
        <v>198</v>
      </c>
      <c r="GA51">
        <v>30.87</v>
      </c>
      <c r="GB51">
        <v>30.87</v>
      </c>
      <c r="GC51" t="s">
        <v>203</v>
      </c>
      <c r="GD51">
        <v>0</v>
      </c>
      <c r="GE51">
        <v>504</v>
      </c>
      <c r="GF51">
        <v>0</v>
      </c>
      <c r="GG51">
        <v>0.1</v>
      </c>
      <c r="GH51">
        <v>0.5</v>
      </c>
      <c r="GI51">
        <v>0</v>
      </c>
      <c r="GJ51">
        <v>0</v>
      </c>
      <c r="GK51">
        <v>0</v>
      </c>
      <c r="GL51" t="s">
        <v>198</v>
      </c>
      <c r="GM51" t="s">
        <v>198</v>
      </c>
      <c r="GN51" t="s">
        <v>198</v>
      </c>
    </row>
    <row r="52" spans="1:196">
      <c r="A52" s="19">
        <v>46316.90448313658</v>
      </c>
      <c r="B52">
        <v>-2.8</v>
      </c>
      <c r="C52">
        <v>-8.5</v>
      </c>
      <c r="D52">
        <v>297</v>
      </c>
      <c r="E52">
        <v>0</v>
      </c>
      <c r="F52">
        <v>0</v>
      </c>
      <c r="G52">
        <v>0</v>
      </c>
      <c r="H52">
        <v>1.5</v>
      </c>
      <c r="I52">
        <v>1.3</v>
      </c>
      <c r="J52">
        <v>1.263</v>
      </c>
      <c r="K52">
        <v>0</v>
      </c>
      <c r="L52">
        <v>50</v>
      </c>
      <c r="M52">
        <v>634.2</v>
      </c>
      <c r="N52">
        <v>49.2</v>
      </c>
      <c r="O52">
        <v>49.99</v>
      </c>
      <c r="P52">
        <v>50</v>
      </c>
      <c r="Q52">
        <v>0.005</v>
      </c>
      <c r="R52">
        <v>0</v>
      </c>
      <c r="S52">
        <v>0</v>
      </c>
      <c r="T52" t="s">
        <v>284</v>
      </c>
      <c r="U52">
        <v>1</v>
      </c>
      <c r="V52">
        <v>0.7</v>
      </c>
      <c r="W52">
        <v>2</v>
      </c>
      <c r="X52">
        <v>278</v>
      </c>
      <c r="Y52">
        <v>114</v>
      </c>
      <c r="Z52" t="s">
        <v>197</v>
      </c>
      <c r="AA52" t="s">
        <v>197</v>
      </c>
      <c r="AB52" t="s">
        <v>197</v>
      </c>
      <c r="AC52" t="s">
        <v>198</v>
      </c>
      <c r="AD52" t="s">
        <v>199</v>
      </c>
      <c r="AE52">
        <v>33</v>
      </c>
      <c r="AF52">
        <v>44</v>
      </c>
      <c r="AG52">
        <v>255</v>
      </c>
      <c r="AH52">
        <v>0</v>
      </c>
      <c r="AI52">
        <v>0</v>
      </c>
      <c r="AJ52">
        <v>0</v>
      </c>
      <c r="AK52">
        <v>12.6</v>
      </c>
      <c r="AL52">
        <v>0</v>
      </c>
      <c r="AM52">
        <v>0</v>
      </c>
      <c r="AN52" t="s">
        <v>197</v>
      </c>
      <c r="AO52">
        <v>100</v>
      </c>
      <c r="AP52" t="s">
        <v>197</v>
      </c>
      <c r="AQ52" t="s">
        <v>200</v>
      </c>
      <c r="AR52">
        <v>1</v>
      </c>
      <c r="AS52">
        <v>0</v>
      </c>
      <c r="AT52" t="s">
        <v>285</v>
      </c>
      <c r="AU52" t="s">
        <v>285</v>
      </c>
      <c r="AV52" t="s">
        <v>202</v>
      </c>
      <c r="AW52" t="s">
        <v>203</v>
      </c>
      <c r="AX52" t="s">
        <v>203</v>
      </c>
      <c r="AY52" t="s">
        <v>203</v>
      </c>
      <c r="AZ52" t="s">
        <v>203</v>
      </c>
      <c r="BA52" t="s">
        <v>203</v>
      </c>
      <c r="BB52" t="s">
        <v>203</v>
      </c>
      <c r="BC52" t="s">
        <v>203</v>
      </c>
      <c r="BD52" t="s">
        <v>203</v>
      </c>
      <c r="BE52" t="s">
        <v>203</v>
      </c>
      <c r="BF52">
        <v>49.24</v>
      </c>
      <c r="BG52">
        <v>0.2</v>
      </c>
      <c r="BH52">
        <v>50</v>
      </c>
      <c r="BI52">
        <v>0</v>
      </c>
      <c r="BJ52" t="s">
        <v>198</v>
      </c>
      <c r="BK52" t="s">
        <v>198</v>
      </c>
      <c r="BL52" t="s">
        <v>198</v>
      </c>
      <c r="BM52" t="s">
        <v>198</v>
      </c>
      <c r="BN52" t="s">
        <v>198</v>
      </c>
      <c r="BO52" t="s">
        <v>198</v>
      </c>
      <c r="BP52" t="s">
        <v>198</v>
      </c>
      <c r="BQ52" t="s">
        <v>198</v>
      </c>
      <c r="BR52" t="s">
        <v>198</v>
      </c>
      <c r="BS52" t="s">
        <v>198</v>
      </c>
      <c r="BT52" t="s">
        <v>198</v>
      </c>
      <c r="BU52" t="s">
        <v>198</v>
      </c>
      <c r="BV52" t="s">
        <v>198</v>
      </c>
      <c r="BW52" t="s">
        <v>198</v>
      </c>
      <c r="BX52" t="s">
        <v>198</v>
      </c>
      <c r="BY52" t="s">
        <v>198</v>
      </c>
      <c r="BZ52" t="s">
        <v>198</v>
      </c>
      <c r="CA52" t="s">
        <v>198</v>
      </c>
      <c r="CB52" t="s">
        <v>204</v>
      </c>
      <c r="CC52" t="s">
        <v>204</v>
      </c>
      <c r="CD52" t="s">
        <v>204</v>
      </c>
      <c r="CE52" t="s">
        <v>204</v>
      </c>
      <c r="CF52" t="s">
        <v>204</v>
      </c>
      <c r="CG52" t="s">
        <v>204</v>
      </c>
      <c r="CH52" t="s">
        <v>204</v>
      </c>
      <c r="CI52" t="s">
        <v>204</v>
      </c>
      <c r="CJ52" t="s">
        <v>204</v>
      </c>
      <c r="CK52" t="s">
        <v>204</v>
      </c>
      <c r="CL52" t="s">
        <v>204</v>
      </c>
      <c r="CM52" t="s">
        <v>204</v>
      </c>
      <c r="CN52" t="s">
        <v>203</v>
      </c>
      <c r="CO52" t="s">
        <v>203</v>
      </c>
      <c r="CP52" t="s">
        <v>203</v>
      </c>
      <c r="CQ52" t="s">
        <v>203</v>
      </c>
      <c r="CR52" t="s">
        <v>203</v>
      </c>
      <c r="CS52" t="s">
        <v>203</v>
      </c>
      <c r="CT52" t="s">
        <v>203</v>
      </c>
      <c r="CU52" t="s">
        <v>203</v>
      </c>
      <c r="CV52">
        <v>0</v>
      </c>
      <c r="CW52">
        <v>0</v>
      </c>
      <c r="CX52" t="s">
        <v>198</v>
      </c>
      <c r="CY52" t="s">
        <v>198</v>
      </c>
      <c r="CZ52" t="s">
        <v>198</v>
      </c>
      <c r="DA52" t="s">
        <v>198</v>
      </c>
      <c r="DB52" t="s">
        <v>198</v>
      </c>
      <c r="DC52">
        <v>0</v>
      </c>
      <c r="DD52">
        <v>0</v>
      </c>
      <c r="DE52">
        <v>0</v>
      </c>
      <c r="DF52">
        <v>0</v>
      </c>
      <c r="DG52">
        <v>-35.3632611</v>
      </c>
      <c r="DH52">
        <v>149.1652293</v>
      </c>
      <c r="DI52" t="s">
        <v>205</v>
      </c>
      <c r="DJ52">
        <v>1.2</v>
      </c>
      <c r="DK52">
        <v>2</v>
      </c>
      <c r="DL52">
        <v>277.9</v>
      </c>
      <c r="DM52">
        <v>0</v>
      </c>
      <c r="DN52">
        <v>6</v>
      </c>
      <c r="DO52">
        <v>10</v>
      </c>
      <c r="DP52">
        <v>0</v>
      </c>
      <c r="DQ52">
        <v>255</v>
      </c>
      <c r="DR52">
        <v>255</v>
      </c>
      <c r="DS52">
        <v>255</v>
      </c>
      <c r="DT52">
        <v>255</v>
      </c>
      <c r="DU52">
        <v>255</v>
      </c>
      <c r="DV52">
        <v>255</v>
      </c>
      <c r="DW52">
        <v>255</v>
      </c>
      <c r="DX52" t="s">
        <v>206</v>
      </c>
      <c r="DY52" t="s">
        <v>206</v>
      </c>
      <c r="DZ52" t="s">
        <v>207</v>
      </c>
      <c r="EA52" t="s">
        <v>198</v>
      </c>
      <c r="EB52" t="s">
        <v>198</v>
      </c>
      <c r="EC52" t="s">
        <v>198</v>
      </c>
      <c r="ED52">
        <v>0</v>
      </c>
      <c r="EE52">
        <v>0</v>
      </c>
      <c r="EF52">
        <v>0</v>
      </c>
      <c r="EG52">
        <v>0</v>
      </c>
      <c r="EH52">
        <v>255</v>
      </c>
      <c r="EI52">
        <v>255</v>
      </c>
      <c r="EJ52">
        <v>255</v>
      </c>
      <c r="EK52">
        <v>255</v>
      </c>
      <c r="EL52">
        <v>255</v>
      </c>
      <c r="EM52">
        <v>255</v>
      </c>
      <c r="EN52">
        <v>255</v>
      </c>
      <c r="EO52">
        <v>255</v>
      </c>
      <c r="EP52">
        <v>255</v>
      </c>
      <c r="EQ52">
        <v>255</v>
      </c>
      <c r="ER52" t="s">
        <v>208</v>
      </c>
      <c r="ES52" t="s">
        <v>209</v>
      </c>
      <c r="ET52" t="s">
        <v>209</v>
      </c>
      <c r="EU52">
        <v>0</v>
      </c>
      <c r="EV52">
        <v>0.1</v>
      </c>
      <c r="EW52">
        <v>-1</v>
      </c>
      <c r="EX52">
        <v>-50.2</v>
      </c>
      <c r="EY52">
        <v>0.2</v>
      </c>
      <c r="EZ52">
        <v>-1.5</v>
      </c>
      <c r="FA52">
        <v>0</v>
      </c>
      <c r="FB52" t="s">
        <v>198</v>
      </c>
      <c r="FC52" t="s">
        <v>198</v>
      </c>
      <c r="FD52" t="s">
        <v>198</v>
      </c>
      <c r="FE52" t="s">
        <v>198</v>
      </c>
      <c r="FF52" t="s">
        <v>198</v>
      </c>
      <c r="FG52" t="s">
        <v>198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 t="s">
        <v>203</v>
      </c>
      <c r="FP52" t="s">
        <v>203</v>
      </c>
      <c r="FQ52" t="s">
        <v>203</v>
      </c>
      <c r="FR52" t="s">
        <v>203</v>
      </c>
      <c r="FS52" t="s">
        <v>203</v>
      </c>
      <c r="FT52" t="s">
        <v>203</v>
      </c>
      <c r="FU52" t="s">
        <v>198</v>
      </c>
      <c r="FV52" t="s">
        <v>198</v>
      </c>
      <c r="FW52" t="s">
        <v>198</v>
      </c>
      <c r="FX52" t="s">
        <v>198</v>
      </c>
      <c r="FY52" t="s">
        <v>198</v>
      </c>
      <c r="FZ52" t="s">
        <v>198</v>
      </c>
      <c r="GA52">
        <v>30.87</v>
      </c>
      <c r="GB52">
        <v>30.87</v>
      </c>
      <c r="GC52" t="s">
        <v>203</v>
      </c>
      <c r="GD52">
        <v>0</v>
      </c>
      <c r="GE52">
        <v>504</v>
      </c>
      <c r="GF52">
        <v>0</v>
      </c>
      <c r="GG52">
        <v>0.1</v>
      </c>
      <c r="GH52">
        <v>0.5</v>
      </c>
      <c r="GI52">
        <v>0</v>
      </c>
      <c r="GJ52">
        <v>0</v>
      </c>
      <c r="GK52">
        <v>0</v>
      </c>
      <c r="GL52" t="s">
        <v>198</v>
      </c>
      <c r="GM52" t="s">
        <v>198</v>
      </c>
      <c r="GN52" t="s">
        <v>198</v>
      </c>
    </row>
    <row r="53" spans="1:196">
      <c r="A53" s="19">
        <v>46316.90449471064</v>
      </c>
      <c r="B53">
        <v>0</v>
      </c>
      <c r="C53">
        <v>-9.9</v>
      </c>
      <c r="D53">
        <v>277</v>
      </c>
      <c r="E53">
        <v>0</v>
      </c>
      <c r="F53">
        <v>0</v>
      </c>
      <c r="G53">
        <v>0</v>
      </c>
      <c r="H53">
        <v>3.4</v>
      </c>
      <c r="I53">
        <v>3</v>
      </c>
      <c r="J53">
        <v>3.01</v>
      </c>
      <c r="K53">
        <v>0</v>
      </c>
      <c r="L53">
        <v>50</v>
      </c>
      <c r="M53">
        <v>634.2</v>
      </c>
      <c r="N53">
        <v>49.2</v>
      </c>
      <c r="O53">
        <v>49.99</v>
      </c>
      <c r="P53">
        <v>50</v>
      </c>
      <c r="Q53">
        <v>0.01</v>
      </c>
      <c r="R53">
        <v>0</v>
      </c>
      <c r="S53">
        <v>2.6</v>
      </c>
      <c r="T53" t="s">
        <v>286</v>
      </c>
      <c r="U53">
        <v>3.4</v>
      </c>
      <c r="V53">
        <v>1</v>
      </c>
      <c r="W53">
        <v>2</v>
      </c>
      <c r="X53">
        <v>278</v>
      </c>
      <c r="Y53">
        <v>112</v>
      </c>
      <c r="Z53">
        <v>98</v>
      </c>
      <c r="AA53">
        <v>278</v>
      </c>
      <c r="AB53" t="s">
        <v>197</v>
      </c>
      <c r="AC53" t="s">
        <v>198</v>
      </c>
      <c r="AD53" t="s">
        <v>199</v>
      </c>
      <c r="AE53">
        <v>34</v>
      </c>
      <c r="AF53">
        <v>44</v>
      </c>
      <c r="AG53">
        <v>255</v>
      </c>
      <c r="AH53">
        <v>0</v>
      </c>
      <c r="AI53">
        <v>0</v>
      </c>
      <c r="AJ53">
        <v>0</v>
      </c>
      <c r="AK53">
        <v>12.6</v>
      </c>
      <c r="AL53">
        <v>0</v>
      </c>
      <c r="AM53">
        <v>0</v>
      </c>
      <c r="AN53" t="s">
        <v>197</v>
      </c>
      <c r="AO53">
        <v>100</v>
      </c>
      <c r="AP53" t="s">
        <v>197</v>
      </c>
      <c r="AQ53" t="s">
        <v>200</v>
      </c>
      <c r="AR53">
        <v>1</v>
      </c>
      <c r="AS53">
        <v>0</v>
      </c>
      <c r="AT53" t="s">
        <v>287</v>
      </c>
      <c r="AU53" t="s">
        <v>287</v>
      </c>
      <c r="AV53" t="s">
        <v>202</v>
      </c>
      <c r="AW53" t="s">
        <v>203</v>
      </c>
      <c r="AX53" t="s">
        <v>203</v>
      </c>
      <c r="AY53" t="s">
        <v>203</v>
      </c>
      <c r="AZ53" t="s">
        <v>203</v>
      </c>
      <c r="BA53" t="s">
        <v>203</v>
      </c>
      <c r="BB53" t="s">
        <v>203</v>
      </c>
      <c r="BC53" t="s">
        <v>203</v>
      </c>
      <c r="BD53" t="s">
        <v>203</v>
      </c>
      <c r="BE53" t="s">
        <v>203</v>
      </c>
      <c r="BF53">
        <v>49.37</v>
      </c>
      <c r="BG53">
        <v>0.2</v>
      </c>
      <c r="BH53">
        <v>50</v>
      </c>
      <c r="BI53">
        <v>0</v>
      </c>
      <c r="BJ53" t="s">
        <v>198</v>
      </c>
      <c r="BK53" t="s">
        <v>198</v>
      </c>
      <c r="BL53" t="s">
        <v>198</v>
      </c>
      <c r="BM53" t="s">
        <v>198</v>
      </c>
      <c r="BN53" t="s">
        <v>198</v>
      </c>
      <c r="BO53" t="s">
        <v>198</v>
      </c>
      <c r="BP53" t="s">
        <v>198</v>
      </c>
      <c r="BQ53" t="s">
        <v>198</v>
      </c>
      <c r="BR53" t="s">
        <v>198</v>
      </c>
      <c r="BS53" t="s">
        <v>198</v>
      </c>
      <c r="BT53" t="s">
        <v>198</v>
      </c>
      <c r="BU53" t="s">
        <v>198</v>
      </c>
      <c r="BV53" t="s">
        <v>198</v>
      </c>
      <c r="BW53" t="s">
        <v>198</v>
      </c>
      <c r="BX53" t="s">
        <v>198</v>
      </c>
      <c r="BY53" t="s">
        <v>198</v>
      </c>
      <c r="BZ53" t="s">
        <v>198</v>
      </c>
      <c r="CA53" t="s">
        <v>198</v>
      </c>
      <c r="CB53" t="s">
        <v>204</v>
      </c>
      <c r="CC53" t="s">
        <v>204</v>
      </c>
      <c r="CD53" t="s">
        <v>204</v>
      </c>
      <c r="CE53" t="s">
        <v>204</v>
      </c>
      <c r="CF53" t="s">
        <v>204</v>
      </c>
      <c r="CG53" t="s">
        <v>204</v>
      </c>
      <c r="CH53" t="s">
        <v>204</v>
      </c>
      <c r="CI53" t="s">
        <v>204</v>
      </c>
      <c r="CJ53" t="s">
        <v>204</v>
      </c>
      <c r="CK53" t="s">
        <v>204</v>
      </c>
      <c r="CL53" t="s">
        <v>204</v>
      </c>
      <c r="CM53" t="s">
        <v>204</v>
      </c>
      <c r="CN53" t="s">
        <v>203</v>
      </c>
      <c r="CO53" t="s">
        <v>203</v>
      </c>
      <c r="CP53" t="s">
        <v>203</v>
      </c>
      <c r="CQ53" t="s">
        <v>203</v>
      </c>
      <c r="CR53" t="s">
        <v>203</v>
      </c>
      <c r="CS53" t="s">
        <v>203</v>
      </c>
      <c r="CT53" t="s">
        <v>203</v>
      </c>
      <c r="CU53" t="s">
        <v>203</v>
      </c>
      <c r="CV53">
        <v>0</v>
      </c>
      <c r="CW53">
        <v>0</v>
      </c>
      <c r="CX53" t="s">
        <v>198</v>
      </c>
      <c r="CY53" t="s">
        <v>198</v>
      </c>
      <c r="CZ53" t="s">
        <v>198</v>
      </c>
      <c r="DA53" t="s">
        <v>198</v>
      </c>
      <c r="DB53" t="s">
        <v>198</v>
      </c>
      <c r="DC53">
        <v>0</v>
      </c>
      <c r="DD53">
        <v>0</v>
      </c>
      <c r="DE53">
        <v>0</v>
      </c>
      <c r="DF53">
        <v>0</v>
      </c>
      <c r="DG53">
        <v>-35.3632586</v>
      </c>
      <c r="DH53">
        <v>149.1652065</v>
      </c>
      <c r="DI53" t="s">
        <v>288</v>
      </c>
      <c r="DJ53">
        <v>1.2</v>
      </c>
      <c r="DK53">
        <v>2</v>
      </c>
      <c r="DL53">
        <v>277.6</v>
      </c>
      <c r="DM53">
        <v>0</v>
      </c>
      <c r="DN53">
        <v>6</v>
      </c>
      <c r="DO53">
        <v>10</v>
      </c>
      <c r="DP53">
        <v>0</v>
      </c>
      <c r="DQ53">
        <v>255</v>
      </c>
      <c r="DR53">
        <v>255</v>
      </c>
      <c r="DS53">
        <v>255</v>
      </c>
      <c r="DT53">
        <v>255</v>
      </c>
      <c r="DU53">
        <v>255</v>
      </c>
      <c r="DV53">
        <v>255</v>
      </c>
      <c r="DW53">
        <v>255</v>
      </c>
      <c r="DX53" t="s">
        <v>206</v>
      </c>
      <c r="DY53" t="s">
        <v>206</v>
      </c>
      <c r="DZ53" t="s">
        <v>207</v>
      </c>
      <c r="EA53" t="s">
        <v>198</v>
      </c>
      <c r="EB53" t="s">
        <v>198</v>
      </c>
      <c r="EC53" t="s">
        <v>198</v>
      </c>
      <c r="ED53">
        <v>0</v>
      </c>
      <c r="EE53">
        <v>0</v>
      </c>
      <c r="EF53">
        <v>0</v>
      </c>
      <c r="EG53">
        <v>0</v>
      </c>
      <c r="EH53">
        <v>255</v>
      </c>
      <c r="EI53">
        <v>255</v>
      </c>
      <c r="EJ53">
        <v>255</v>
      </c>
      <c r="EK53">
        <v>255</v>
      </c>
      <c r="EL53">
        <v>255</v>
      </c>
      <c r="EM53">
        <v>255</v>
      </c>
      <c r="EN53">
        <v>255</v>
      </c>
      <c r="EO53">
        <v>255</v>
      </c>
      <c r="EP53">
        <v>255</v>
      </c>
      <c r="EQ53">
        <v>255</v>
      </c>
      <c r="ER53" t="s">
        <v>208</v>
      </c>
      <c r="ES53" t="s">
        <v>209</v>
      </c>
      <c r="ET53" t="s">
        <v>209</v>
      </c>
      <c r="EU53">
        <v>0</v>
      </c>
      <c r="EV53">
        <v>0.5</v>
      </c>
      <c r="EW53">
        <v>-3.4</v>
      </c>
      <c r="EX53">
        <v>-50.2</v>
      </c>
      <c r="EY53">
        <v>0.4</v>
      </c>
      <c r="EZ53">
        <v>-3.3</v>
      </c>
      <c r="FA53">
        <v>0</v>
      </c>
      <c r="FB53" t="s">
        <v>198</v>
      </c>
      <c r="FC53" t="s">
        <v>198</v>
      </c>
      <c r="FD53" t="s">
        <v>198</v>
      </c>
      <c r="FE53" t="s">
        <v>198</v>
      </c>
      <c r="FF53" t="s">
        <v>198</v>
      </c>
      <c r="FG53" t="s">
        <v>198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 t="s">
        <v>203</v>
      </c>
      <c r="FP53" t="s">
        <v>203</v>
      </c>
      <c r="FQ53" t="s">
        <v>203</v>
      </c>
      <c r="FR53" t="s">
        <v>203</v>
      </c>
      <c r="FS53" t="s">
        <v>203</v>
      </c>
      <c r="FT53" t="s">
        <v>203</v>
      </c>
      <c r="FU53" t="s">
        <v>198</v>
      </c>
      <c r="FV53" t="s">
        <v>198</v>
      </c>
      <c r="FW53" t="s">
        <v>198</v>
      </c>
      <c r="FX53" t="s">
        <v>198</v>
      </c>
      <c r="FY53" t="s">
        <v>198</v>
      </c>
      <c r="FZ53" t="s">
        <v>198</v>
      </c>
      <c r="GA53">
        <v>30.87</v>
      </c>
      <c r="GB53">
        <v>30.87</v>
      </c>
      <c r="GC53" t="s">
        <v>203</v>
      </c>
      <c r="GD53">
        <v>0</v>
      </c>
      <c r="GE53">
        <v>504</v>
      </c>
      <c r="GF53">
        <v>0</v>
      </c>
      <c r="GG53">
        <v>0.1</v>
      </c>
      <c r="GH53">
        <v>0.4</v>
      </c>
      <c r="GI53">
        <v>0</v>
      </c>
      <c r="GJ53">
        <v>0</v>
      </c>
      <c r="GK53">
        <v>0</v>
      </c>
      <c r="GL53" t="s">
        <v>198</v>
      </c>
      <c r="GM53" t="s">
        <v>198</v>
      </c>
      <c r="GN53" t="s">
        <v>198</v>
      </c>
    </row>
    <row r="54" spans="1:196">
      <c r="A54" s="19">
        <v>46316.90450628472</v>
      </c>
      <c r="B54">
        <v>0.5</v>
      </c>
      <c r="C54">
        <v>-3.8</v>
      </c>
      <c r="D54">
        <v>277</v>
      </c>
      <c r="E54">
        <v>0</v>
      </c>
      <c r="F54">
        <v>0</v>
      </c>
      <c r="G54">
        <v>0</v>
      </c>
      <c r="H54">
        <v>4.4</v>
      </c>
      <c r="I54">
        <v>4.3</v>
      </c>
      <c r="J54">
        <v>4.304</v>
      </c>
      <c r="K54">
        <v>0</v>
      </c>
      <c r="L54">
        <v>50</v>
      </c>
      <c r="M54">
        <v>634.2</v>
      </c>
      <c r="N54">
        <v>49.2</v>
      </c>
      <c r="O54">
        <v>50</v>
      </c>
      <c r="P54">
        <v>50</v>
      </c>
      <c r="Q54">
        <v>0.022</v>
      </c>
      <c r="R54">
        <v>0</v>
      </c>
      <c r="S54">
        <v>7.4</v>
      </c>
      <c r="T54" t="s">
        <v>289</v>
      </c>
      <c r="U54">
        <v>7.4</v>
      </c>
      <c r="V54">
        <v>1.7</v>
      </c>
      <c r="W54">
        <v>2</v>
      </c>
      <c r="X54">
        <v>278</v>
      </c>
      <c r="Y54">
        <v>108</v>
      </c>
      <c r="Z54">
        <v>98</v>
      </c>
      <c r="AA54">
        <v>278</v>
      </c>
      <c r="AB54" t="s">
        <v>197</v>
      </c>
      <c r="AC54" t="s">
        <v>198</v>
      </c>
      <c r="AD54" t="s">
        <v>199</v>
      </c>
      <c r="AE54">
        <v>33</v>
      </c>
      <c r="AF54">
        <v>44</v>
      </c>
      <c r="AG54">
        <v>255</v>
      </c>
      <c r="AH54">
        <v>0</v>
      </c>
      <c r="AI54">
        <v>0</v>
      </c>
      <c r="AJ54">
        <v>0</v>
      </c>
      <c r="AK54">
        <v>12.6</v>
      </c>
      <c r="AL54">
        <v>0</v>
      </c>
      <c r="AM54">
        <v>0</v>
      </c>
      <c r="AN54" t="s">
        <v>197</v>
      </c>
      <c r="AO54">
        <v>100</v>
      </c>
      <c r="AP54" t="s">
        <v>197</v>
      </c>
      <c r="AQ54" t="s">
        <v>200</v>
      </c>
      <c r="AR54">
        <v>1</v>
      </c>
      <c r="AS54">
        <v>0</v>
      </c>
      <c r="AT54" t="s">
        <v>290</v>
      </c>
      <c r="AU54" t="s">
        <v>290</v>
      </c>
      <c r="AV54" t="s">
        <v>202</v>
      </c>
      <c r="AW54" t="s">
        <v>203</v>
      </c>
      <c r="AX54" t="s">
        <v>203</v>
      </c>
      <c r="AY54" t="s">
        <v>203</v>
      </c>
      <c r="AZ54" t="s">
        <v>203</v>
      </c>
      <c r="BA54" t="s">
        <v>203</v>
      </c>
      <c r="BB54" t="s">
        <v>203</v>
      </c>
      <c r="BC54" t="s">
        <v>203</v>
      </c>
      <c r="BD54" t="s">
        <v>203</v>
      </c>
      <c r="BE54" t="s">
        <v>203</v>
      </c>
      <c r="BF54">
        <v>48.69</v>
      </c>
      <c r="BG54">
        <v>0.2</v>
      </c>
      <c r="BH54">
        <v>50</v>
      </c>
      <c r="BI54">
        <v>0</v>
      </c>
      <c r="BJ54" t="s">
        <v>198</v>
      </c>
      <c r="BK54" t="s">
        <v>198</v>
      </c>
      <c r="BL54" t="s">
        <v>198</v>
      </c>
      <c r="BM54" t="s">
        <v>198</v>
      </c>
      <c r="BN54" t="s">
        <v>198</v>
      </c>
      <c r="BO54" t="s">
        <v>198</v>
      </c>
      <c r="BP54" t="s">
        <v>198</v>
      </c>
      <c r="BQ54" t="s">
        <v>198</v>
      </c>
      <c r="BR54" t="s">
        <v>198</v>
      </c>
      <c r="BS54" t="s">
        <v>198</v>
      </c>
      <c r="BT54" t="s">
        <v>198</v>
      </c>
      <c r="BU54" t="s">
        <v>198</v>
      </c>
      <c r="BV54" t="s">
        <v>198</v>
      </c>
      <c r="BW54" t="s">
        <v>198</v>
      </c>
      <c r="BX54" t="s">
        <v>198</v>
      </c>
      <c r="BY54" t="s">
        <v>198</v>
      </c>
      <c r="BZ54" t="s">
        <v>198</v>
      </c>
      <c r="CA54" t="s">
        <v>198</v>
      </c>
      <c r="CB54" t="s">
        <v>204</v>
      </c>
      <c r="CC54" t="s">
        <v>204</v>
      </c>
      <c r="CD54" t="s">
        <v>204</v>
      </c>
      <c r="CE54" t="s">
        <v>204</v>
      </c>
      <c r="CF54" t="s">
        <v>204</v>
      </c>
      <c r="CG54" t="s">
        <v>204</v>
      </c>
      <c r="CH54" t="s">
        <v>204</v>
      </c>
      <c r="CI54" t="s">
        <v>204</v>
      </c>
      <c r="CJ54" t="s">
        <v>204</v>
      </c>
      <c r="CK54" t="s">
        <v>204</v>
      </c>
      <c r="CL54" t="s">
        <v>204</v>
      </c>
      <c r="CM54" t="s">
        <v>204</v>
      </c>
      <c r="CN54" t="s">
        <v>203</v>
      </c>
      <c r="CO54" t="s">
        <v>203</v>
      </c>
      <c r="CP54" t="s">
        <v>203</v>
      </c>
      <c r="CQ54" t="s">
        <v>203</v>
      </c>
      <c r="CR54" t="s">
        <v>203</v>
      </c>
      <c r="CS54" t="s">
        <v>203</v>
      </c>
      <c r="CT54" t="s">
        <v>203</v>
      </c>
      <c r="CU54" t="s">
        <v>203</v>
      </c>
      <c r="CV54">
        <v>0</v>
      </c>
      <c r="CW54">
        <v>0</v>
      </c>
      <c r="CX54" t="s">
        <v>198</v>
      </c>
      <c r="CY54" t="s">
        <v>198</v>
      </c>
      <c r="CZ54" t="s">
        <v>198</v>
      </c>
      <c r="DA54" t="s">
        <v>198</v>
      </c>
      <c r="DB54" t="s">
        <v>198</v>
      </c>
      <c r="DC54">
        <v>0</v>
      </c>
      <c r="DD54">
        <v>0</v>
      </c>
      <c r="DE54">
        <v>0</v>
      </c>
      <c r="DF54">
        <v>0</v>
      </c>
      <c r="DG54">
        <v>-35.363254</v>
      </c>
      <c r="DH54">
        <v>149.1651656</v>
      </c>
      <c r="DI54" t="s">
        <v>291</v>
      </c>
      <c r="DJ54">
        <v>1.2</v>
      </c>
      <c r="DK54">
        <v>2</v>
      </c>
      <c r="DL54">
        <v>278</v>
      </c>
      <c r="DM54">
        <v>0</v>
      </c>
      <c r="DN54">
        <v>6</v>
      </c>
      <c r="DO54">
        <v>10</v>
      </c>
      <c r="DP54">
        <v>0</v>
      </c>
      <c r="DQ54">
        <v>255</v>
      </c>
      <c r="DR54">
        <v>255</v>
      </c>
      <c r="DS54">
        <v>255</v>
      </c>
      <c r="DT54">
        <v>255</v>
      </c>
      <c r="DU54">
        <v>255</v>
      </c>
      <c r="DV54">
        <v>255</v>
      </c>
      <c r="DW54">
        <v>255</v>
      </c>
      <c r="DX54" t="s">
        <v>206</v>
      </c>
      <c r="DY54" t="s">
        <v>206</v>
      </c>
      <c r="DZ54" t="s">
        <v>207</v>
      </c>
      <c r="EA54" t="s">
        <v>198</v>
      </c>
      <c r="EB54" t="s">
        <v>198</v>
      </c>
      <c r="EC54" t="s">
        <v>198</v>
      </c>
      <c r="ED54">
        <v>0</v>
      </c>
      <c r="EE54">
        <v>0</v>
      </c>
      <c r="EF54">
        <v>0</v>
      </c>
      <c r="EG54">
        <v>0</v>
      </c>
      <c r="EH54">
        <v>255</v>
      </c>
      <c r="EI54">
        <v>255</v>
      </c>
      <c r="EJ54">
        <v>255</v>
      </c>
      <c r="EK54">
        <v>255</v>
      </c>
      <c r="EL54">
        <v>255</v>
      </c>
      <c r="EM54">
        <v>255</v>
      </c>
      <c r="EN54">
        <v>255</v>
      </c>
      <c r="EO54">
        <v>255</v>
      </c>
      <c r="EP54">
        <v>255</v>
      </c>
      <c r="EQ54">
        <v>255</v>
      </c>
      <c r="ER54" t="s">
        <v>208</v>
      </c>
      <c r="ES54" t="s">
        <v>209</v>
      </c>
      <c r="ET54" t="s">
        <v>209</v>
      </c>
      <c r="EU54">
        <v>0</v>
      </c>
      <c r="EV54">
        <v>1</v>
      </c>
      <c r="EW54">
        <v>-7.3</v>
      </c>
      <c r="EX54">
        <v>-50.2</v>
      </c>
      <c r="EY54">
        <v>0.6</v>
      </c>
      <c r="EZ54">
        <v>-4.4</v>
      </c>
      <c r="FA54">
        <v>0</v>
      </c>
      <c r="FB54" t="s">
        <v>198</v>
      </c>
      <c r="FC54" t="s">
        <v>198</v>
      </c>
      <c r="FD54" t="s">
        <v>198</v>
      </c>
      <c r="FE54" t="s">
        <v>198</v>
      </c>
      <c r="FF54" t="s">
        <v>198</v>
      </c>
      <c r="FG54" t="s">
        <v>198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 t="s">
        <v>203</v>
      </c>
      <c r="FP54" t="s">
        <v>203</v>
      </c>
      <c r="FQ54" t="s">
        <v>203</v>
      </c>
      <c r="FR54" t="s">
        <v>203</v>
      </c>
      <c r="FS54" t="s">
        <v>203</v>
      </c>
      <c r="FT54" t="s">
        <v>203</v>
      </c>
      <c r="FU54" t="s">
        <v>198</v>
      </c>
      <c r="FV54" t="s">
        <v>198</v>
      </c>
      <c r="FW54" t="s">
        <v>198</v>
      </c>
      <c r="FX54" t="s">
        <v>198</v>
      </c>
      <c r="FY54" t="s">
        <v>198</v>
      </c>
      <c r="FZ54" t="s">
        <v>198</v>
      </c>
      <c r="GA54">
        <v>30.87</v>
      </c>
      <c r="GB54">
        <v>30.87</v>
      </c>
      <c r="GC54" t="s">
        <v>203</v>
      </c>
      <c r="GD54">
        <v>0</v>
      </c>
      <c r="GE54">
        <v>504</v>
      </c>
      <c r="GF54">
        <v>0</v>
      </c>
      <c r="GG54">
        <v>0.1</v>
      </c>
      <c r="GH54">
        <v>0.5</v>
      </c>
      <c r="GI54">
        <v>0</v>
      </c>
      <c r="GJ54">
        <v>0</v>
      </c>
      <c r="GK54">
        <v>0</v>
      </c>
      <c r="GL54" t="s">
        <v>198</v>
      </c>
      <c r="GM54" t="s">
        <v>198</v>
      </c>
      <c r="GN54" t="s">
        <v>198</v>
      </c>
    </row>
    <row r="55" spans="1:196">
      <c r="A55" s="19">
        <v>46316.9045178588</v>
      </c>
      <c r="B55">
        <v>-0.4</v>
      </c>
      <c r="C55">
        <v>0</v>
      </c>
      <c r="D55">
        <v>277</v>
      </c>
      <c r="E55">
        <v>0</v>
      </c>
      <c r="F55">
        <v>0</v>
      </c>
      <c r="G55">
        <v>0</v>
      </c>
      <c r="H55">
        <v>4.7</v>
      </c>
      <c r="I55">
        <v>4.7</v>
      </c>
      <c r="J55">
        <v>4.72</v>
      </c>
      <c r="K55">
        <v>0</v>
      </c>
      <c r="L55">
        <v>50</v>
      </c>
      <c r="M55">
        <v>634.2</v>
      </c>
      <c r="N55">
        <v>49.2</v>
      </c>
      <c r="O55">
        <v>50</v>
      </c>
      <c r="P55">
        <v>50</v>
      </c>
      <c r="Q55">
        <v>0.002</v>
      </c>
      <c r="R55">
        <v>0</v>
      </c>
      <c r="S55">
        <v>12</v>
      </c>
      <c r="T55" t="s">
        <v>292</v>
      </c>
      <c r="U55">
        <v>12</v>
      </c>
      <c r="V55">
        <v>2.5</v>
      </c>
      <c r="W55">
        <v>2</v>
      </c>
      <c r="X55">
        <v>278</v>
      </c>
      <c r="Y55">
        <v>103</v>
      </c>
      <c r="Z55">
        <v>98</v>
      </c>
      <c r="AA55">
        <v>278</v>
      </c>
      <c r="AB55" t="s">
        <v>197</v>
      </c>
      <c r="AC55" t="s">
        <v>198</v>
      </c>
      <c r="AD55" t="s">
        <v>199</v>
      </c>
      <c r="AE55">
        <v>32</v>
      </c>
      <c r="AF55">
        <v>44</v>
      </c>
      <c r="AG55">
        <v>255</v>
      </c>
      <c r="AH55">
        <v>0</v>
      </c>
      <c r="AI55">
        <v>0</v>
      </c>
      <c r="AJ55">
        <v>0</v>
      </c>
      <c r="AK55">
        <v>12.6</v>
      </c>
      <c r="AL55">
        <v>0</v>
      </c>
      <c r="AM55">
        <v>0</v>
      </c>
      <c r="AN55" t="s">
        <v>197</v>
      </c>
      <c r="AO55">
        <v>100</v>
      </c>
      <c r="AP55" t="s">
        <v>197</v>
      </c>
      <c r="AQ55" t="s">
        <v>200</v>
      </c>
      <c r="AR55">
        <v>1</v>
      </c>
      <c r="AS55">
        <v>0</v>
      </c>
      <c r="AT55" t="s">
        <v>293</v>
      </c>
      <c r="AU55" t="s">
        <v>293</v>
      </c>
      <c r="AV55" t="s">
        <v>202</v>
      </c>
      <c r="AW55" t="s">
        <v>203</v>
      </c>
      <c r="AX55" t="s">
        <v>203</v>
      </c>
      <c r="AY55" t="s">
        <v>203</v>
      </c>
      <c r="AZ55" t="s">
        <v>203</v>
      </c>
      <c r="BA55" t="s">
        <v>203</v>
      </c>
      <c r="BB55" t="s">
        <v>203</v>
      </c>
      <c r="BC55" t="s">
        <v>203</v>
      </c>
      <c r="BD55" t="s">
        <v>203</v>
      </c>
      <c r="BE55" t="s">
        <v>203</v>
      </c>
      <c r="BF55">
        <v>48.53</v>
      </c>
      <c r="BG55">
        <v>0.2</v>
      </c>
      <c r="BH55">
        <v>50</v>
      </c>
      <c r="BI55">
        <v>0</v>
      </c>
      <c r="BJ55" t="s">
        <v>198</v>
      </c>
      <c r="BK55" t="s">
        <v>198</v>
      </c>
      <c r="BL55" t="s">
        <v>198</v>
      </c>
      <c r="BM55" t="s">
        <v>198</v>
      </c>
      <c r="BN55" t="s">
        <v>198</v>
      </c>
      <c r="BO55" t="s">
        <v>198</v>
      </c>
      <c r="BP55" t="s">
        <v>198</v>
      </c>
      <c r="BQ55" t="s">
        <v>198</v>
      </c>
      <c r="BR55" t="s">
        <v>198</v>
      </c>
      <c r="BS55" t="s">
        <v>198</v>
      </c>
      <c r="BT55" t="s">
        <v>198</v>
      </c>
      <c r="BU55" t="s">
        <v>198</v>
      </c>
      <c r="BV55" t="s">
        <v>198</v>
      </c>
      <c r="BW55" t="s">
        <v>198</v>
      </c>
      <c r="BX55" t="s">
        <v>198</v>
      </c>
      <c r="BY55" t="s">
        <v>198</v>
      </c>
      <c r="BZ55" t="s">
        <v>198</v>
      </c>
      <c r="CA55" t="s">
        <v>198</v>
      </c>
      <c r="CB55" t="s">
        <v>204</v>
      </c>
      <c r="CC55" t="s">
        <v>204</v>
      </c>
      <c r="CD55" t="s">
        <v>204</v>
      </c>
      <c r="CE55" t="s">
        <v>204</v>
      </c>
      <c r="CF55" t="s">
        <v>204</v>
      </c>
      <c r="CG55" t="s">
        <v>204</v>
      </c>
      <c r="CH55" t="s">
        <v>204</v>
      </c>
      <c r="CI55" t="s">
        <v>204</v>
      </c>
      <c r="CJ55" t="s">
        <v>204</v>
      </c>
      <c r="CK55" t="s">
        <v>204</v>
      </c>
      <c r="CL55" t="s">
        <v>204</v>
      </c>
      <c r="CM55" t="s">
        <v>204</v>
      </c>
      <c r="CN55" t="s">
        <v>203</v>
      </c>
      <c r="CO55" t="s">
        <v>203</v>
      </c>
      <c r="CP55" t="s">
        <v>203</v>
      </c>
      <c r="CQ55" t="s">
        <v>203</v>
      </c>
      <c r="CR55" t="s">
        <v>203</v>
      </c>
      <c r="CS55" t="s">
        <v>203</v>
      </c>
      <c r="CT55" t="s">
        <v>203</v>
      </c>
      <c r="CU55" t="s">
        <v>203</v>
      </c>
      <c r="CV55">
        <v>0</v>
      </c>
      <c r="CW55">
        <v>0</v>
      </c>
      <c r="CX55" t="s">
        <v>198</v>
      </c>
      <c r="CY55" t="s">
        <v>198</v>
      </c>
      <c r="CZ55" t="s">
        <v>198</v>
      </c>
      <c r="DA55" t="s">
        <v>198</v>
      </c>
      <c r="DB55" t="s">
        <v>198</v>
      </c>
      <c r="DC55">
        <v>0</v>
      </c>
      <c r="DD55">
        <v>0</v>
      </c>
      <c r="DE55">
        <v>0</v>
      </c>
      <c r="DF55">
        <v>0</v>
      </c>
      <c r="DG55">
        <v>-35.3632482</v>
      </c>
      <c r="DH55">
        <v>149.1651157</v>
      </c>
      <c r="DI55" t="s">
        <v>294</v>
      </c>
      <c r="DJ55">
        <v>1.2</v>
      </c>
      <c r="DK55">
        <v>2</v>
      </c>
      <c r="DL55">
        <v>278.3</v>
      </c>
      <c r="DM55">
        <v>0</v>
      </c>
      <c r="DN55">
        <v>6</v>
      </c>
      <c r="DO55">
        <v>10</v>
      </c>
      <c r="DP55">
        <v>0</v>
      </c>
      <c r="DQ55">
        <v>255</v>
      </c>
      <c r="DR55">
        <v>255</v>
      </c>
      <c r="DS55">
        <v>255</v>
      </c>
      <c r="DT55">
        <v>255</v>
      </c>
      <c r="DU55">
        <v>255</v>
      </c>
      <c r="DV55">
        <v>255</v>
      </c>
      <c r="DW55">
        <v>255</v>
      </c>
      <c r="DX55" t="s">
        <v>206</v>
      </c>
      <c r="DY55" t="s">
        <v>206</v>
      </c>
      <c r="DZ55" t="s">
        <v>207</v>
      </c>
      <c r="EA55" t="s">
        <v>198</v>
      </c>
      <c r="EB55" t="s">
        <v>198</v>
      </c>
      <c r="EC55" t="s">
        <v>198</v>
      </c>
      <c r="ED55">
        <v>0</v>
      </c>
      <c r="EE55">
        <v>0</v>
      </c>
      <c r="EF55">
        <v>0</v>
      </c>
      <c r="EG55">
        <v>0</v>
      </c>
      <c r="EH55">
        <v>255</v>
      </c>
      <c r="EI55">
        <v>255</v>
      </c>
      <c r="EJ55">
        <v>255</v>
      </c>
      <c r="EK55">
        <v>255</v>
      </c>
      <c r="EL55">
        <v>255</v>
      </c>
      <c r="EM55">
        <v>255</v>
      </c>
      <c r="EN55">
        <v>255</v>
      </c>
      <c r="EO55">
        <v>255</v>
      </c>
      <c r="EP55">
        <v>255</v>
      </c>
      <c r="EQ55">
        <v>255</v>
      </c>
      <c r="ER55" t="s">
        <v>208</v>
      </c>
      <c r="ES55" t="s">
        <v>209</v>
      </c>
      <c r="ET55" t="s">
        <v>209</v>
      </c>
      <c r="EU55">
        <v>0</v>
      </c>
      <c r="EV55">
        <v>1.7</v>
      </c>
      <c r="EW55">
        <v>-11.9</v>
      </c>
      <c r="EX55">
        <v>-50.2</v>
      </c>
      <c r="EY55">
        <v>0.7</v>
      </c>
      <c r="EZ55">
        <v>-4.7</v>
      </c>
      <c r="FA55">
        <v>0</v>
      </c>
      <c r="FB55" t="s">
        <v>198</v>
      </c>
      <c r="FC55" t="s">
        <v>198</v>
      </c>
      <c r="FD55" t="s">
        <v>198</v>
      </c>
      <c r="FE55" t="s">
        <v>198</v>
      </c>
      <c r="FF55" t="s">
        <v>198</v>
      </c>
      <c r="FG55" t="s">
        <v>198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 t="s">
        <v>203</v>
      </c>
      <c r="FP55" t="s">
        <v>203</v>
      </c>
      <c r="FQ55" t="s">
        <v>203</v>
      </c>
      <c r="FR55" t="s">
        <v>203</v>
      </c>
      <c r="FS55" t="s">
        <v>203</v>
      </c>
      <c r="FT55" t="s">
        <v>203</v>
      </c>
      <c r="FU55" t="s">
        <v>198</v>
      </c>
      <c r="FV55" t="s">
        <v>198</v>
      </c>
      <c r="FW55" t="s">
        <v>198</v>
      </c>
      <c r="FX55" t="s">
        <v>198</v>
      </c>
      <c r="FY55" t="s">
        <v>198</v>
      </c>
      <c r="FZ55" t="s">
        <v>198</v>
      </c>
      <c r="GA55">
        <v>30.87</v>
      </c>
      <c r="GB55">
        <v>30.87</v>
      </c>
      <c r="GC55" t="s">
        <v>203</v>
      </c>
      <c r="GD55">
        <v>0</v>
      </c>
      <c r="GE55">
        <v>504</v>
      </c>
      <c r="GF55">
        <v>0</v>
      </c>
      <c r="GG55">
        <v>0.1</v>
      </c>
      <c r="GH55">
        <v>0.5</v>
      </c>
      <c r="GI55">
        <v>0</v>
      </c>
      <c r="GJ55">
        <v>0</v>
      </c>
      <c r="GK55">
        <v>0</v>
      </c>
      <c r="GL55" t="s">
        <v>198</v>
      </c>
      <c r="GM55" t="s">
        <v>198</v>
      </c>
      <c r="GN55" t="s">
        <v>198</v>
      </c>
    </row>
    <row r="56" spans="1:196">
      <c r="A56" s="19">
        <v>46316.90452943287</v>
      </c>
      <c r="B56">
        <v>0.3</v>
      </c>
      <c r="C56">
        <v>-1.3</v>
      </c>
      <c r="D56">
        <v>277</v>
      </c>
      <c r="E56">
        <v>0</v>
      </c>
      <c r="F56">
        <v>0</v>
      </c>
      <c r="G56">
        <v>0</v>
      </c>
      <c r="H56">
        <v>4.8</v>
      </c>
      <c r="I56">
        <v>4.8</v>
      </c>
      <c r="J56">
        <v>4.762</v>
      </c>
      <c r="K56">
        <v>0</v>
      </c>
      <c r="L56">
        <v>50</v>
      </c>
      <c r="M56">
        <v>634.2</v>
      </c>
      <c r="N56">
        <v>49.2</v>
      </c>
      <c r="O56">
        <v>49.99</v>
      </c>
      <c r="P56">
        <v>50</v>
      </c>
      <c r="Q56">
        <v>0.016</v>
      </c>
      <c r="R56">
        <v>0</v>
      </c>
      <c r="S56">
        <v>16.8</v>
      </c>
      <c r="T56" t="s">
        <v>295</v>
      </c>
      <c r="U56">
        <v>16.8</v>
      </c>
      <c r="V56">
        <v>3.5</v>
      </c>
      <c r="W56">
        <v>2</v>
      </c>
      <c r="X56">
        <v>278</v>
      </c>
      <c r="Y56">
        <v>99</v>
      </c>
      <c r="Z56">
        <v>98</v>
      </c>
      <c r="AA56">
        <v>278</v>
      </c>
      <c r="AB56" t="s">
        <v>197</v>
      </c>
      <c r="AC56" t="s">
        <v>198</v>
      </c>
      <c r="AD56" t="s">
        <v>199</v>
      </c>
      <c r="AE56">
        <v>33</v>
      </c>
      <c r="AF56">
        <v>44</v>
      </c>
      <c r="AG56">
        <v>255</v>
      </c>
      <c r="AH56">
        <v>0</v>
      </c>
      <c r="AI56">
        <v>0</v>
      </c>
      <c r="AJ56">
        <v>0</v>
      </c>
      <c r="AK56">
        <v>12.6</v>
      </c>
      <c r="AL56">
        <v>0</v>
      </c>
      <c r="AM56">
        <v>0</v>
      </c>
      <c r="AN56" t="s">
        <v>197</v>
      </c>
      <c r="AO56">
        <v>100</v>
      </c>
      <c r="AP56" t="s">
        <v>197</v>
      </c>
      <c r="AQ56" t="s">
        <v>200</v>
      </c>
      <c r="AR56">
        <v>1</v>
      </c>
      <c r="AS56">
        <v>0</v>
      </c>
      <c r="AT56" t="s">
        <v>296</v>
      </c>
      <c r="AU56" t="s">
        <v>296</v>
      </c>
      <c r="AV56" t="s">
        <v>202</v>
      </c>
      <c r="AW56" t="s">
        <v>203</v>
      </c>
      <c r="AX56" t="s">
        <v>203</v>
      </c>
      <c r="AY56" t="s">
        <v>203</v>
      </c>
      <c r="AZ56" t="s">
        <v>203</v>
      </c>
      <c r="BA56" t="s">
        <v>203</v>
      </c>
      <c r="BB56" t="s">
        <v>203</v>
      </c>
      <c r="BC56" t="s">
        <v>203</v>
      </c>
      <c r="BD56" t="s">
        <v>203</v>
      </c>
      <c r="BE56" t="s">
        <v>203</v>
      </c>
      <c r="BF56">
        <v>48.47</v>
      </c>
      <c r="BG56">
        <v>0.2</v>
      </c>
      <c r="BH56">
        <v>50</v>
      </c>
      <c r="BI56">
        <v>0</v>
      </c>
      <c r="BJ56" t="s">
        <v>198</v>
      </c>
      <c r="BK56" t="s">
        <v>198</v>
      </c>
      <c r="BL56" t="s">
        <v>198</v>
      </c>
      <c r="BM56" t="s">
        <v>198</v>
      </c>
      <c r="BN56" t="s">
        <v>198</v>
      </c>
      <c r="BO56" t="s">
        <v>198</v>
      </c>
      <c r="BP56" t="s">
        <v>198</v>
      </c>
      <c r="BQ56" t="s">
        <v>198</v>
      </c>
      <c r="BR56" t="s">
        <v>198</v>
      </c>
      <c r="BS56" t="s">
        <v>198</v>
      </c>
      <c r="BT56" t="s">
        <v>198</v>
      </c>
      <c r="BU56" t="s">
        <v>198</v>
      </c>
      <c r="BV56" t="s">
        <v>198</v>
      </c>
      <c r="BW56" t="s">
        <v>198</v>
      </c>
      <c r="BX56" t="s">
        <v>198</v>
      </c>
      <c r="BY56" t="s">
        <v>198</v>
      </c>
      <c r="BZ56" t="s">
        <v>198</v>
      </c>
      <c r="CA56" t="s">
        <v>198</v>
      </c>
      <c r="CB56" t="s">
        <v>204</v>
      </c>
      <c r="CC56" t="s">
        <v>204</v>
      </c>
      <c r="CD56" t="s">
        <v>204</v>
      </c>
      <c r="CE56" t="s">
        <v>204</v>
      </c>
      <c r="CF56" t="s">
        <v>204</v>
      </c>
      <c r="CG56" t="s">
        <v>204</v>
      </c>
      <c r="CH56" t="s">
        <v>204</v>
      </c>
      <c r="CI56" t="s">
        <v>204</v>
      </c>
      <c r="CJ56" t="s">
        <v>204</v>
      </c>
      <c r="CK56" t="s">
        <v>204</v>
      </c>
      <c r="CL56" t="s">
        <v>204</v>
      </c>
      <c r="CM56" t="s">
        <v>204</v>
      </c>
      <c r="CN56" t="s">
        <v>203</v>
      </c>
      <c r="CO56" t="s">
        <v>203</v>
      </c>
      <c r="CP56" t="s">
        <v>203</v>
      </c>
      <c r="CQ56" t="s">
        <v>203</v>
      </c>
      <c r="CR56" t="s">
        <v>203</v>
      </c>
      <c r="CS56" t="s">
        <v>203</v>
      </c>
      <c r="CT56" t="s">
        <v>203</v>
      </c>
      <c r="CU56" t="s">
        <v>203</v>
      </c>
      <c r="CV56">
        <v>0</v>
      </c>
      <c r="CW56">
        <v>0</v>
      </c>
      <c r="CX56" t="s">
        <v>198</v>
      </c>
      <c r="CY56" t="s">
        <v>198</v>
      </c>
      <c r="CZ56" t="s">
        <v>198</v>
      </c>
      <c r="DA56" t="s">
        <v>198</v>
      </c>
      <c r="DB56" t="s">
        <v>198</v>
      </c>
      <c r="DC56">
        <v>0</v>
      </c>
      <c r="DD56">
        <v>0</v>
      </c>
      <c r="DE56">
        <v>0</v>
      </c>
      <c r="DF56">
        <v>0</v>
      </c>
      <c r="DG56">
        <v>-35.3632421</v>
      </c>
      <c r="DH56">
        <v>149.1650642</v>
      </c>
      <c r="DI56" t="s">
        <v>297</v>
      </c>
      <c r="DJ56">
        <v>1.2</v>
      </c>
      <c r="DK56">
        <v>2</v>
      </c>
      <c r="DL56">
        <v>278.1</v>
      </c>
      <c r="DM56">
        <v>0</v>
      </c>
      <c r="DN56">
        <v>6</v>
      </c>
      <c r="DO56">
        <v>10</v>
      </c>
      <c r="DP56">
        <v>0</v>
      </c>
      <c r="DQ56">
        <v>255</v>
      </c>
      <c r="DR56">
        <v>255</v>
      </c>
      <c r="DS56">
        <v>255</v>
      </c>
      <c r="DT56">
        <v>255</v>
      </c>
      <c r="DU56">
        <v>255</v>
      </c>
      <c r="DV56">
        <v>255</v>
      </c>
      <c r="DW56">
        <v>255</v>
      </c>
      <c r="DX56" t="s">
        <v>206</v>
      </c>
      <c r="DY56" t="s">
        <v>206</v>
      </c>
      <c r="DZ56" t="s">
        <v>207</v>
      </c>
      <c r="EA56" t="s">
        <v>198</v>
      </c>
      <c r="EB56" t="s">
        <v>198</v>
      </c>
      <c r="EC56" t="s">
        <v>198</v>
      </c>
      <c r="ED56">
        <v>0</v>
      </c>
      <c r="EE56">
        <v>0</v>
      </c>
      <c r="EF56">
        <v>0</v>
      </c>
      <c r="EG56">
        <v>0</v>
      </c>
      <c r="EH56">
        <v>255</v>
      </c>
      <c r="EI56">
        <v>255</v>
      </c>
      <c r="EJ56">
        <v>255</v>
      </c>
      <c r="EK56">
        <v>255</v>
      </c>
      <c r="EL56">
        <v>255</v>
      </c>
      <c r="EM56">
        <v>255</v>
      </c>
      <c r="EN56">
        <v>255</v>
      </c>
      <c r="EO56">
        <v>255</v>
      </c>
      <c r="EP56">
        <v>255</v>
      </c>
      <c r="EQ56">
        <v>255</v>
      </c>
      <c r="ER56" t="s">
        <v>208</v>
      </c>
      <c r="ES56" t="s">
        <v>209</v>
      </c>
      <c r="ET56" t="s">
        <v>209</v>
      </c>
      <c r="EU56">
        <v>0</v>
      </c>
      <c r="EV56">
        <v>2.4</v>
      </c>
      <c r="EW56">
        <v>-16.6</v>
      </c>
      <c r="EX56">
        <v>-50.2</v>
      </c>
      <c r="EY56">
        <v>0.7</v>
      </c>
      <c r="EZ56">
        <v>-4.7</v>
      </c>
      <c r="FA56">
        <v>0</v>
      </c>
      <c r="FB56" t="s">
        <v>198</v>
      </c>
      <c r="FC56" t="s">
        <v>198</v>
      </c>
      <c r="FD56" t="s">
        <v>198</v>
      </c>
      <c r="FE56" t="s">
        <v>198</v>
      </c>
      <c r="FF56" t="s">
        <v>198</v>
      </c>
      <c r="FG56" t="s">
        <v>198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 t="s">
        <v>203</v>
      </c>
      <c r="FP56" t="s">
        <v>203</v>
      </c>
      <c r="FQ56" t="s">
        <v>203</v>
      </c>
      <c r="FR56" t="s">
        <v>203</v>
      </c>
      <c r="FS56" t="s">
        <v>203</v>
      </c>
      <c r="FT56" t="s">
        <v>203</v>
      </c>
      <c r="FU56" t="s">
        <v>198</v>
      </c>
      <c r="FV56" t="s">
        <v>198</v>
      </c>
      <c r="FW56" t="s">
        <v>198</v>
      </c>
      <c r="FX56" t="s">
        <v>198</v>
      </c>
      <c r="FY56" t="s">
        <v>198</v>
      </c>
      <c r="FZ56" t="s">
        <v>198</v>
      </c>
      <c r="GA56">
        <v>30.87</v>
      </c>
      <c r="GB56">
        <v>30.87</v>
      </c>
      <c r="GC56" t="s">
        <v>203</v>
      </c>
      <c r="GD56">
        <v>0</v>
      </c>
      <c r="GE56">
        <v>504</v>
      </c>
      <c r="GF56">
        <v>0</v>
      </c>
      <c r="GG56">
        <v>0.1</v>
      </c>
      <c r="GH56">
        <v>0.5</v>
      </c>
      <c r="GI56">
        <v>0</v>
      </c>
      <c r="GJ56">
        <v>0</v>
      </c>
      <c r="GK56">
        <v>0</v>
      </c>
      <c r="GL56" t="s">
        <v>198</v>
      </c>
      <c r="GM56" t="s">
        <v>198</v>
      </c>
      <c r="GN56" t="s">
        <v>198</v>
      </c>
    </row>
    <row r="57" spans="1:196">
      <c r="A57" s="19">
        <v>46316.90454099537</v>
      </c>
      <c r="B57">
        <v>-0.3</v>
      </c>
      <c r="C57">
        <v>-0.7</v>
      </c>
      <c r="D57">
        <v>277</v>
      </c>
      <c r="E57">
        <v>0</v>
      </c>
      <c r="F57">
        <v>0</v>
      </c>
      <c r="G57">
        <v>0</v>
      </c>
      <c r="H57">
        <v>4.9</v>
      </c>
      <c r="I57">
        <v>4.9</v>
      </c>
      <c r="J57">
        <v>4.928</v>
      </c>
      <c r="K57">
        <v>0</v>
      </c>
      <c r="L57">
        <v>50</v>
      </c>
      <c r="M57">
        <v>634.2</v>
      </c>
      <c r="N57">
        <v>49.2</v>
      </c>
      <c r="O57">
        <v>49.99</v>
      </c>
      <c r="P57">
        <v>50</v>
      </c>
      <c r="Q57">
        <v>0.001</v>
      </c>
      <c r="R57">
        <v>0</v>
      </c>
      <c r="S57">
        <v>21.6</v>
      </c>
      <c r="T57" t="s">
        <v>298</v>
      </c>
      <c r="U57">
        <v>21.6</v>
      </c>
      <c r="V57">
        <v>4.4</v>
      </c>
      <c r="W57">
        <v>2</v>
      </c>
      <c r="X57">
        <v>278</v>
      </c>
      <c r="Y57">
        <v>94</v>
      </c>
      <c r="Z57">
        <v>98</v>
      </c>
      <c r="AA57">
        <v>278</v>
      </c>
      <c r="AB57" t="s">
        <v>197</v>
      </c>
      <c r="AC57" t="s">
        <v>198</v>
      </c>
      <c r="AD57" t="s">
        <v>199</v>
      </c>
      <c r="AE57">
        <v>33</v>
      </c>
      <c r="AF57">
        <v>44</v>
      </c>
      <c r="AG57">
        <v>255</v>
      </c>
      <c r="AH57">
        <v>0</v>
      </c>
      <c r="AI57">
        <v>0</v>
      </c>
      <c r="AJ57">
        <v>0</v>
      </c>
      <c r="AK57">
        <v>12.6</v>
      </c>
      <c r="AL57">
        <v>0</v>
      </c>
      <c r="AM57">
        <v>0</v>
      </c>
      <c r="AN57" t="s">
        <v>197</v>
      </c>
      <c r="AO57">
        <v>100</v>
      </c>
      <c r="AP57" t="s">
        <v>197</v>
      </c>
      <c r="AQ57" t="s">
        <v>200</v>
      </c>
      <c r="AR57">
        <v>1</v>
      </c>
      <c r="AS57">
        <v>0</v>
      </c>
      <c r="AT57" t="s">
        <v>299</v>
      </c>
      <c r="AU57" t="s">
        <v>299</v>
      </c>
      <c r="AV57" t="s">
        <v>202</v>
      </c>
      <c r="AW57" t="s">
        <v>203</v>
      </c>
      <c r="AX57" t="s">
        <v>203</v>
      </c>
      <c r="AY57" t="s">
        <v>203</v>
      </c>
      <c r="AZ57" t="s">
        <v>203</v>
      </c>
      <c r="BA57" t="s">
        <v>203</v>
      </c>
      <c r="BB57" t="s">
        <v>203</v>
      </c>
      <c r="BC57" t="s">
        <v>203</v>
      </c>
      <c r="BD57" t="s">
        <v>203</v>
      </c>
      <c r="BE57" t="s">
        <v>203</v>
      </c>
      <c r="BF57">
        <v>48.42</v>
      </c>
      <c r="BG57">
        <v>0.2</v>
      </c>
      <c r="BH57">
        <v>50</v>
      </c>
      <c r="BI57">
        <v>0</v>
      </c>
      <c r="BJ57" t="s">
        <v>198</v>
      </c>
      <c r="BK57" t="s">
        <v>198</v>
      </c>
      <c r="BL57" t="s">
        <v>198</v>
      </c>
      <c r="BM57" t="s">
        <v>198</v>
      </c>
      <c r="BN57" t="s">
        <v>198</v>
      </c>
      <c r="BO57" t="s">
        <v>198</v>
      </c>
      <c r="BP57" t="s">
        <v>198</v>
      </c>
      <c r="BQ57" t="s">
        <v>198</v>
      </c>
      <c r="BR57" t="s">
        <v>198</v>
      </c>
      <c r="BS57" t="s">
        <v>198</v>
      </c>
      <c r="BT57" t="s">
        <v>198</v>
      </c>
      <c r="BU57" t="s">
        <v>198</v>
      </c>
      <c r="BV57" t="s">
        <v>198</v>
      </c>
      <c r="BW57" t="s">
        <v>198</v>
      </c>
      <c r="BX57" t="s">
        <v>198</v>
      </c>
      <c r="BY57" t="s">
        <v>198</v>
      </c>
      <c r="BZ57" t="s">
        <v>198</v>
      </c>
      <c r="CA57" t="s">
        <v>198</v>
      </c>
      <c r="CB57" t="s">
        <v>204</v>
      </c>
      <c r="CC57" t="s">
        <v>204</v>
      </c>
      <c r="CD57" t="s">
        <v>204</v>
      </c>
      <c r="CE57" t="s">
        <v>204</v>
      </c>
      <c r="CF57" t="s">
        <v>204</v>
      </c>
      <c r="CG57" t="s">
        <v>204</v>
      </c>
      <c r="CH57" t="s">
        <v>204</v>
      </c>
      <c r="CI57" t="s">
        <v>204</v>
      </c>
      <c r="CJ57" t="s">
        <v>204</v>
      </c>
      <c r="CK57" t="s">
        <v>204</v>
      </c>
      <c r="CL57" t="s">
        <v>204</v>
      </c>
      <c r="CM57" t="s">
        <v>204</v>
      </c>
      <c r="CN57" t="s">
        <v>203</v>
      </c>
      <c r="CO57" t="s">
        <v>203</v>
      </c>
      <c r="CP57" t="s">
        <v>203</v>
      </c>
      <c r="CQ57" t="s">
        <v>203</v>
      </c>
      <c r="CR57" t="s">
        <v>203</v>
      </c>
      <c r="CS57" t="s">
        <v>203</v>
      </c>
      <c r="CT57" t="s">
        <v>203</v>
      </c>
      <c r="CU57" t="s">
        <v>203</v>
      </c>
      <c r="CV57">
        <v>0</v>
      </c>
      <c r="CW57">
        <v>0</v>
      </c>
      <c r="CX57" t="s">
        <v>198</v>
      </c>
      <c r="CY57" t="s">
        <v>198</v>
      </c>
      <c r="CZ57" t="s">
        <v>198</v>
      </c>
      <c r="DA57" t="s">
        <v>198</v>
      </c>
      <c r="DB57" t="s">
        <v>198</v>
      </c>
      <c r="DC57">
        <v>0</v>
      </c>
      <c r="DD57">
        <v>0</v>
      </c>
      <c r="DE57">
        <v>0</v>
      </c>
      <c r="DF57">
        <v>0</v>
      </c>
      <c r="DG57">
        <v>-35.363236</v>
      </c>
      <c r="DH57">
        <v>149.1650113</v>
      </c>
      <c r="DI57" t="s">
        <v>300</v>
      </c>
      <c r="DJ57">
        <v>1.2</v>
      </c>
      <c r="DK57">
        <v>2</v>
      </c>
      <c r="DL57">
        <v>278</v>
      </c>
      <c r="DM57">
        <v>0</v>
      </c>
      <c r="DN57">
        <v>6</v>
      </c>
      <c r="DO57">
        <v>10</v>
      </c>
      <c r="DP57">
        <v>0</v>
      </c>
      <c r="DQ57">
        <v>255</v>
      </c>
      <c r="DR57">
        <v>255</v>
      </c>
      <c r="DS57">
        <v>255</v>
      </c>
      <c r="DT57">
        <v>255</v>
      </c>
      <c r="DU57">
        <v>255</v>
      </c>
      <c r="DV57">
        <v>255</v>
      </c>
      <c r="DW57">
        <v>255</v>
      </c>
      <c r="DX57" t="s">
        <v>206</v>
      </c>
      <c r="DY57" t="s">
        <v>206</v>
      </c>
      <c r="DZ57" t="s">
        <v>207</v>
      </c>
      <c r="EA57" t="s">
        <v>198</v>
      </c>
      <c r="EB57" t="s">
        <v>198</v>
      </c>
      <c r="EC57" t="s">
        <v>198</v>
      </c>
      <c r="ED57">
        <v>0</v>
      </c>
      <c r="EE57">
        <v>0</v>
      </c>
      <c r="EF57">
        <v>0</v>
      </c>
      <c r="EG57">
        <v>0</v>
      </c>
      <c r="EH57">
        <v>255</v>
      </c>
      <c r="EI57">
        <v>255</v>
      </c>
      <c r="EJ57">
        <v>255</v>
      </c>
      <c r="EK57">
        <v>255</v>
      </c>
      <c r="EL57">
        <v>255</v>
      </c>
      <c r="EM57">
        <v>255</v>
      </c>
      <c r="EN57">
        <v>255</v>
      </c>
      <c r="EO57">
        <v>255</v>
      </c>
      <c r="EP57">
        <v>255</v>
      </c>
      <c r="EQ57">
        <v>255</v>
      </c>
      <c r="ER57" t="s">
        <v>208</v>
      </c>
      <c r="ES57" t="s">
        <v>209</v>
      </c>
      <c r="ET57" t="s">
        <v>209</v>
      </c>
      <c r="EU57">
        <v>0</v>
      </c>
      <c r="EV57">
        <v>2.9</v>
      </c>
      <c r="EW57">
        <v>-20.2</v>
      </c>
      <c r="EX57">
        <v>-50.2</v>
      </c>
      <c r="EY57">
        <v>0.7</v>
      </c>
      <c r="EZ57">
        <v>-4.9</v>
      </c>
      <c r="FA57">
        <v>0</v>
      </c>
      <c r="FB57" t="s">
        <v>198</v>
      </c>
      <c r="FC57" t="s">
        <v>198</v>
      </c>
      <c r="FD57" t="s">
        <v>198</v>
      </c>
      <c r="FE57" t="s">
        <v>198</v>
      </c>
      <c r="FF57" t="s">
        <v>198</v>
      </c>
      <c r="FG57" t="s">
        <v>198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 t="s">
        <v>203</v>
      </c>
      <c r="FP57" t="s">
        <v>203</v>
      </c>
      <c r="FQ57" t="s">
        <v>203</v>
      </c>
      <c r="FR57" t="s">
        <v>203</v>
      </c>
      <c r="FS57" t="s">
        <v>203</v>
      </c>
      <c r="FT57" t="s">
        <v>203</v>
      </c>
      <c r="FU57" t="s">
        <v>198</v>
      </c>
      <c r="FV57" t="s">
        <v>198</v>
      </c>
      <c r="FW57" t="s">
        <v>198</v>
      </c>
      <c r="FX57" t="s">
        <v>198</v>
      </c>
      <c r="FY57" t="s">
        <v>198</v>
      </c>
      <c r="FZ57" t="s">
        <v>198</v>
      </c>
      <c r="GA57">
        <v>30.87</v>
      </c>
      <c r="GB57">
        <v>30.87</v>
      </c>
      <c r="GC57" t="s">
        <v>203</v>
      </c>
      <c r="GD57">
        <v>0</v>
      </c>
      <c r="GE57">
        <v>504</v>
      </c>
      <c r="GF57">
        <v>0</v>
      </c>
      <c r="GG57">
        <v>0.1</v>
      </c>
      <c r="GH57">
        <v>0.5</v>
      </c>
      <c r="GI57">
        <v>0</v>
      </c>
      <c r="GJ57">
        <v>0</v>
      </c>
      <c r="GK57">
        <v>0</v>
      </c>
      <c r="GL57" t="s">
        <v>198</v>
      </c>
      <c r="GM57" t="s">
        <v>198</v>
      </c>
      <c r="GN57" t="s">
        <v>198</v>
      </c>
    </row>
    <row r="58" spans="1:196">
      <c r="A58" s="19">
        <v>46316.90455258102</v>
      </c>
      <c r="B58">
        <v>0.1</v>
      </c>
      <c r="C58">
        <v>-0.1</v>
      </c>
      <c r="D58">
        <v>277</v>
      </c>
      <c r="E58">
        <v>0</v>
      </c>
      <c r="F58">
        <v>0</v>
      </c>
      <c r="G58">
        <v>0</v>
      </c>
      <c r="H58">
        <v>5</v>
      </c>
      <c r="I58">
        <v>5</v>
      </c>
      <c r="J58">
        <v>4.974</v>
      </c>
      <c r="K58">
        <v>0</v>
      </c>
      <c r="L58">
        <v>50</v>
      </c>
      <c r="M58">
        <v>634.2</v>
      </c>
      <c r="N58">
        <v>48.2</v>
      </c>
      <c r="O58">
        <v>49.99</v>
      </c>
      <c r="P58">
        <v>50</v>
      </c>
      <c r="Q58">
        <v>0.015</v>
      </c>
      <c r="R58">
        <v>0</v>
      </c>
      <c r="S58">
        <v>24.1</v>
      </c>
      <c r="T58" t="s">
        <v>301</v>
      </c>
      <c r="U58">
        <v>25.4</v>
      </c>
      <c r="V58">
        <v>5.1</v>
      </c>
      <c r="W58">
        <v>2</v>
      </c>
      <c r="X58">
        <v>278</v>
      </c>
      <c r="Y58">
        <v>90</v>
      </c>
      <c r="Z58">
        <v>98</v>
      </c>
      <c r="AA58">
        <v>278</v>
      </c>
      <c r="AB58" t="s">
        <v>197</v>
      </c>
      <c r="AC58" t="s">
        <v>198</v>
      </c>
      <c r="AD58" t="s">
        <v>199</v>
      </c>
      <c r="AE58">
        <v>32</v>
      </c>
      <c r="AF58">
        <v>44</v>
      </c>
      <c r="AG58">
        <v>255</v>
      </c>
      <c r="AH58">
        <v>0</v>
      </c>
      <c r="AI58">
        <v>0</v>
      </c>
      <c r="AJ58">
        <v>0</v>
      </c>
      <c r="AK58">
        <v>12.6</v>
      </c>
      <c r="AL58">
        <v>0</v>
      </c>
      <c r="AM58">
        <v>0</v>
      </c>
      <c r="AN58" t="s">
        <v>197</v>
      </c>
      <c r="AO58">
        <v>100</v>
      </c>
      <c r="AP58" t="s">
        <v>197</v>
      </c>
      <c r="AQ58" t="s">
        <v>200</v>
      </c>
      <c r="AR58">
        <v>1</v>
      </c>
      <c r="AS58">
        <v>0</v>
      </c>
      <c r="AT58" t="s">
        <v>302</v>
      </c>
      <c r="AU58" t="s">
        <v>302</v>
      </c>
      <c r="AV58" t="s">
        <v>202</v>
      </c>
      <c r="AW58" t="s">
        <v>203</v>
      </c>
      <c r="AX58" t="s">
        <v>203</v>
      </c>
      <c r="AY58" t="s">
        <v>203</v>
      </c>
      <c r="AZ58" t="s">
        <v>203</v>
      </c>
      <c r="BA58" t="s">
        <v>203</v>
      </c>
      <c r="BB58" t="s">
        <v>203</v>
      </c>
      <c r="BC58" t="s">
        <v>203</v>
      </c>
      <c r="BD58" t="s">
        <v>203</v>
      </c>
      <c r="BE58" t="s">
        <v>203</v>
      </c>
      <c r="BF58">
        <v>48.36</v>
      </c>
      <c r="BG58">
        <v>0.2</v>
      </c>
      <c r="BH58">
        <v>50</v>
      </c>
      <c r="BI58">
        <v>0</v>
      </c>
      <c r="BJ58" t="s">
        <v>198</v>
      </c>
      <c r="BK58" t="s">
        <v>198</v>
      </c>
      <c r="BL58" t="s">
        <v>198</v>
      </c>
      <c r="BM58" t="s">
        <v>198</v>
      </c>
      <c r="BN58" t="s">
        <v>198</v>
      </c>
      <c r="BO58" t="s">
        <v>198</v>
      </c>
      <c r="BP58" t="s">
        <v>198</v>
      </c>
      <c r="BQ58" t="s">
        <v>198</v>
      </c>
      <c r="BR58" t="s">
        <v>198</v>
      </c>
      <c r="BS58" t="s">
        <v>198</v>
      </c>
      <c r="BT58" t="s">
        <v>198</v>
      </c>
      <c r="BU58" t="s">
        <v>198</v>
      </c>
      <c r="BV58" t="s">
        <v>198</v>
      </c>
      <c r="BW58" t="s">
        <v>198</v>
      </c>
      <c r="BX58" t="s">
        <v>198</v>
      </c>
      <c r="BY58" t="s">
        <v>198</v>
      </c>
      <c r="BZ58" t="s">
        <v>198</v>
      </c>
      <c r="CA58" t="s">
        <v>198</v>
      </c>
      <c r="CB58" t="s">
        <v>204</v>
      </c>
      <c r="CC58" t="s">
        <v>204</v>
      </c>
      <c r="CD58" t="s">
        <v>204</v>
      </c>
      <c r="CE58" t="s">
        <v>204</v>
      </c>
      <c r="CF58" t="s">
        <v>204</v>
      </c>
      <c r="CG58" t="s">
        <v>204</v>
      </c>
      <c r="CH58" t="s">
        <v>204</v>
      </c>
      <c r="CI58" t="s">
        <v>204</v>
      </c>
      <c r="CJ58" t="s">
        <v>204</v>
      </c>
      <c r="CK58" t="s">
        <v>204</v>
      </c>
      <c r="CL58" t="s">
        <v>204</v>
      </c>
      <c r="CM58" t="s">
        <v>204</v>
      </c>
      <c r="CN58" t="s">
        <v>203</v>
      </c>
      <c r="CO58" t="s">
        <v>203</v>
      </c>
      <c r="CP58" t="s">
        <v>203</v>
      </c>
      <c r="CQ58" t="s">
        <v>203</v>
      </c>
      <c r="CR58" t="s">
        <v>203</v>
      </c>
      <c r="CS58" t="s">
        <v>203</v>
      </c>
      <c r="CT58" t="s">
        <v>203</v>
      </c>
      <c r="CU58" t="s">
        <v>203</v>
      </c>
      <c r="CV58">
        <v>0</v>
      </c>
      <c r="CW58">
        <v>0</v>
      </c>
      <c r="CX58" t="s">
        <v>198</v>
      </c>
      <c r="CY58" t="s">
        <v>198</v>
      </c>
      <c r="CZ58" t="s">
        <v>198</v>
      </c>
      <c r="DA58" t="s">
        <v>198</v>
      </c>
      <c r="DB58" t="s">
        <v>198</v>
      </c>
      <c r="DC58">
        <v>0</v>
      </c>
      <c r="DD58">
        <v>0</v>
      </c>
      <c r="DE58">
        <v>0</v>
      </c>
      <c r="DF58">
        <v>0</v>
      </c>
      <c r="DG58">
        <v>-35.3632311</v>
      </c>
      <c r="DH58">
        <v>149.164968</v>
      </c>
      <c r="DI58" t="s">
        <v>303</v>
      </c>
      <c r="DJ58">
        <v>1.2</v>
      </c>
      <c r="DK58">
        <v>2</v>
      </c>
      <c r="DL58">
        <v>278</v>
      </c>
      <c r="DM58">
        <v>0</v>
      </c>
      <c r="DN58">
        <v>6</v>
      </c>
      <c r="DO58">
        <v>10</v>
      </c>
      <c r="DP58">
        <v>0</v>
      </c>
      <c r="DQ58">
        <v>255</v>
      </c>
      <c r="DR58">
        <v>255</v>
      </c>
      <c r="DS58">
        <v>255</v>
      </c>
      <c r="DT58">
        <v>255</v>
      </c>
      <c r="DU58">
        <v>255</v>
      </c>
      <c r="DV58">
        <v>255</v>
      </c>
      <c r="DW58">
        <v>255</v>
      </c>
      <c r="DX58" t="s">
        <v>206</v>
      </c>
      <c r="DY58" t="s">
        <v>206</v>
      </c>
      <c r="DZ58" t="s">
        <v>207</v>
      </c>
      <c r="EA58" t="s">
        <v>198</v>
      </c>
      <c r="EB58" t="s">
        <v>198</v>
      </c>
      <c r="EC58" t="s">
        <v>198</v>
      </c>
      <c r="ED58">
        <v>0</v>
      </c>
      <c r="EE58">
        <v>0</v>
      </c>
      <c r="EF58">
        <v>0</v>
      </c>
      <c r="EG58">
        <v>0</v>
      </c>
      <c r="EH58">
        <v>255</v>
      </c>
      <c r="EI58">
        <v>255</v>
      </c>
      <c r="EJ58">
        <v>255</v>
      </c>
      <c r="EK58">
        <v>255</v>
      </c>
      <c r="EL58">
        <v>255</v>
      </c>
      <c r="EM58">
        <v>255</v>
      </c>
      <c r="EN58">
        <v>255</v>
      </c>
      <c r="EO58">
        <v>255</v>
      </c>
      <c r="EP58">
        <v>255</v>
      </c>
      <c r="EQ58">
        <v>255</v>
      </c>
      <c r="ER58" t="s">
        <v>208</v>
      </c>
      <c r="ES58" t="s">
        <v>209</v>
      </c>
      <c r="ET58" t="s">
        <v>209</v>
      </c>
      <c r="EU58">
        <v>0</v>
      </c>
      <c r="EV58">
        <v>3.6</v>
      </c>
      <c r="EW58">
        <v>-25.1</v>
      </c>
      <c r="EX58">
        <v>-50.2</v>
      </c>
      <c r="EY58">
        <v>0.7</v>
      </c>
      <c r="EZ58">
        <v>-4.9</v>
      </c>
      <c r="FA58">
        <v>0</v>
      </c>
      <c r="FB58" t="s">
        <v>198</v>
      </c>
      <c r="FC58" t="s">
        <v>198</v>
      </c>
      <c r="FD58" t="s">
        <v>198</v>
      </c>
      <c r="FE58" t="s">
        <v>198</v>
      </c>
      <c r="FF58" t="s">
        <v>198</v>
      </c>
      <c r="FG58" t="s">
        <v>198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 t="s">
        <v>203</v>
      </c>
      <c r="FP58" t="s">
        <v>203</v>
      </c>
      <c r="FQ58" t="s">
        <v>203</v>
      </c>
      <c r="FR58" t="s">
        <v>203</v>
      </c>
      <c r="FS58" t="s">
        <v>203</v>
      </c>
      <c r="FT58" t="s">
        <v>203</v>
      </c>
      <c r="FU58" t="s">
        <v>198</v>
      </c>
      <c r="FV58" t="s">
        <v>198</v>
      </c>
      <c r="FW58" t="s">
        <v>198</v>
      </c>
      <c r="FX58" t="s">
        <v>198</v>
      </c>
      <c r="FY58" t="s">
        <v>198</v>
      </c>
      <c r="FZ58" t="s">
        <v>198</v>
      </c>
      <c r="GA58">
        <v>30.87</v>
      </c>
      <c r="GB58">
        <v>30.87</v>
      </c>
      <c r="GC58" t="s">
        <v>203</v>
      </c>
      <c r="GD58">
        <v>0</v>
      </c>
      <c r="GE58">
        <v>504</v>
      </c>
      <c r="GF58">
        <v>0</v>
      </c>
      <c r="GG58">
        <v>0.1</v>
      </c>
      <c r="GH58">
        <v>0.5</v>
      </c>
      <c r="GI58">
        <v>0</v>
      </c>
      <c r="GJ58">
        <v>0</v>
      </c>
      <c r="GK58">
        <v>0</v>
      </c>
      <c r="GL58" t="s">
        <v>198</v>
      </c>
      <c r="GM58" t="s">
        <v>198</v>
      </c>
      <c r="GN58" t="s">
        <v>198</v>
      </c>
    </row>
    <row r="59" spans="1:196">
      <c r="A59" s="19">
        <v>46316.90456415509</v>
      </c>
      <c r="B59">
        <v>0.2</v>
      </c>
      <c r="C59">
        <v>-0.1</v>
      </c>
      <c r="D59">
        <v>277</v>
      </c>
      <c r="E59">
        <v>0</v>
      </c>
      <c r="F59">
        <v>0</v>
      </c>
      <c r="G59">
        <v>0</v>
      </c>
      <c r="H59">
        <v>5</v>
      </c>
      <c r="I59">
        <v>5</v>
      </c>
      <c r="J59">
        <v>4.963</v>
      </c>
      <c r="K59">
        <v>0</v>
      </c>
      <c r="L59">
        <v>50</v>
      </c>
      <c r="M59">
        <v>634.2</v>
      </c>
      <c r="N59">
        <v>48.2</v>
      </c>
      <c r="O59">
        <v>49.99</v>
      </c>
      <c r="P59">
        <v>50</v>
      </c>
      <c r="Q59">
        <v>0.01</v>
      </c>
      <c r="R59">
        <v>0</v>
      </c>
      <c r="S59">
        <v>29.1</v>
      </c>
      <c r="T59" t="s">
        <v>304</v>
      </c>
      <c r="U59">
        <v>30.3</v>
      </c>
      <c r="V59">
        <v>6.1</v>
      </c>
      <c r="W59">
        <v>2</v>
      </c>
      <c r="X59">
        <v>278</v>
      </c>
      <c r="Y59">
        <v>85</v>
      </c>
      <c r="Z59">
        <v>98</v>
      </c>
      <c r="AA59">
        <v>278</v>
      </c>
      <c r="AB59" t="s">
        <v>197</v>
      </c>
      <c r="AC59" t="s">
        <v>198</v>
      </c>
      <c r="AD59" t="s">
        <v>199</v>
      </c>
      <c r="AE59">
        <v>33</v>
      </c>
      <c r="AF59">
        <v>44</v>
      </c>
      <c r="AG59">
        <v>255</v>
      </c>
      <c r="AH59">
        <v>0</v>
      </c>
      <c r="AI59">
        <v>0</v>
      </c>
      <c r="AJ59">
        <v>0</v>
      </c>
      <c r="AK59">
        <v>12.6</v>
      </c>
      <c r="AL59">
        <v>0</v>
      </c>
      <c r="AM59">
        <v>0</v>
      </c>
      <c r="AN59" t="s">
        <v>197</v>
      </c>
      <c r="AO59">
        <v>100</v>
      </c>
      <c r="AP59" t="s">
        <v>197</v>
      </c>
      <c r="AQ59" t="s">
        <v>200</v>
      </c>
      <c r="AR59">
        <v>1</v>
      </c>
      <c r="AS59">
        <v>0</v>
      </c>
      <c r="AT59" t="s">
        <v>305</v>
      </c>
      <c r="AU59" t="s">
        <v>305</v>
      </c>
      <c r="AV59" t="s">
        <v>202</v>
      </c>
      <c r="AW59" t="s">
        <v>203</v>
      </c>
      <c r="AX59" t="s">
        <v>203</v>
      </c>
      <c r="AY59" t="s">
        <v>203</v>
      </c>
      <c r="AZ59" t="s">
        <v>203</v>
      </c>
      <c r="BA59" t="s">
        <v>203</v>
      </c>
      <c r="BB59" t="s">
        <v>203</v>
      </c>
      <c r="BC59" t="s">
        <v>203</v>
      </c>
      <c r="BD59" t="s">
        <v>203</v>
      </c>
      <c r="BE59" t="s">
        <v>203</v>
      </c>
      <c r="BF59">
        <v>48.3</v>
      </c>
      <c r="BG59">
        <v>0.2</v>
      </c>
      <c r="BH59">
        <v>50</v>
      </c>
      <c r="BI59">
        <v>0</v>
      </c>
      <c r="BJ59" t="s">
        <v>198</v>
      </c>
      <c r="BK59" t="s">
        <v>198</v>
      </c>
      <c r="BL59" t="s">
        <v>198</v>
      </c>
      <c r="BM59" t="s">
        <v>198</v>
      </c>
      <c r="BN59" t="s">
        <v>198</v>
      </c>
      <c r="BO59" t="s">
        <v>198</v>
      </c>
      <c r="BP59" t="s">
        <v>198</v>
      </c>
      <c r="BQ59" t="s">
        <v>198</v>
      </c>
      <c r="BR59" t="s">
        <v>198</v>
      </c>
      <c r="BS59" t="s">
        <v>198</v>
      </c>
      <c r="BT59" t="s">
        <v>198</v>
      </c>
      <c r="BU59" t="s">
        <v>198</v>
      </c>
      <c r="BV59" t="s">
        <v>198</v>
      </c>
      <c r="BW59" t="s">
        <v>198</v>
      </c>
      <c r="BX59" t="s">
        <v>198</v>
      </c>
      <c r="BY59" t="s">
        <v>198</v>
      </c>
      <c r="BZ59" t="s">
        <v>198</v>
      </c>
      <c r="CA59" t="s">
        <v>198</v>
      </c>
      <c r="CB59" t="s">
        <v>204</v>
      </c>
      <c r="CC59" t="s">
        <v>204</v>
      </c>
      <c r="CD59" t="s">
        <v>204</v>
      </c>
      <c r="CE59" t="s">
        <v>204</v>
      </c>
      <c r="CF59" t="s">
        <v>204</v>
      </c>
      <c r="CG59" t="s">
        <v>204</v>
      </c>
      <c r="CH59" t="s">
        <v>204</v>
      </c>
      <c r="CI59" t="s">
        <v>204</v>
      </c>
      <c r="CJ59" t="s">
        <v>204</v>
      </c>
      <c r="CK59" t="s">
        <v>204</v>
      </c>
      <c r="CL59" t="s">
        <v>204</v>
      </c>
      <c r="CM59" t="s">
        <v>204</v>
      </c>
      <c r="CN59" t="s">
        <v>203</v>
      </c>
      <c r="CO59" t="s">
        <v>203</v>
      </c>
      <c r="CP59" t="s">
        <v>203</v>
      </c>
      <c r="CQ59" t="s">
        <v>203</v>
      </c>
      <c r="CR59" t="s">
        <v>203</v>
      </c>
      <c r="CS59" t="s">
        <v>203</v>
      </c>
      <c r="CT59" t="s">
        <v>203</v>
      </c>
      <c r="CU59" t="s">
        <v>203</v>
      </c>
      <c r="CV59">
        <v>0</v>
      </c>
      <c r="CW59">
        <v>0</v>
      </c>
      <c r="CX59" t="s">
        <v>198</v>
      </c>
      <c r="CY59" t="s">
        <v>198</v>
      </c>
      <c r="CZ59" t="s">
        <v>198</v>
      </c>
      <c r="DA59" t="s">
        <v>198</v>
      </c>
      <c r="DB59" t="s">
        <v>198</v>
      </c>
      <c r="DC59">
        <v>0</v>
      </c>
      <c r="DD59">
        <v>0</v>
      </c>
      <c r="DE59">
        <v>0</v>
      </c>
      <c r="DF59">
        <v>0</v>
      </c>
      <c r="DG59">
        <v>-35.3632248</v>
      </c>
      <c r="DH59">
        <v>149.1649138</v>
      </c>
      <c r="DI59" t="s">
        <v>306</v>
      </c>
      <c r="DJ59">
        <v>1.2</v>
      </c>
      <c r="DK59">
        <v>2</v>
      </c>
      <c r="DL59">
        <v>278</v>
      </c>
      <c r="DM59">
        <v>0</v>
      </c>
      <c r="DN59">
        <v>6</v>
      </c>
      <c r="DO59">
        <v>10</v>
      </c>
      <c r="DP59">
        <v>0</v>
      </c>
      <c r="DQ59">
        <v>255</v>
      </c>
      <c r="DR59">
        <v>255</v>
      </c>
      <c r="DS59">
        <v>255</v>
      </c>
      <c r="DT59">
        <v>255</v>
      </c>
      <c r="DU59">
        <v>255</v>
      </c>
      <c r="DV59">
        <v>255</v>
      </c>
      <c r="DW59">
        <v>255</v>
      </c>
      <c r="DX59" t="s">
        <v>206</v>
      </c>
      <c r="DY59" t="s">
        <v>206</v>
      </c>
      <c r="DZ59" t="s">
        <v>207</v>
      </c>
      <c r="EA59" t="s">
        <v>198</v>
      </c>
      <c r="EB59" t="s">
        <v>198</v>
      </c>
      <c r="EC59" t="s">
        <v>198</v>
      </c>
      <c r="ED59">
        <v>0</v>
      </c>
      <c r="EE59">
        <v>0</v>
      </c>
      <c r="EF59">
        <v>0</v>
      </c>
      <c r="EG59">
        <v>0</v>
      </c>
      <c r="EH59">
        <v>255</v>
      </c>
      <c r="EI59">
        <v>255</v>
      </c>
      <c r="EJ59">
        <v>255</v>
      </c>
      <c r="EK59">
        <v>255</v>
      </c>
      <c r="EL59">
        <v>255</v>
      </c>
      <c r="EM59">
        <v>255</v>
      </c>
      <c r="EN59">
        <v>255</v>
      </c>
      <c r="EO59">
        <v>255</v>
      </c>
      <c r="EP59">
        <v>255</v>
      </c>
      <c r="EQ59">
        <v>255</v>
      </c>
      <c r="ER59" t="s">
        <v>208</v>
      </c>
      <c r="ES59" t="s">
        <v>209</v>
      </c>
      <c r="ET59" t="s">
        <v>209</v>
      </c>
      <c r="EU59">
        <v>0</v>
      </c>
      <c r="EV59">
        <v>4.3</v>
      </c>
      <c r="EW59">
        <v>-30</v>
      </c>
      <c r="EX59">
        <v>-50.2</v>
      </c>
      <c r="EY59">
        <v>0.7</v>
      </c>
      <c r="EZ59">
        <v>-4.9</v>
      </c>
      <c r="FA59">
        <v>0</v>
      </c>
      <c r="FB59" t="s">
        <v>198</v>
      </c>
      <c r="FC59" t="s">
        <v>198</v>
      </c>
      <c r="FD59" t="s">
        <v>198</v>
      </c>
      <c r="FE59" t="s">
        <v>198</v>
      </c>
      <c r="FF59" t="s">
        <v>198</v>
      </c>
      <c r="FG59" t="s">
        <v>198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 t="s">
        <v>203</v>
      </c>
      <c r="FP59" t="s">
        <v>203</v>
      </c>
      <c r="FQ59" t="s">
        <v>203</v>
      </c>
      <c r="FR59" t="s">
        <v>203</v>
      </c>
      <c r="FS59" t="s">
        <v>203</v>
      </c>
      <c r="FT59" t="s">
        <v>203</v>
      </c>
      <c r="FU59" t="s">
        <v>198</v>
      </c>
      <c r="FV59" t="s">
        <v>198</v>
      </c>
      <c r="FW59" t="s">
        <v>198</v>
      </c>
      <c r="FX59" t="s">
        <v>198</v>
      </c>
      <c r="FY59" t="s">
        <v>198</v>
      </c>
      <c r="FZ59" t="s">
        <v>198</v>
      </c>
      <c r="GA59">
        <v>30.87</v>
      </c>
      <c r="GB59">
        <v>30.87</v>
      </c>
      <c r="GC59" t="s">
        <v>203</v>
      </c>
      <c r="GD59">
        <v>0</v>
      </c>
      <c r="GE59">
        <v>504</v>
      </c>
      <c r="GF59">
        <v>0</v>
      </c>
      <c r="GG59">
        <v>0.1</v>
      </c>
      <c r="GH59">
        <v>0.5</v>
      </c>
      <c r="GI59">
        <v>0</v>
      </c>
      <c r="GJ59">
        <v>0</v>
      </c>
      <c r="GK59">
        <v>0</v>
      </c>
      <c r="GL59" t="s">
        <v>198</v>
      </c>
      <c r="GM59" t="s">
        <v>198</v>
      </c>
      <c r="GN59" t="s">
        <v>198</v>
      </c>
    </row>
    <row r="60" spans="1:196">
      <c r="A60" s="19">
        <v>46316.90457572917</v>
      </c>
      <c r="B60">
        <v>0</v>
      </c>
      <c r="C60">
        <v>-0.2</v>
      </c>
      <c r="D60">
        <v>277</v>
      </c>
      <c r="E60">
        <v>0</v>
      </c>
      <c r="F60">
        <v>0</v>
      </c>
      <c r="G60">
        <v>0</v>
      </c>
      <c r="H60">
        <v>5</v>
      </c>
      <c r="I60">
        <v>5</v>
      </c>
      <c r="J60">
        <v>4.964</v>
      </c>
      <c r="K60">
        <v>0</v>
      </c>
      <c r="L60">
        <v>50</v>
      </c>
      <c r="M60">
        <v>634.2</v>
      </c>
      <c r="N60">
        <v>48.2</v>
      </c>
      <c r="O60">
        <v>50</v>
      </c>
      <c r="P60">
        <v>50</v>
      </c>
      <c r="Q60">
        <v>0.004</v>
      </c>
      <c r="R60">
        <v>0</v>
      </c>
      <c r="S60">
        <v>34</v>
      </c>
      <c r="T60" t="s">
        <v>307</v>
      </c>
      <c r="U60">
        <v>35.3</v>
      </c>
      <c r="V60">
        <v>7.1</v>
      </c>
      <c r="W60">
        <v>2</v>
      </c>
      <c r="X60">
        <v>278</v>
      </c>
      <c r="Y60">
        <v>80</v>
      </c>
      <c r="Z60">
        <v>98</v>
      </c>
      <c r="AA60">
        <v>278</v>
      </c>
      <c r="AB60" t="s">
        <v>197</v>
      </c>
      <c r="AC60" t="s">
        <v>198</v>
      </c>
      <c r="AD60" t="s">
        <v>199</v>
      </c>
      <c r="AE60">
        <v>32</v>
      </c>
      <c r="AF60">
        <v>44</v>
      </c>
      <c r="AG60">
        <v>255</v>
      </c>
      <c r="AH60">
        <v>0</v>
      </c>
      <c r="AI60">
        <v>0</v>
      </c>
      <c r="AJ60">
        <v>0</v>
      </c>
      <c r="AK60">
        <v>12.6</v>
      </c>
      <c r="AL60">
        <v>0</v>
      </c>
      <c r="AM60">
        <v>0</v>
      </c>
      <c r="AN60" t="s">
        <v>197</v>
      </c>
      <c r="AO60">
        <v>100</v>
      </c>
      <c r="AP60" t="s">
        <v>197</v>
      </c>
      <c r="AQ60" t="s">
        <v>200</v>
      </c>
      <c r="AR60">
        <v>1</v>
      </c>
      <c r="AS60">
        <v>0</v>
      </c>
      <c r="AT60" t="s">
        <v>308</v>
      </c>
      <c r="AU60" t="s">
        <v>308</v>
      </c>
      <c r="AV60" t="s">
        <v>202</v>
      </c>
      <c r="AW60" t="s">
        <v>203</v>
      </c>
      <c r="AX60" t="s">
        <v>203</v>
      </c>
      <c r="AY60" t="s">
        <v>203</v>
      </c>
      <c r="AZ60" t="s">
        <v>203</v>
      </c>
      <c r="BA60" t="s">
        <v>203</v>
      </c>
      <c r="BB60" t="s">
        <v>203</v>
      </c>
      <c r="BC60" t="s">
        <v>203</v>
      </c>
      <c r="BD60" t="s">
        <v>203</v>
      </c>
      <c r="BE60" t="s">
        <v>203</v>
      </c>
      <c r="BF60">
        <v>48.26</v>
      </c>
      <c r="BG60">
        <v>0.2</v>
      </c>
      <c r="BH60">
        <v>50</v>
      </c>
      <c r="BI60">
        <v>0</v>
      </c>
      <c r="BJ60" t="s">
        <v>198</v>
      </c>
      <c r="BK60" t="s">
        <v>198</v>
      </c>
      <c r="BL60" t="s">
        <v>198</v>
      </c>
      <c r="BM60" t="s">
        <v>198</v>
      </c>
      <c r="BN60" t="s">
        <v>198</v>
      </c>
      <c r="BO60" t="s">
        <v>198</v>
      </c>
      <c r="BP60" t="s">
        <v>198</v>
      </c>
      <c r="BQ60" t="s">
        <v>198</v>
      </c>
      <c r="BR60" t="s">
        <v>198</v>
      </c>
      <c r="BS60" t="s">
        <v>198</v>
      </c>
      <c r="BT60" t="s">
        <v>198</v>
      </c>
      <c r="BU60" t="s">
        <v>198</v>
      </c>
      <c r="BV60" t="s">
        <v>198</v>
      </c>
      <c r="BW60" t="s">
        <v>198</v>
      </c>
      <c r="BX60" t="s">
        <v>198</v>
      </c>
      <c r="BY60" t="s">
        <v>198</v>
      </c>
      <c r="BZ60" t="s">
        <v>198</v>
      </c>
      <c r="CA60" t="s">
        <v>198</v>
      </c>
      <c r="CB60" t="s">
        <v>204</v>
      </c>
      <c r="CC60" t="s">
        <v>204</v>
      </c>
      <c r="CD60" t="s">
        <v>204</v>
      </c>
      <c r="CE60" t="s">
        <v>204</v>
      </c>
      <c r="CF60" t="s">
        <v>204</v>
      </c>
      <c r="CG60" t="s">
        <v>204</v>
      </c>
      <c r="CH60" t="s">
        <v>204</v>
      </c>
      <c r="CI60" t="s">
        <v>204</v>
      </c>
      <c r="CJ60" t="s">
        <v>204</v>
      </c>
      <c r="CK60" t="s">
        <v>204</v>
      </c>
      <c r="CL60" t="s">
        <v>204</v>
      </c>
      <c r="CM60" t="s">
        <v>204</v>
      </c>
      <c r="CN60" t="s">
        <v>203</v>
      </c>
      <c r="CO60" t="s">
        <v>203</v>
      </c>
      <c r="CP60" t="s">
        <v>203</v>
      </c>
      <c r="CQ60" t="s">
        <v>203</v>
      </c>
      <c r="CR60" t="s">
        <v>203</v>
      </c>
      <c r="CS60" t="s">
        <v>203</v>
      </c>
      <c r="CT60" t="s">
        <v>203</v>
      </c>
      <c r="CU60" t="s">
        <v>203</v>
      </c>
      <c r="CV60">
        <v>0</v>
      </c>
      <c r="CW60">
        <v>0</v>
      </c>
      <c r="CX60" t="s">
        <v>198</v>
      </c>
      <c r="CY60" t="s">
        <v>198</v>
      </c>
      <c r="CZ60" t="s">
        <v>198</v>
      </c>
      <c r="DA60" t="s">
        <v>198</v>
      </c>
      <c r="DB60" t="s">
        <v>198</v>
      </c>
      <c r="DC60">
        <v>0</v>
      </c>
      <c r="DD60">
        <v>0</v>
      </c>
      <c r="DE60">
        <v>0</v>
      </c>
      <c r="DF60">
        <v>0</v>
      </c>
      <c r="DG60">
        <v>-35.3632186</v>
      </c>
      <c r="DH60">
        <v>149.1648597</v>
      </c>
      <c r="DI60" t="s">
        <v>309</v>
      </c>
      <c r="DJ60">
        <v>1.2</v>
      </c>
      <c r="DK60">
        <v>2</v>
      </c>
      <c r="DL60">
        <v>278</v>
      </c>
      <c r="DM60">
        <v>0</v>
      </c>
      <c r="DN60">
        <v>6</v>
      </c>
      <c r="DO60">
        <v>10</v>
      </c>
      <c r="DP60">
        <v>0</v>
      </c>
      <c r="DQ60">
        <v>255</v>
      </c>
      <c r="DR60">
        <v>255</v>
      </c>
      <c r="DS60">
        <v>255</v>
      </c>
      <c r="DT60">
        <v>255</v>
      </c>
      <c r="DU60">
        <v>255</v>
      </c>
      <c r="DV60">
        <v>255</v>
      </c>
      <c r="DW60">
        <v>255</v>
      </c>
      <c r="DX60" t="s">
        <v>206</v>
      </c>
      <c r="DY60" t="s">
        <v>206</v>
      </c>
      <c r="DZ60" t="s">
        <v>207</v>
      </c>
      <c r="EA60" t="s">
        <v>198</v>
      </c>
      <c r="EB60" t="s">
        <v>198</v>
      </c>
      <c r="EC60" t="s">
        <v>198</v>
      </c>
      <c r="ED60">
        <v>0</v>
      </c>
      <c r="EE60">
        <v>0</v>
      </c>
      <c r="EF60">
        <v>0</v>
      </c>
      <c r="EG60">
        <v>0</v>
      </c>
      <c r="EH60">
        <v>255</v>
      </c>
      <c r="EI60">
        <v>255</v>
      </c>
      <c r="EJ60">
        <v>255</v>
      </c>
      <c r="EK60">
        <v>255</v>
      </c>
      <c r="EL60">
        <v>255</v>
      </c>
      <c r="EM60">
        <v>255</v>
      </c>
      <c r="EN60">
        <v>255</v>
      </c>
      <c r="EO60">
        <v>255</v>
      </c>
      <c r="EP60">
        <v>255</v>
      </c>
      <c r="EQ60">
        <v>255</v>
      </c>
      <c r="ER60" t="s">
        <v>208</v>
      </c>
      <c r="ES60" t="s">
        <v>209</v>
      </c>
      <c r="ET60" t="s">
        <v>209</v>
      </c>
      <c r="EU60">
        <v>0</v>
      </c>
      <c r="EV60">
        <v>4.9</v>
      </c>
      <c r="EW60">
        <v>-35</v>
      </c>
      <c r="EX60">
        <v>-50.2</v>
      </c>
      <c r="EY60">
        <v>0.7</v>
      </c>
      <c r="EZ60">
        <v>-4.9</v>
      </c>
      <c r="FA60">
        <v>0</v>
      </c>
      <c r="FB60" t="s">
        <v>198</v>
      </c>
      <c r="FC60" t="s">
        <v>198</v>
      </c>
      <c r="FD60" t="s">
        <v>198</v>
      </c>
      <c r="FE60" t="s">
        <v>198</v>
      </c>
      <c r="FF60" t="s">
        <v>198</v>
      </c>
      <c r="FG60" t="s">
        <v>198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 t="s">
        <v>203</v>
      </c>
      <c r="FP60" t="s">
        <v>203</v>
      </c>
      <c r="FQ60" t="s">
        <v>203</v>
      </c>
      <c r="FR60" t="s">
        <v>203</v>
      </c>
      <c r="FS60" t="s">
        <v>203</v>
      </c>
      <c r="FT60" t="s">
        <v>203</v>
      </c>
      <c r="FU60" t="s">
        <v>198</v>
      </c>
      <c r="FV60" t="s">
        <v>198</v>
      </c>
      <c r="FW60" t="s">
        <v>198</v>
      </c>
      <c r="FX60" t="s">
        <v>198</v>
      </c>
      <c r="FY60" t="s">
        <v>198</v>
      </c>
      <c r="FZ60" t="s">
        <v>198</v>
      </c>
      <c r="GA60">
        <v>30.87</v>
      </c>
      <c r="GB60">
        <v>30.87</v>
      </c>
      <c r="GC60" t="s">
        <v>203</v>
      </c>
      <c r="GD60">
        <v>0</v>
      </c>
      <c r="GE60">
        <v>504</v>
      </c>
      <c r="GF60">
        <v>0</v>
      </c>
      <c r="GG60">
        <v>0.1</v>
      </c>
      <c r="GH60">
        <v>0.5</v>
      </c>
      <c r="GI60">
        <v>0</v>
      </c>
      <c r="GJ60">
        <v>0</v>
      </c>
      <c r="GK60">
        <v>0</v>
      </c>
      <c r="GL60" t="s">
        <v>198</v>
      </c>
      <c r="GM60" t="s">
        <v>198</v>
      </c>
      <c r="GN60" t="s">
        <v>198</v>
      </c>
    </row>
    <row r="61" spans="1:196">
      <c r="A61" s="19">
        <v>46316.90458730324</v>
      </c>
      <c r="B61">
        <v>-0.2</v>
      </c>
      <c r="C61">
        <v>-0.3</v>
      </c>
      <c r="D61">
        <v>277</v>
      </c>
      <c r="E61">
        <v>0</v>
      </c>
      <c r="F61">
        <v>0</v>
      </c>
      <c r="G61">
        <v>0</v>
      </c>
      <c r="H61">
        <v>5</v>
      </c>
      <c r="I61">
        <v>5</v>
      </c>
      <c r="J61">
        <v>4.976</v>
      </c>
      <c r="K61">
        <v>0</v>
      </c>
      <c r="L61">
        <v>50</v>
      </c>
      <c r="M61">
        <v>634.2</v>
      </c>
      <c r="N61">
        <v>48.2</v>
      </c>
      <c r="O61">
        <v>49.99</v>
      </c>
      <c r="P61">
        <v>50</v>
      </c>
      <c r="Q61">
        <v>0.002</v>
      </c>
      <c r="R61">
        <v>0</v>
      </c>
      <c r="S61">
        <v>39</v>
      </c>
      <c r="T61" t="s">
        <v>310</v>
      </c>
      <c r="U61">
        <v>40.2</v>
      </c>
      <c r="V61">
        <v>8.1</v>
      </c>
      <c r="W61">
        <v>2</v>
      </c>
      <c r="X61">
        <v>278</v>
      </c>
      <c r="Y61">
        <v>75</v>
      </c>
      <c r="Z61">
        <v>98</v>
      </c>
      <c r="AA61">
        <v>278</v>
      </c>
      <c r="AB61" t="s">
        <v>197</v>
      </c>
      <c r="AC61" t="s">
        <v>198</v>
      </c>
      <c r="AD61" t="s">
        <v>199</v>
      </c>
      <c r="AE61">
        <v>33</v>
      </c>
      <c r="AF61">
        <v>44</v>
      </c>
      <c r="AG61">
        <v>255</v>
      </c>
      <c r="AH61">
        <v>0</v>
      </c>
      <c r="AI61">
        <v>0</v>
      </c>
      <c r="AJ61">
        <v>0</v>
      </c>
      <c r="AK61">
        <v>12.6</v>
      </c>
      <c r="AL61">
        <v>0</v>
      </c>
      <c r="AM61">
        <v>0</v>
      </c>
      <c r="AN61" t="s">
        <v>197</v>
      </c>
      <c r="AO61">
        <v>100</v>
      </c>
      <c r="AP61" t="s">
        <v>197</v>
      </c>
      <c r="AQ61" t="s">
        <v>200</v>
      </c>
      <c r="AR61">
        <v>1</v>
      </c>
      <c r="AS61">
        <v>0</v>
      </c>
      <c r="AT61" t="s">
        <v>311</v>
      </c>
      <c r="AU61" t="s">
        <v>311</v>
      </c>
      <c r="AV61" t="s">
        <v>202</v>
      </c>
      <c r="AW61" t="s">
        <v>203</v>
      </c>
      <c r="AX61" t="s">
        <v>203</v>
      </c>
      <c r="AY61" t="s">
        <v>203</v>
      </c>
      <c r="AZ61" t="s">
        <v>203</v>
      </c>
      <c r="BA61" t="s">
        <v>203</v>
      </c>
      <c r="BB61" t="s">
        <v>203</v>
      </c>
      <c r="BC61" t="s">
        <v>203</v>
      </c>
      <c r="BD61" t="s">
        <v>203</v>
      </c>
      <c r="BE61" t="s">
        <v>203</v>
      </c>
      <c r="BF61">
        <v>48.19</v>
      </c>
      <c r="BG61">
        <v>0.2</v>
      </c>
      <c r="BH61">
        <v>50</v>
      </c>
      <c r="BI61">
        <v>0</v>
      </c>
      <c r="BJ61" t="s">
        <v>198</v>
      </c>
      <c r="BK61" t="s">
        <v>198</v>
      </c>
      <c r="BL61" t="s">
        <v>198</v>
      </c>
      <c r="BM61" t="s">
        <v>198</v>
      </c>
      <c r="BN61" t="s">
        <v>198</v>
      </c>
      <c r="BO61" t="s">
        <v>198</v>
      </c>
      <c r="BP61" t="s">
        <v>198</v>
      </c>
      <c r="BQ61" t="s">
        <v>198</v>
      </c>
      <c r="BR61" t="s">
        <v>198</v>
      </c>
      <c r="BS61" t="s">
        <v>198</v>
      </c>
      <c r="BT61" t="s">
        <v>198</v>
      </c>
      <c r="BU61" t="s">
        <v>198</v>
      </c>
      <c r="BV61" t="s">
        <v>198</v>
      </c>
      <c r="BW61" t="s">
        <v>198</v>
      </c>
      <c r="BX61" t="s">
        <v>198</v>
      </c>
      <c r="BY61" t="s">
        <v>198</v>
      </c>
      <c r="BZ61" t="s">
        <v>198</v>
      </c>
      <c r="CA61" t="s">
        <v>198</v>
      </c>
      <c r="CB61" t="s">
        <v>204</v>
      </c>
      <c r="CC61" t="s">
        <v>204</v>
      </c>
      <c r="CD61" t="s">
        <v>204</v>
      </c>
      <c r="CE61" t="s">
        <v>204</v>
      </c>
      <c r="CF61" t="s">
        <v>204</v>
      </c>
      <c r="CG61" t="s">
        <v>204</v>
      </c>
      <c r="CH61" t="s">
        <v>204</v>
      </c>
      <c r="CI61" t="s">
        <v>204</v>
      </c>
      <c r="CJ61" t="s">
        <v>204</v>
      </c>
      <c r="CK61" t="s">
        <v>204</v>
      </c>
      <c r="CL61" t="s">
        <v>204</v>
      </c>
      <c r="CM61" t="s">
        <v>204</v>
      </c>
      <c r="CN61" t="s">
        <v>203</v>
      </c>
      <c r="CO61" t="s">
        <v>203</v>
      </c>
      <c r="CP61" t="s">
        <v>203</v>
      </c>
      <c r="CQ61" t="s">
        <v>203</v>
      </c>
      <c r="CR61" t="s">
        <v>203</v>
      </c>
      <c r="CS61" t="s">
        <v>203</v>
      </c>
      <c r="CT61" t="s">
        <v>203</v>
      </c>
      <c r="CU61" t="s">
        <v>203</v>
      </c>
      <c r="CV61">
        <v>0</v>
      </c>
      <c r="CW61">
        <v>0</v>
      </c>
      <c r="CX61" t="s">
        <v>198</v>
      </c>
      <c r="CY61" t="s">
        <v>198</v>
      </c>
      <c r="CZ61" t="s">
        <v>198</v>
      </c>
      <c r="DA61" t="s">
        <v>198</v>
      </c>
      <c r="DB61" t="s">
        <v>198</v>
      </c>
      <c r="DC61">
        <v>0</v>
      </c>
      <c r="DD61">
        <v>0</v>
      </c>
      <c r="DE61">
        <v>0</v>
      </c>
      <c r="DF61">
        <v>0</v>
      </c>
      <c r="DG61">
        <v>-35.3632123</v>
      </c>
      <c r="DH61">
        <v>149.1648055</v>
      </c>
      <c r="DI61" t="s">
        <v>312</v>
      </c>
      <c r="DJ61">
        <v>1.2</v>
      </c>
      <c r="DK61">
        <v>2</v>
      </c>
      <c r="DL61">
        <v>278</v>
      </c>
      <c r="DM61">
        <v>0</v>
      </c>
      <c r="DN61">
        <v>6</v>
      </c>
      <c r="DO61">
        <v>10</v>
      </c>
      <c r="DP61">
        <v>0</v>
      </c>
      <c r="DQ61">
        <v>255</v>
      </c>
      <c r="DR61">
        <v>255</v>
      </c>
      <c r="DS61">
        <v>255</v>
      </c>
      <c r="DT61">
        <v>255</v>
      </c>
      <c r="DU61">
        <v>255</v>
      </c>
      <c r="DV61">
        <v>255</v>
      </c>
      <c r="DW61">
        <v>255</v>
      </c>
      <c r="DX61" t="s">
        <v>206</v>
      </c>
      <c r="DY61" t="s">
        <v>206</v>
      </c>
      <c r="DZ61" t="s">
        <v>207</v>
      </c>
      <c r="EA61" t="s">
        <v>198</v>
      </c>
      <c r="EB61" t="s">
        <v>198</v>
      </c>
      <c r="EC61" t="s">
        <v>198</v>
      </c>
      <c r="ED61">
        <v>0</v>
      </c>
      <c r="EE61">
        <v>0</v>
      </c>
      <c r="EF61">
        <v>0</v>
      </c>
      <c r="EG61">
        <v>0</v>
      </c>
      <c r="EH61">
        <v>255</v>
      </c>
      <c r="EI61">
        <v>255</v>
      </c>
      <c r="EJ61">
        <v>255</v>
      </c>
      <c r="EK61">
        <v>255</v>
      </c>
      <c r="EL61">
        <v>255</v>
      </c>
      <c r="EM61">
        <v>255</v>
      </c>
      <c r="EN61">
        <v>255</v>
      </c>
      <c r="EO61">
        <v>255</v>
      </c>
      <c r="EP61">
        <v>255</v>
      </c>
      <c r="EQ61">
        <v>255</v>
      </c>
      <c r="ER61" t="s">
        <v>208</v>
      </c>
      <c r="ES61" t="s">
        <v>209</v>
      </c>
      <c r="ET61" t="s">
        <v>209</v>
      </c>
      <c r="EU61">
        <v>0</v>
      </c>
      <c r="EV61">
        <v>5.6</v>
      </c>
      <c r="EW61">
        <v>-39.9</v>
      </c>
      <c r="EX61">
        <v>-50.2</v>
      </c>
      <c r="EY61">
        <v>0.7</v>
      </c>
      <c r="EZ61">
        <v>-4.9</v>
      </c>
      <c r="FA61">
        <v>0</v>
      </c>
      <c r="FB61" t="s">
        <v>198</v>
      </c>
      <c r="FC61" t="s">
        <v>198</v>
      </c>
      <c r="FD61" t="s">
        <v>198</v>
      </c>
      <c r="FE61" t="s">
        <v>198</v>
      </c>
      <c r="FF61" t="s">
        <v>198</v>
      </c>
      <c r="FG61" t="s">
        <v>198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 t="s">
        <v>203</v>
      </c>
      <c r="FP61" t="s">
        <v>203</v>
      </c>
      <c r="FQ61" t="s">
        <v>203</v>
      </c>
      <c r="FR61" t="s">
        <v>203</v>
      </c>
      <c r="FS61" t="s">
        <v>203</v>
      </c>
      <c r="FT61" t="s">
        <v>203</v>
      </c>
      <c r="FU61" t="s">
        <v>198</v>
      </c>
      <c r="FV61" t="s">
        <v>198</v>
      </c>
      <c r="FW61" t="s">
        <v>198</v>
      </c>
      <c r="FX61" t="s">
        <v>198</v>
      </c>
      <c r="FY61" t="s">
        <v>198</v>
      </c>
      <c r="FZ61" t="s">
        <v>198</v>
      </c>
      <c r="GA61">
        <v>30.87</v>
      </c>
      <c r="GB61">
        <v>30.87</v>
      </c>
      <c r="GC61" t="s">
        <v>203</v>
      </c>
      <c r="GD61">
        <v>0</v>
      </c>
      <c r="GE61">
        <v>504</v>
      </c>
      <c r="GF61">
        <v>0</v>
      </c>
      <c r="GG61">
        <v>0.1</v>
      </c>
      <c r="GH61">
        <v>0.5</v>
      </c>
      <c r="GI61">
        <v>0</v>
      </c>
      <c r="GJ61">
        <v>0</v>
      </c>
      <c r="GK61">
        <v>0</v>
      </c>
      <c r="GL61" t="s">
        <v>198</v>
      </c>
      <c r="GM61" t="s">
        <v>198</v>
      </c>
      <c r="GN61" t="s">
        <v>198</v>
      </c>
    </row>
    <row r="62" spans="1:196">
      <c r="A62" s="19">
        <v>46316.90459887731</v>
      </c>
      <c r="B62">
        <v>0.3</v>
      </c>
      <c r="C62">
        <v>-0.2</v>
      </c>
      <c r="D62">
        <v>277</v>
      </c>
      <c r="E62">
        <v>0</v>
      </c>
      <c r="F62">
        <v>0</v>
      </c>
      <c r="G62">
        <v>0</v>
      </c>
      <c r="H62">
        <v>5</v>
      </c>
      <c r="I62">
        <v>5</v>
      </c>
      <c r="J62">
        <v>4.986</v>
      </c>
      <c r="K62">
        <v>0</v>
      </c>
      <c r="L62">
        <v>50</v>
      </c>
      <c r="M62">
        <v>634.2</v>
      </c>
      <c r="N62">
        <v>48.2</v>
      </c>
      <c r="O62">
        <v>50</v>
      </c>
      <c r="P62">
        <v>50</v>
      </c>
      <c r="Q62">
        <v>0.004</v>
      </c>
      <c r="R62">
        <v>0</v>
      </c>
      <c r="S62">
        <v>44</v>
      </c>
      <c r="T62" t="s">
        <v>313</v>
      </c>
      <c r="U62">
        <v>45.2</v>
      </c>
      <c r="V62">
        <v>9.1</v>
      </c>
      <c r="W62">
        <v>2</v>
      </c>
      <c r="X62">
        <v>278</v>
      </c>
      <c r="Y62">
        <v>70</v>
      </c>
      <c r="Z62">
        <v>98</v>
      </c>
      <c r="AA62">
        <v>278</v>
      </c>
      <c r="AB62" t="s">
        <v>197</v>
      </c>
      <c r="AC62" t="s">
        <v>198</v>
      </c>
      <c r="AD62" t="s">
        <v>199</v>
      </c>
      <c r="AE62">
        <v>32</v>
      </c>
      <c r="AF62">
        <v>44</v>
      </c>
      <c r="AG62">
        <v>255</v>
      </c>
      <c r="AH62">
        <v>0</v>
      </c>
      <c r="AI62">
        <v>0</v>
      </c>
      <c r="AJ62">
        <v>0</v>
      </c>
      <c r="AK62">
        <v>12.6</v>
      </c>
      <c r="AL62">
        <v>0</v>
      </c>
      <c r="AM62">
        <v>0</v>
      </c>
      <c r="AN62" t="s">
        <v>197</v>
      </c>
      <c r="AO62">
        <v>100</v>
      </c>
      <c r="AP62" t="s">
        <v>197</v>
      </c>
      <c r="AQ62" t="s">
        <v>200</v>
      </c>
      <c r="AR62">
        <v>1</v>
      </c>
      <c r="AS62">
        <v>0</v>
      </c>
      <c r="AT62" t="s">
        <v>314</v>
      </c>
      <c r="AU62" t="s">
        <v>314</v>
      </c>
      <c r="AV62" t="s">
        <v>202</v>
      </c>
      <c r="AW62" t="s">
        <v>203</v>
      </c>
      <c r="AX62" t="s">
        <v>203</v>
      </c>
      <c r="AY62" t="s">
        <v>203</v>
      </c>
      <c r="AZ62" t="s">
        <v>203</v>
      </c>
      <c r="BA62" t="s">
        <v>203</v>
      </c>
      <c r="BB62" t="s">
        <v>203</v>
      </c>
      <c r="BC62" t="s">
        <v>203</v>
      </c>
      <c r="BD62" t="s">
        <v>203</v>
      </c>
      <c r="BE62" t="s">
        <v>203</v>
      </c>
      <c r="BF62">
        <v>48.14</v>
      </c>
      <c r="BG62">
        <v>0.2</v>
      </c>
      <c r="BH62">
        <v>50</v>
      </c>
      <c r="BI62">
        <v>0</v>
      </c>
      <c r="BJ62" t="s">
        <v>198</v>
      </c>
      <c r="BK62" t="s">
        <v>198</v>
      </c>
      <c r="BL62" t="s">
        <v>198</v>
      </c>
      <c r="BM62" t="s">
        <v>198</v>
      </c>
      <c r="BN62" t="s">
        <v>198</v>
      </c>
      <c r="BO62" t="s">
        <v>198</v>
      </c>
      <c r="BP62" t="s">
        <v>198</v>
      </c>
      <c r="BQ62" t="s">
        <v>198</v>
      </c>
      <c r="BR62" t="s">
        <v>198</v>
      </c>
      <c r="BS62" t="s">
        <v>198</v>
      </c>
      <c r="BT62" t="s">
        <v>198</v>
      </c>
      <c r="BU62" t="s">
        <v>198</v>
      </c>
      <c r="BV62" t="s">
        <v>198</v>
      </c>
      <c r="BW62" t="s">
        <v>198</v>
      </c>
      <c r="BX62" t="s">
        <v>198</v>
      </c>
      <c r="BY62" t="s">
        <v>198</v>
      </c>
      <c r="BZ62" t="s">
        <v>198</v>
      </c>
      <c r="CA62" t="s">
        <v>198</v>
      </c>
      <c r="CB62" t="s">
        <v>204</v>
      </c>
      <c r="CC62" t="s">
        <v>204</v>
      </c>
      <c r="CD62" t="s">
        <v>204</v>
      </c>
      <c r="CE62" t="s">
        <v>204</v>
      </c>
      <c r="CF62" t="s">
        <v>204</v>
      </c>
      <c r="CG62" t="s">
        <v>204</v>
      </c>
      <c r="CH62" t="s">
        <v>204</v>
      </c>
      <c r="CI62" t="s">
        <v>204</v>
      </c>
      <c r="CJ62" t="s">
        <v>204</v>
      </c>
      <c r="CK62" t="s">
        <v>204</v>
      </c>
      <c r="CL62" t="s">
        <v>204</v>
      </c>
      <c r="CM62" t="s">
        <v>204</v>
      </c>
      <c r="CN62" t="s">
        <v>203</v>
      </c>
      <c r="CO62" t="s">
        <v>203</v>
      </c>
      <c r="CP62" t="s">
        <v>203</v>
      </c>
      <c r="CQ62" t="s">
        <v>203</v>
      </c>
      <c r="CR62" t="s">
        <v>203</v>
      </c>
      <c r="CS62" t="s">
        <v>203</v>
      </c>
      <c r="CT62" t="s">
        <v>203</v>
      </c>
      <c r="CU62" t="s">
        <v>203</v>
      </c>
      <c r="CV62">
        <v>0</v>
      </c>
      <c r="CW62">
        <v>0</v>
      </c>
      <c r="CX62" t="s">
        <v>198</v>
      </c>
      <c r="CY62" t="s">
        <v>198</v>
      </c>
      <c r="CZ62" t="s">
        <v>198</v>
      </c>
      <c r="DA62" t="s">
        <v>198</v>
      </c>
      <c r="DB62" t="s">
        <v>198</v>
      </c>
      <c r="DC62">
        <v>0</v>
      </c>
      <c r="DD62">
        <v>0</v>
      </c>
      <c r="DE62">
        <v>0</v>
      </c>
      <c r="DF62">
        <v>0</v>
      </c>
      <c r="DG62">
        <v>-35.3632061</v>
      </c>
      <c r="DH62">
        <v>149.1647511</v>
      </c>
      <c r="DI62" t="s">
        <v>315</v>
      </c>
      <c r="DJ62">
        <v>1.2</v>
      </c>
      <c r="DK62">
        <v>2</v>
      </c>
      <c r="DL62">
        <v>278</v>
      </c>
      <c r="DM62">
        <v>0</v>
      </c>
      <c r="DN62">
        <v>6</v>
      </c>
      <c r="DO62">
        <v>10</v>
      </c>
      <c r="DP62">
        <v>0</v>
      </c>
      <c r="DQ62">
        <v>255</v>
      </c>
      <c r="DR62">
        <v>255</v>
      </c>
      <c r="DS62">
        <v>255</v>
      </c>
      <c r="DT62">
        <v>255</v>
      </c>
      <c r="DU62">
        <v>255</v>
      </c>
      <c r="DV62">
        <v>255</v>
      </c>
      <c r="DW62">
        <v>255</v>
      </c>
      <c r="DX62" t="s">
        <v>206</v>
      </c>
      <c r="DY62" t="s">
        <v>206</v>
      </c>
      <c r="DZ62" t="s">
        <v>207</v>
      </c>
      <c r="EA62" t="s">
        <v>198</v>
      </c>
      <c r="EB62" t="s">
        <v>198</v>
      </c>
      <c r="EC62" t="s">
        <v>198</v>
      </c>
      <c r="ED62">
        <v>0</v>
      </c>
      <c r="EE62">
        <v>0</v>
      </c>
      <c r="EF62">
        <v>0</v>
      </c>
      <c r="EG62">
        <v>0</v>
      </c>
      <c r="EH62">
        <v>255</v>
      </c>
      <c r="EI62">
        <v>255</v>
      </c>
      <c r="EJ62">
        <v>255</v>
      </c>
      <c r="EK62">
        <v>255</v>
      </c>
      <c r="EL62">
        <v>255</v>
      </c>
      <c r="EM62">
        <v>255</v>
      </c>
      <c r="EN62">
        <v>255</v>
      </c>
      <c r="EO62">
        <v>255</v>
      </c>
      <c r="EP62">
        <v>255</v>
      </c>
      <c r="EQ62">
        <v>255</v>
      </c>
      <c r="ER62" t="s">
        <v>208</v>
      </c>
      <c r="ES62" t="s">
        <v>209</v>
      </c>
      <c r="ET62" t="s">
        <v>209</v>
      </c>
      <c r="EU62">
        <v>0</v>
      </c>
      <c r="EV62">
        <v>6.3</v>
      </c>
      <c r="EW62">
        <v>-44.8</v>
      </c>
      <c r="EX62">
        <v>-50.2</v>
      </c>
      <c r="EY62">
        <v>0.7</v>
      </c>
      <c r="EZ62">
        <v>-4.9</v>
      </c>
      <c r="FA62">
        <v>0</v>
      </c>
      <c r="FB62" t="s">
        <v>198</v>
      </c>
      <c r="FC62" t="s">
        <v>198</v>
      </c>
      <c r="FD62" t="s">
        <v>198</v>
      </c>
      <c r="FE62" t="s">
        <v>198</v>
      </c>
      <c r="FF62" t="s">
        <v>198</v>
      </c>
      <c r="FG62" t="s">
        <v>198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203</v>
      </c>
      <c r="FP62" t="s">
        <v>203</v>
      </c>
      <c r="FQ62" t="s">
        <v>203</v>
      </c>
      <c r="FR62" t="s">
        <v>203</v>
      </c>
      <c r="FS62" t="s">
        <v>203</v>
      </c>
      <c r="FT62" t="s">
        <v>203</v>
      </c>
      <c r="FU62" t="s">
        <v>198</v>
      </c>
      <c r="FV62" t="s">
        <v>198</v>
      </c>
      <c r="FW62" t="s">
        <v>198</v>
      </c>
      <c r="FX62" t="s">
        <v>198</v>
      </c>
      <c r="FY62" t="s">
        <v>198</v>
      </c>
      <c r="FZ62" t="s">
        <v>198</v>
      </c>
      <c r="GA62">
        <v>30.87</v>
      </c>
      <c r="GB62">
        <v>30.87</v>
      </c>
      <c r="GC62" t="s">
        <v>203</v>
      </c>
      <c r="GD62">
        <v>0</v>
      </c>
      <c r="GE62">
        <v>504</v>
      </c>
      <c r="GF62">
        <v>0</v>
      </c>
      <c r="GG62">
        <v>0.1</v>
      </c>
      <c r="GH62">
        <v>0.5</v>
      </c>
      <c r="GI62">
        <v>0</v>
      </c>
      <c r="GJ62">
        <v>0</v>
      </c>
      <c r="GK62">
        <v>0</v>
      </c>
      <c r="GL62" t="s">
        <v>198</v>
      </c>
      <c r="GM62" t="s">
        <v>198</v>
      </c>
      <c r="GN62" t="s">
        <v>198</v>
      </c>
    </row>
    <row r="63" spans="1:196">
      <c r="A63" s="19">
        <v>46316.90461045139</v>
      </c>
      <c r="B63">
        <v>-0.3</v>
      </c>
      <c r="C63">
        <v>-0.2</v>
      </c>
      <c r="D63">
        <v>277</v>
      </c>
      <c r="E63">
        <v>0</v>
      </c>
      <c r="F63">
        <v>0</v>
      </c>
      <c r="G63">
        <v>0</v>
      </c>
      <c r="H63">
        <v>5</v>
      </c>
      <c r="I63">
        <v>5</v>
      </c>
      <c r="J63">
        <v>4.989</v>
      </c>
      <c r="K63">
        <v>0</v>
      </c>
      <c r="L63">
        <v>50</v>
      </c>
      <c r="M63">
        <v>634.2</v>
      </c>
      <c r="N63">
        <v>48.2</v>
      </c>
      <c r="O63">
        <v>50</v>
      </c>
      <c r="P63">
        <v>50</v>
      </c>
      <c r="Q63">
        <v>0</v>
      </c>
      <c r="R63">
        <v>0</v>
      </c>
      <c r="S63">
        <v>49</v>
      </c>
      <c r="T63" t="s">
        <v>316</v>
      </c>
      <c r="U63">
        <v>50.2</v>
      </c>
      <c r="V63">
        <v>10.1</v>
      </c>
      <c r="W63">
        <v>2</v>
      </c>
      <c r="X63">
        <v>278</v>
      </c>
      <c r="Y63">
        <v>65</v>
      </c>
      <c r="Z63">
        <v>98</v>
      </c>
      <c r="AA63">
        <v>278</v>
      </c>
      <c r="AB63" t="s">
        <v>197</v>
      </c>
      <c r="AC63" t="s">
        <v>198</v>
      </c>
      <c r="AD63" t="s">
        <v>199</v>
      </c>
      <c r="AE63">
        <v>32</v>
      </c>
      <c r="AF63">
        <v>44</v>
      </c>
      <c r="AG63">
        <v>255</v>
      </c>
      <c r="AH63">
        <v>0</v>
      </c>
      <c r="AI63">
        <v>0</v>
      </c>
      <c r="AJ63">
        <v>0</v>
      </c>
      <c r="AK63">
        <v>12.6</v>
      </c>
      <c r="AL63">
        <v>0</v>
      </c>
      <c r="AM63">
        <v>0</v>
      </c>
      <c r="AN63" t="s">
        <v>197</v>
      </c>
      <c r="AO63">
        <v>100</v>
      </c>
      <c r="AP63" t="s">
        <v>197</v>
      </c>
      <c r="AQ63" t="s">
        <v>200</v>
      </c>
      <c r="AR63">
        <v>1</v>
      </c>
      <c r="AS63">
        <v>0</v>
      </c>
      <c r="AT63" t="s">
        <v>317</v>
      </c>
      <c r="AU63" t="s">
        <v>317</v>
      </c>
      <c r="AV63" t="s">
        <v>202</v>
      </c>
      <c r="AW63" t="s">
        <v>203</v>
      </c>
      <c r="AX63" t="s">
        <v>203</v>
      </c>
      <c r="AY63" t="s">
        <v>203</v>
      </c>
      <c r="AZ63" t="s">
        <v>203</v>
      </c>
      <c r="BA63" t="s">
        <v>203</v>
      </c>
      <c r="BB63" t="s">
        <v>203</v>
      </c>
      <c r="BC63" t="s">
        <v>203</v>
      </c>
      <c r="BD63" t="s">
        <v>203</v>
      </c>
      <c r="BE63" t="s">
        <v>203</v>
      </c>
      <c r="BF63">
        <v>48.09</v>
      </c>
      <c r="BG63">
        <v>0.2</v>
      </c>
      <c r="BH63">
        <v>50</v>
      </c>
      <c r="BI63">
        <v>0</v>
      </c>
      <c r="BJ63" t="s">
        <v>198</v>
      </c>
      <c r="BK63" t="s">
        <v>198</v>
      </c>
      <c r="BL63" t="s">
        <v>198</v>
      </c>
      <c r="BM63" t="s">
        <v>198</v>
      </c>
      <c r="BN63" t="s">
        <v>198</v>
      </c>
      <c r="BO63" t="s">
        <v>198</v>
      </c>
      <c r="BP63" t="s">
        <v>198</v>
      </c>
      <c r="BQ63" t="s">
        <v>198</v>
      </c>
      <c r="BR63" t="s">
        <v>198</v>
      </c>
      <c r="BS63" t="s">
        <v>198</v>
      </c>
      <c r="BT63" t="s">
        <v>198</v>
      </c>
      <c r="BU63" t="s">
        <v>198</v>
      </c>
      <c r="BV63" t="s">
        <v>198</v>
      </c>
      <c r="BW63" t="s">
        <v>198</v>
      </c>
      <c r="BX63" t="s">
        <v>198</v>
      </c>
      <c r="BY63" t="s">
        <v>198</v>
      </c>
      <c r="BZ63" t="s">
        <v>198</v>
      </c>
      <c r="CA63" t="s">
        <v>198</v>
      </c>
      <c r="CB63" t="s">
        <v>204</v>
      </c>
      <c r="CC63" t="s">
        <v>204</v>
      </c>
      <c r="CD63" t="s">
        <v>204</v>
      </c>
      <c r="CE63" t="s">
        <v>204</v>
      </c>
      <c r="CF63" t="s">
        <v>204</v>
      </c>
      <c r="CG63" t="s">
        <v>204</v>
      </c>
      <c r="CH63" t="s">
        <v>204</v>
      </c>
      <c r="CI63" t="s">
        <v>204</v>
      </c>
      <c r="CJ63" t="s">
        <v>204</v>
      </c>
      <c r="CK63" t="s">
        <v>204</v>
      </c>
      <c r="CL63" t="s">
        <v>204</v>
      </c>
      <c r="CM63" t="s">
        <v>204</v>
      </c>
      <c r="CN63" t="s">
        <v>203</v>
      </c>
      <c r="CO63" t="s">
        <v>203</v>
      </c>
      <c r="CP63" t="s">
        <v>203</v>
      </c>
      <c r="CQ63" t="s">
        <v>203</v>
      </c>
      <c r="CR63" t="s">
        <v>203</v>
      </c>
      <c r="CS63" t="s">
        <v>203</v>
      </c>
      <c r="CT63" t="s">
        <v>203</v>
      </c>
      <c r="CU63" t="s">
        <v>203</v>
      </c>
      <c r="CV63">
        <v>0</v>
      </c>
      <c r="CW63">
        <v>0</v>
      </c>
      <c r="CX63" t="s">
        <v>198</v>
      </c>
      <c r="CY63" t="s">
        <v>198</v>
      </c>
      <c r="CZ63" t="s">
        <v>198</v>
      </c>
      <c r="DA63" t="s">
        <v>198</v>
      </c>
      <c r="DB63" t="s">
        <v>198</v>
      </c>
      <c r="DC63">
        <v>0</v>
      </c>
      <c r="DD63">
        <v>0</v>
      </c>
      <c r="DE63">
        <v>0</v>
      </c>
      <c r="DF63">
        <v>0</v>
      </c>
      <c r="DG63">
        <v>-35.3631999</v>
      </c>
      <c r="DH63">
        <v>149.1646967</v>
      </c>
      <c r="DI63" t="s">
        <v>318</v>
      </c>
      <c r="DJ63">
        <v>1.2</v>
      </c>
      <c r="DK63">
        <v>2</v>
      </c>
      <c r="DL63">
        <v>278</v>
      </c>
      <c r="DM63">
        <v>0</v>
      </c>
      <c r="DN63">
        <v>6</v>
      </c>
      <c r="DO63">
        <v>10</v>
      </c>
      <c r="DP63">
        <v>0</v>
      </c>
      <c r="DQ63">
        <v>255</v>
      </c>
      <c r="DR63">
        <v>255</v>
      </c>
      <c r="DS63">
        <v>255</v>
      </c>
      <c r="DT63">
        <v>255</v>
      </c>
      <c r="DU63">
        <v>255</v>
      </c>
      <c r="DV63">
        <v>255</v>
      </c>
      <c r="DW63">
        <v>255</v>
      </c>
      <c r="DX63" t="s">
        <v>206</v>
      </c>
      <c r="DY63" t="s">
        <v>206</v>
      </c>
      <c r="DZ63" t="s">
        <v>207</v>
      </c>
      <c r="EA63" t="s">
        <v>198</v>
      </c>
      <c r="EB63" t="s">
        <v>198</v>
      </c>
      <c r="EC63" t="s">
        <v>198</v>
      </c>
      <c r="ED63">
        <v>0</v>
      </c>
      <c r="EE63">
        <v>0</v>
      </c>
      <c r="EF63">
        <v>0</v>
      </c>
      <c r="EG63">
        <v>0</v>
      </c>
      <c r="EH63">
        <v>255</v>
      </c>
      <c r="EI63">
        <v>255</v>
      </c>
      <c r="EJ63">
        <v>255</v>
      </c>
      <c r="EK63">
        <v>255</v>
      </c>
      <c r="EL63">
        <v>255</v>
      </c>
      <c r="EM63">
        <v>255</v>
      </c>
      <c r="EN63">
        <v>255</v>
      </c>
      <c r="EO63">
        <v>255</v>
      </c>
      <c r="EP63">
        <v>255</v>
      </c>
      <c r="EQ63">
        <v>255</v>
      </c>
      <c r="ER63" t="s">
        <v>208</v>
      </c>
      <c r="ES63" t="s">
        <v>209</v>
      </c>
      <c r="ET63" t="s">
        <v>209</v>
      </c>
      <c r="EU63">
        <v>0</v>
      </c>
      <c r="EV63">
        <v>7</v>
      </c>
      <c r="EW63">
        <v>-49.8</v>
      </c>
      <c r="EX63">
        <v>-50.2</v>
      </c>
      <c r="EY63">
        <v>0.7</v>
      </c>
      <c r="EZ63">
        <v>-4.9</v>
      </c>
      <c r="FA63">
        <v>0</v>
      </c>
      <c r="FB63" t="s">
        <v>198</v>
      </c>
      <c r="FC63" t="s">
        <v>198</v>
      </c>
      <c r="FD63" t="s">
        <v>198</v>
      </c>
      <c r="FE63" t="s">
        <v>198</v>
      </c>
      <c r="FF63" t="s">
        <v>198</v>
      </c>
      <c r="FG63" t="s">
        <v>198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203</v>
      </c>
      <c r="FP63" t="s">
        <v>203</v>
      </c>
      <c r="FQ63" t="s">
        <v>203</v>
      </c>
      <c r="FR63" t="s">
        <v>203</v>
      </c>
      <c r="FS63" t="s">
        <v>203</v>
      </c>
      <c r="FT63" t="s">
        <v>203</v>
      </c>
      <c r="FU63" t="s">
        <v>198</v>
      </c>
      <c r="FV63" t="s">
        <v>198</v>
      </c>
      <c r="FW63" t="s">
        <v>198</v>
      </c>
      <c r="FX63" t="s">
        <v>198</v>
      </c>
      <c r="FY63" t="s">
        <v>198</v>
      </c>
      <c r="FZ63" t="s">
        <v>198</v>
      </c>
      <c r="GA63">
        <v>30.87</v>
      </c>
      <c r="GB63">
        <v>30.87</v>
      </c>
      <c r="GC63" t="s">
        <v>203</v>
      </c>
      <c r="GD63">
        <v>0</v>
      </c>
      <c r="GE63">
        <v>504</v>
      </c>
      <c r="GF63">
        <v>0</v>
      </c>
      <c r="GG63">
        <v>0.1</v>
      </c>
      <c r="GH63">
        <v>0.5</v>
      </c>
      <c r="GI63">
        <v>0</v>
      </c>
      <c r="GJ63">
        <v>0</v>
      </c>
      <c r="GK63">
        <v>0</v>
      </c>
      <c r="GL63" t="s">
        <v>198</v>
      </c>
      <c r="GM63" t="s">
        <v>198</v>
      </c>
      <c r="GN63" t="s">
        <v>198</v>
      </c>
    </row>
    <row r="64" spans="1:196">
      <c r="A64" s="19">
        <v>46316.90462202546</v>
      </c>
      <c r="B64">
        <v>0.2</v>
      </c>
      <c r="C64">
        <v>-0.2</v>
      </c>
      <c r="D64">
        <v>277</v>
      </c>
      <c r="E64">
        <v>0</v>
      </c>
      <c r="F64">
        <v>0</v>
      </c>
      <c r="G64">
        <v>0</v>
      </c>
      <c r="H64">
        <v>5</v>
      </c>
      <c r="I64">
        <v>5</v>
      </c>
      <c r="J64">
        <v>4.992</v>
      </c>
      <c r="K64">
        <v>0</v>
      </c>
      <c r="L64">
        <v>50</v>
      </c>
      <c r="M64">
        <v>634.2</v>
      </c>
      <c r="N64">
        <v>48.2</v>
      </c>
      <c r="O64">
        <v>49.99</v>
      </c>
      <c r="P64">
        <v>50</v>
      </c>
      <c r="Q64">
        <v>0.008999999999999999</v>
      </c>
      <c r="R64">
        <v>0</v>
      </c>
      <c r="S64">
        <v>53.9</v>
      </c>
      <c r="T64" t="s">
        <v>319</v>
      </c>
      <c r="U64">
        <v>55.2</v>
      </c>
      <c r="V64">
        <v>11.1</v>
      </c>
      <c r="W64">
        <v>2</v>
      </c>
      <c r="X64">
        <v>278</v>
      </c>
      <c r="Y64">
        <v>60</v>
      </c>
      <c r="Z64">
        <v>98</v>
      </c>
      <c r="AA64">
        <v>278</v>
      </c>
      <c r="AB64" t="s">
        <v>197</v>
      </c>
      <c r="AC64" t="s">
        <v>198</v>
      </c>
      <c r="AD64" t="s">
        <v>199</v>
      </c>
      <c r="AE64">
        <v>32</v>
      </c>
      <c r="AF64">
        <v>44</v>
      </c>
      <c r="AG64">
        <v>255</v>
      </c>
      <c r="AH64">
        <v>0</v>
      </c>
      <c r="AI64">
        <v>0</v>
      </c>
      <c r="AJ64">
        <v>0</v>
      </c>
      <c r="AK64">
        <v>12.6</v>
      </c>
      <c r="AL64">
        <v>0</v>
      </c>
      <c r="AM64">
        <v>0</v>
      </c>
      <c r="AN64" t="s">
        <v>197</v>
      </c>
      <c r="AO64">
        <v>100</v>
      </c>
      <c r="AP64" t="s">
        <v>197</v>
      </c>
      <c r="AQ64" t="s">
        <v>200</v>
      </c>
      <c r="AR64">
        <v>1</v>
      </c>
      <c r="AS64">
        <v>0</v>
      </c>
      <c r="AT64" t="s">
        <v>320</v>
      </c>
      <c r="AU64" t="s">
        <v>320</v>
      </c>
      <c r="AV64" t="s">
        <v>202</v>
      </c>
      <c r="AW64" t="s">
        <v>203</v>
      </c>
      <c r="AX64" t="s">
        <v>203</v>
      </c>
      <c r="AY64" t="s">
        <v>203</v>
      </c>
      <c r="AZ64" t="s">
        <v>203</v>
      </c>
      <c r="BA64" t="s">
        <v>203</v>
      </c>
      <c r="BB64" t="s">
        <v>203</v>
      </c>
      <c r="BC64" t="s">
        <v>203</v>
      </c>
      <c r="BD64" t="s">
        <v>203</v>
      </c>
      <c r="BE64" t="s">
        <v>203</v>
      </c>
      <c r="BF64">
        <v>48.02</v>
      </c>
      <c r="BG64">
        <v>0.2</v>
      </c>
      <c r="BH64">
        <v>50</v>
      </c>
      <c r="BI64">
        <v>0</v>
      </c>
      <c r="BJ64" t="s">
        <v>198</v>
      </c>
      <c r="BK64" t="s">
        <v>198</v>
      </c>
      <c r="BL64" t="s">
        <v>198</v>
      </c>
      <c r="BM64" t="s">
        <v>198</v>
      </c>
      <c r="BN64" t="s">
        <v>198</v>
      </c>
      <c r="BO64" t="s">
        <v>198</v>
      </c>
      <c r="BP64" t="s">
        <v>198</v>
      </c>
      <c r="BQ64" t="s">
        <v>198</v>
      </c>
      <c r="BR64" t="s">
        <v>198</v>
      </c>
      <c r="BS64" t="s">
        <v>198</v>
      </c>
      <c r="BT64" t="s">
        <v>198</v>
      </c>
      <c r="BU64" t="s">
        <v>198</v>
      </c>
      <c r="BV64" t="s">
        <v>198</v>
      </c>
      <c r="BW64" t="s">
        <v>198</v>
      </c>
      <c r="BX64" t="s">
        <v>198</v>
      </c>
      <c r="BY64" t="s">
        <v>198</v>
      </c>
      <c r="BZ64" t="s">
        <v>198</v>
      </c>
      <c r="CA64" t="s">
        <v>198</v>
      </c>
      <c r="CB64" t="s">
        <v>204</v>
      </c>
      <c r="CC64" t="s">
        <v>204</v>
      </c>
      <c r="CD64" t="s">
        <v>204</v>
      </c>
      <c r="CE64" t="s">
        <v>204</v>
      </c>
      <c r="CF64" t="s">
        <v>204</v>
      </c>
      <c r="CG64" t="s">
        <v>204</v>
      </c>
      <c r="CH64" t="s">
        <v>204</v>
      </c>
      <c r="CI64" t="s">
        <v>204</v>
      </c>
      <c r="CJ64" t="s">
        <v>204</v>
      </c>
      <c r="CK64" t="s">
        <v>204</v>
      </c>
      <c r="CL64" t="s">
        <v>204</v>
      </c>
      <c r="CM64" t="s">
        <v>204</v>
      </c>
      <c r="CN64" t="s">
        <v>203</v>
      </c>
      <c r="CO64" t="s">
        <v>203</v>
      </c>
      <c r="CP64" t="s">
        <v>203</v>
      </c>
      <c r="CQ64" t="s">
        <v>203</v>
      </c>
      <c r="CR64" t="s">
        <v>203</v>
      </c>
      <c r="CS64" t="s">
        <v>203</v>
      </c>
      <c r="CT64" t="s">
        <v>203</v>
      </c>
      <c r="CU64" t="s">
        <v>203</v>
      </c>
      <c r="CV64">
        <v>0</v>
      </c>
      <c r="CW64">
        <v>0</v>
      </c>
      <c r="CX64" t="s">
        <v>198</v>
      </c>
      <c r="CY64" t="s">
        <v>198</v>
      </c>
      <c r="CZ64" t="s">
        <v>198</v>
      </c>
      <c r="DA64" t="s">
        <v>198</v>
      </c>
      <c r="DB64" t="s">
        <v>198</v>
      </c>
      <c r="DC64">
        <v>0</v>
      </c>
      <c r="DD64">
        <v>0</v>
      </c>
      <c r="DE64">
        <v>0</v>
      </c>
      <c r="DF64">
        <v>0</v>
      </c>
      <c r="DG64">
        <v>-35.3631936</v>
      </c>
      <c r="DH64">
        <v>149.1646422</v>
      </c>
      <c r="DI64" t="s">
        <v>321</v>
      </c>
      <c r="DJ64">
        <v>1.2</v>
      </c>
      <c r="DK64">
        <v>2</v>
      </c>
      <c r="DL64">
        <v>278</v>
      </c>
      <c r="DM64">
        <v>0</v>
      </c>
      <c r="DN64">
        <v>6</v>
      </c>
      <c r="DO64">
        <v>10</v>
      </c>
      <c r="DP64">
        <v>0</v>
      </c>
      <c r="DQ64">
        <v>255</v>
      </c>
      <c r="DR64">
        <v>255</v>
      </c>
      <c r="DS64">
        <v>255</v>
      </c>
      <c r="DT64">
        <v>255</v>
      </c>
      <c r="DU64">
        <v>255</v>
      </c>
      <c r="DV64">
        <v>255</v>
      </c>
      <c r="DW64">
        <v>255</v>
      </c>
      <c r="DX64" t="s">
        <v>206</v>
      </c>
      <c r="DY64" t="s">
        <v>206</v>
      </c>
      <c r="DZ64" t="s">
        <v>207</v>
      </c>
      <c r="EA64" t="s">
        <v>198</v>
      </c>
      <c r="EB64" t="s">
        <v>198</v>
      </c>
      <c r="EC64" t="s">
        <v>198</v>
      </c>
      <c r="ED64">
        <v>0</v>
      </c>
      <c r="EE64">
        <v>0</v>
      </c>
      <c r="EF64">
        <v>0</v>
      </c>
      <c r="EG64">
        <v>0</v>
      </c>
      <c r="EH64">
        <v>255</v>
      </c>
      <c r="EI64">
        <v>255</v>
      </c>
      <c r="EJ64">
        <v>255</v>
      </c>
      <c r="EK64">
        <v>255</v>
      </c>
      <c r="EL64">
        <v>255</v>
      </c>
      <c r="EM64">
        <v>255</v>
      </c>
      <c r="EN64">
        <v>255</v>
      </c>
      <c r="EO64">
        <v>255</v>
      </c>
      <c r="EP64">
        <v>255</v>
      </c>
      <c r="EQ64">
        <v>255</v>
      </c>
      <c r="ER64" t="s">
        <v>208</v>
      </c>
      <c r="ES64" t="s">
        <v>209</v>
      </c>
      <c r="ET64" t="s">
        <v>209</v>
      </c>
      <c r="EU64">
        <v>0</v>
      </c>
      <c r="EV64">
        <v>7.7</v>
      </c>
      <c r="EW64">
        <v>-54.7</v>
      </c>
      <c r="EX64">
        <v>-50.2</v>
      </c>
      <c r="EY64">
        <v>0.7</v>
      </c>
      <c r="EZ64">
        <v>-4.9</v>
      </c>
      <c r="FA64">
        <v>0</v>
      </c>
      <c r="FB64" t="s">
        <v>198</v>
      </c>
      <c r="FC64" t="s">
        <v>198</v>
      </c>
      <c r="FD64" t="s">
        <v>198</v>
      </c>
      <c r="FE64" t="s">
        <v>198</v>
      </c>
      <c r="FF64" t="s">
        <v>198</v>
      </c>
      <c r="FG64" t="s">
        <v>198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203</v>
      </c>
      <c r="FP64" t="s">
        <v>203</v>
      </c>
      <c r="FQ64" t="s">
        <v>203</v>
      </c>
      <c r="FR64" t="s">
        <v>203</v>
      </c>
      <c r="FS64" t="s">
        <v>203</v>
      </c>
      <c r="FT64" t="s">
        <v>203</v>
      </c>
      <c r="FU64" t="s">
        <v>198</v>
      </c>
      <c r="FV64" t="s">
        <v>198</v>
      </c>
      <c r="FW64" t="s">
        <v>198</v>
      </c>
      <c r="FX64" t="s">
        <v>198</v>
      </c>
      <c r="FY64" t="s">
        <v>198</v>
      </c>
      <c r="FZ64" t="s">
        <v>198</v>
      </c>
      <c r="GA64">
        <v>30.87</v>
      </c>
      <c r="GB64">
        <v>30.87</v>
      </c>
      <c r="GC64" t="s">
        <v>203</v>
      </c>
      <c r="GD64">
        <v>0</v>
      </c>
      <c r="GE64">
        <v>504</v>
      </c>
      <c r="GF64">
        <v>0</v>
      </c>
      <c r="GG64">
        <v>0.1</v>
      </c>
      <c r="GH64">
        <v>0.5</v>
      </c>
      <c r="GI64">
        <v>0</v>
      </c>
      <c r="GJ64">
        <v>0</v>
      </c>
      <c r="GK64">
        <v>0</v>
      </c>
      <c r="GL64" t="s">
        <v>198</v>
      </c>
      <c r="GM64" t="s">
        <v>198</v>
      </c>
      <c r="GN64" t="s">
        <v>198</v>
      </c>
    </row>
    <row r="65" spans="1:196">
      <c r="A65" s="19">
        <v>46316.90463359954</v>
      </c>
      <c r="B65">
        <v>0.2</v>
      </c>
      <c r="C65">
        <v>-0.2</v>
      </c>
      <c r="D65">
        <v>277</v>
      </c>
      <c r="E65">
        <v>0</v>
      </c>
      <c r="F65">
        <v>0</v>
      </c>
      <c r="G65">
        <v>0</v>
      </c>
      <c r="H65">
        <v>5</v>
      </c>
      <c r="I65">
        <v>5</v>
      </c>
      <c r="J65">
        <v>4.995</v>
      </c>
      <c r="K65">
        <v>0</v>
      </c>
      <c r="L65">
        <v>50</v>
      </c>
      <c r="M65">
        <v>634.2</v>
      </c>
      <c r="N65">
        <v>48.2</v>
      </c>
      <c r="O65">
        <v>50</v>
      </c>
      <c r="P65">
        <v>50</v>
      </c>
      <c r="Q65">
        <v>0.004</v>
      </c>
      <c r="R65">
        <v>0</v>
      </c>
      <c r="S65">
        <v>58.9</v>
      </c>
      <c r="T65" t="s">
        <v>322</v>
      </c>
      <c r="U65">
        <v>60.2</v>
      </c>
      <c r="V65">
        <v>12</v>
      </c>
      <c r="W65">
        <v>2</v>
      </c>
      <c r="X65">
        <v>278</v>
      </c>
      <c r="Y65">
        <v>55</v>
      </c>
      <c r="Z65">
        <v>98</v>
      </c>
      <c r="AA65">
        <v>278</v>
      </c>
      <c r="AB65" t="s">
        <v>197</v>
      </c>
      <c r="AC65" t="s">
        <v>198</v>
      </c>
      <c r="AD65" t="s">
        <v>199</v>
      </c>
      <c r="AE65">
        <v>33</v>
      </c>
      <c r="AF65">
        <v>44</v>
      </c>
      <c r="AG65">
        <v>255</v>
      </c>
      <c r="AH65">
        <v>0</v>
      </c>
      <c r="AI65">
        <v>0</v>
      </c>
      <c r="AJ65">
        <v>0</v>
      </c>
      <c r="AK65">
        <v>12.6</v>
      </c>
      <c r="AL65">
        <v>0</v>
      </c>
      <c r="AM65">
        <v>0</v>
      </c>
      <c r="AN65" t="s">
        <v>197</v>
      </c>
      <c r="AO65">
        <v>100</v>
      </c>
      <c r="AP65" t="s">
        <v>197</v>
      </c>
      <c r="AQ65" t="s">
        <v>200</v>
      </c>
      <c r="AR65">
        <v>1</v>
      </c>
      <c r="AS65">
        <v>0</v>
      </c>
      <c r="AT65" t="s">
        <v>323</v>
      </c>
      <c r="AU65" t="s">
        <v>323</v>
      </c>
      <c r="AV65" t="s">
        <v>202</v>
      </c>
      <c r="AW65" t="s">
        <v>203</v>
      </c>
      <c r="AX65" t="s">
        <v>203</v>
      </c>
      <c r="AY65" t="s">
        <v>203</v>
      </c>
      <c r="AZ65" t="s">
        <v>203</v>
      </c>
      <c r="BA65" t="s">
        <v>203</v>
      </c>
      <c r="BB65" t="s">
        <v>203</v>
      </c>
      <c r="BC65" t="s">
        <v>203</v>
      </c>
      <c r="BD65" t="s">
        <v>203</v>
      </c>
      <c r="BE65" t="s">
        <v>203</v>
      </c>
      <c r="BF65">
        <v>47.98</v>
      </c>
      <c r="BG65">
        <v>0.2</v>
      </c>
      <c r="BH65">
        <v>50</v>
      </c>
      <c r="BI65">
        <v>0</v>
      </c>
      <c r="BJ65" t="s">
        <v>198</v>
      </c>
      <c r="BK65" t="s">
        <v>198</v>
      </c>
      <c r="BL65" t="s">
        <v>198</v>
      </c>
      <c r="BM65" t="s">
        <v>198</v>
      </c>
      <c r="BN65" t="s">
        <v>198</v>
      </c>
      <c r="BO65" t="s">
        <v>198</v>
      </c>
      <c r="BP65" t="s">
        <v>198</v>
      </c>
      <c r="BQ65" t="s">
        <v>198</v>
      </c>
      <c r="BR65" t="s">
        <v>198</v>
      </c>
      <c r="BS65" t="s">
        <v>198</v>
      </c>
      <c r="BT65" t="s">
        <v>198</v>
      </c>
      <c r="BU65" t="s">
        <v>198</v>
      </c>
      <c r="BV65" t="s">
        <v>198</v>
      </c>
      <c r="BW65" t="s">
        <v>198</v>
      </c>
      <c r="BX65" t="s">
        <v>198</v>
      </c>
      <c r="BY65" t="s">
        <v>198</v>
      </c>
      <c r="BZ65" t="s">
        <v>198</v>
      </c>
      <c r="CA65" t="s">
        <v>198</v>
      </c>
      <c r="CB65" t="s">
        <v>204</v>
      </c>
      <c r="CC65" t="s">
        <v>204</v>
      </c>
      <c r="CD65" t="s">
        <v>204</v>
      </c>
      <c r="CE65" t="s">
        <v>204</v>
      </c>
      <c r="CF65" t="s">
        <v>204</v>
      </c>
      <c r="CG65" t="s">
        <v>204</v>
      </c>
      <c r="CH65" t="s">
        <v>204</v>
      </c>
      <c r="CI65" t="s">
        <v>204</v>
      </c>
      <c r="CJ65" t="s">
        <v>204</v>
      </c>
      <c r="CK65" t="s">
        <v>204</v>
      </c>
      <c r="CL65" t="s">
        <v>204</v>
      </c>
      <c r="CM65" t="s">
        <v>204</v>
      </c>
      <c r="CN65" t="s">
        <v>203</v>
      </c>
      <c r="CO65" t="s">
        <v>203</v>
      </c>
      <c r="CP65" t="s">
        <v>203</v>
      </c>
      <c r="CQ65" t="s">
        <v>203</v>
      </c>
      <c r="CR65" t="s">
        <v>203</v>
      </c>
      <c r="CS65" t="s">
        <v>203</v>
      </c>
      <c r="CT65" t="s">
        <v>203</v>
      </c>
      <c r="CU65" t="s">
        <v>203</v>
      </c>
      <c r="CV65">
        <v>0</v>
      </c>
      <c r="CW65">
        <v>0</v>
      </c>
      <c r="CX65" t="s">
        <v>198</v>
      </c>
      <c r="CY65" t="s">
        <v>198</v>
      </c>
      <c r="CZ65" t="s">
        <v>198</v>
      </c>
      <c r="DA65" t="s">
        <v>198</v>
      </c>
      <c r="DB65" t="s">
        <v>198</v>
      </c>
      <c r="DC65">
        <v>0</v>
      </c>
      <c r="DD65">
        <v>0</v>
      </c>
      <c r="DE65">
        <v>0</v>
      </c>
      <c r="DF65">
        <v>0</v>
      </c>
      <c r="DG65">
        <v>-35.3631873</v>
      </c>
      <c r="DH65">
        <v>149.1645878</v>
      </c>
      <c r="DI65" t="s">
        <v>324</v>
      </c>
      <c r="DJ65">
        <v>1.2</v>
      </c>
      <c r="DK65">
        <v>2</v>
      </c>
      <c r="DL65">
        <v>278</v>
      </c>
      <c r="DM65">
        <v>0</v>
      </c>
      <c r="DN65">
        <v>6</v>
      </c>
      <c r="DO65">
        <v>10</v>
      </c>
      <c r="DP65">
        <v>0</v>
      </c>
      <c r="DQ65">
        <v>255</v>
      </c>
      <c r="DR65">
        <v>255</v>
      </c>
      <c r="DS65">
        <v>255</v>
      </c>
      <c r="DT65">
        <v>255</v>
      </c>
      <c r="DU65">
        <v>255</v>
      </c>
      <c r="DV65">
        <v>255</v>
      </c>
      <c r="DW65">
        <v>255</v>
      </c>
      <c r="DX65" t="s">
        <v>206</v>
      </c>
      <c r="DY65" t="s">
        <v>206</v>
      </c>
      <c r="DZ65" t="s">
        <v>207</v>
      </c>
      <c r="EA65" t="s">
        <v>198</v>
      </c>
      <c r="EB65" t="s">
        <v>198</v>
      </c>
      <c r="EC65" t="s">
        <v>198</v>
      </c>
      <c r="ED65">
        <v>0</v>
      </c>
      <c r="EE65">
        <v>0</v>
      </c>
      <c r="EF65">
        <v>0</v>
      </c>
      <c r="EG65">
        <v>0</v>
      </c>
      <c r="EH65">
        <v>255</v>
      </c>
      <c r="EI65">
        <v>255</v>
      </c>
      <c r="EJ65">
        <v>255</v>
      </c>
      <c r="EK65">
        <v>255</v>
      </c>
      <c r="EL65">
        <v>255</v>
      </c>
      <c r="EM65">
        <v>255</v>
      </c>
      <c r="EN65">
        <v>255</v>
      </c>
      <c r="EO65">
        <v>255</v>
      </c>
      <c r="EP65">
        <v>255</v>
      </c>
      <c r="EQ65">
        <v>255</v>
      </c>
      <c r="ER65" t="s">
        <v>208</v>
      </c>
      <c r="ES65" t="s">
        <v>209</v>
      </c>
      <c r="ET65" t="s">
        <v>209</v>
      </c>
      <c r="EU65">
        <v>0</v>
      </c>
      <c r="EV65">
        <v>8.4</v>
      </c>
      <c r="EW65">
        <v>-59.6</v>
      </c>
      <c r="EX65">
        <v>-50.2</v>
      </c>
      <c r="EY65">
        <v>0.7</v>
      </c>
      <c r="EZ65">
        <v>-4.9</v>
      </c>
      <c r="FA65">
        <v>0</v>
      </c>
      <c r="FB65" t="s">
        <v>198</v>
      </c>
      <c r="FC65" t="s">
        <v>198</v>
      </c>
      <c r="FD65" t="s">
        <v>198</v>
      </c>
      <c r="FE65" t="s">
        <v>198</v>
      </c>
      <c r="FF65" t="s">
        <v>198</v>
      </c>
      <c r="FG65" t="s">
        <v>198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203</v>
      </c>
      <c r="FP65" t="s">
        <v>203</v>
      </c>
      <c r="FQ65" t="s">
        <v>203</v>
      </c>
      <c r="FR65" t="s">
        <v>203</v>
      </c>
      <c r="FS65" t="s">
        <v>203</v>
      </c>
      <c r="FT65" t="s">
        <v>203</v>
      </c>
      <c r="FU65" t="s">
        <v>198</v>
      </c>
      <c r="FV65" t="s">
        <v>198</v>
      </c>
      <c r="FW65" t="s">
        <v>198</v>
      </c>
      <c r="FX65" t="s">
        <v>198</v>
      </c>
      <c r="FY65" t="s">
        <v>198</v>
      </c>
      <c r="FZ65" t="s">
        <v>198</v>
      </c>
      <c r="GA65">
        <v>30.87</v>
      </c>
      <c r="GB65">
        <v>30.87</v>
      </c>
      <c r="GC65" t="s">
        <v>203</v>
      </c>
      <c r="GD65">
        <v>0</v>
      </c>
      <c r="GE65">
        <v>504</v>
      </c>
      <c r="GF65">
        <v>0</v>
      </c>
      <c r="GG65">
        <v>0.1</v>
      </c>
      <c r="GH65">
        <v>0.5</v>
      </c>
      <c r="GI65">
        <v>0</v>
      </c>
      <c r="GJ65">
        <v>0</v>
      </c>
      <c r="GK65">
        <v>0</v>
      </c>
      <c r="GL65" t="s">
        <v>198</v>
      </c>
      <c r="GM65" t="s">
        <v>198</v>
      </c>
      <c r="GN65" t="s">
        <v>198</v>
      </c>
    </row>
    <row r="66" spans="1:196">
      <c r="A66" s="19">
        <v>46316.90464517361</v>
      </c>
      <c r="B66">
        <v>-0.4</v>
      </c>
      <c r="C66">
        <v>-0.2</v>
      </c>
      <c r="D66">
        <v>277</v>
      </c>
      <c r="E66">
        <v>0</v>
      </c>
      <c r="F66">
        <v>0</v>
      </c>
      <c r="G66">
        <v>0</v>
      </c>
      <c r="H66">
        <v>5</v>
      </c>
      <c r="I66">
        <v>5</v>
      </c>
      <c r="J66">
        <v>4.996</v>
      </c>
      <c r="K66">
        <v>0</v>
      </c>
      <c r="L66">
        <v>50</v>
      </c>
      <c r="M66">
        <v>634.2</v>
      </c>
      <c r="N66">
        <v>48.2</v>
      </c>
      <c r="O66">
        <v>49.99</v>
      </c>
      <c r="P66">
        <v>50</v>
      </c>
      <c r="Q66">
        <v>0.01</v>
      </c>
      <c r="R66">
        <v>0</v>
      </c>
      <c r="S66">
        <v>63.9</v>
      </c>
      <c r="T66" t="s">
        <v>325</v>
      </c>
      <c r="U66">
        <v>65.2</v>
      </c>
      <c r="V66">
        <v>13</v>
      </c>
      <c r="W66">
        <v>2</v>
      </c>
      <c r="X66">
        <v>278</v>
      </c>
      <c r="Y66">
        <v>50</v>
      </c>
      <c r="Z66">
        <v>98</v>
      </c>
      <c r="AA66">
        <v>278</v>
      </c>
      <c r="AB66" t="s">
        <v>197</v>
      </c>
      <c r="AC66" t="s">
        <v>198</v>
      </c>
      <c r="AD66" t="s">
        <v>199</v>
      </c>
      <c r="AE66">
        <v>33</v>
      </c>
      <c r="AF66">
        <v>44</v>
      </c>
      <c r="AG66">
        <v>255</v>
      </c>
      <c r="AH66">
        <v>0</v>
      </c>
      <c r="AI66">
        <v>0</v>
      </c>
      <c r="AJ66">
        <v>0</v>
      </c>
      <c r="AK66">
        <v>12.6</v>
      </c>
      <c r="AL66">
        <v>0</v>
      </c>
      <c r="AM66">
        <v>0</v>
      </c>
      <c r="AN66" t="s">
        <v>197</v>
      </c>
      <c r="AO66">
        <v>100</v>
      </c>
      <c r="AP66" t="s">
        <v>197</v>
      </c>
      <c r="AQ66" t="s">
        <v>200</v>
      </c>
      <c r="AR66">
        <v>1</v>
      </c>
      <c r="AS66">
        <v>0</v>
      </c>
      <c r="AT66" t="s">
        <v>326</v>
      </c>
      <c r="AU66" t="s">
        <v>326</v>
      </c>
      <c r="AV66" t="s">
        <v>202</v>
      </c>
      <c r="AW66" t="s">
        <v>203</v>
      </c>
      <c r="AX66" t="s">
        <v>203</v>
      </c>
      <c r="AY66" t="s">
        <v>203</v>
      </c>
      <c r="AZ66" t="s">
        <v>203</v>
      </c>
      <c r="BA66" t="s">
        <v>203</v>
      </c>
      <c r="BB66" t="s">
        <v>203</v>
      </c>
      <c r="BC66" t="s">
        <v>203</v>
      </c>
      <c r="BD66" t="s">
        <v>203</v>
      </c>
      <c r="BE66" t="s">
        <v>203</v>
      </c>
      <c r="BF66">
        <v>47.92</v>
      </c>
      <c r="BG66">
        <v>0.2</v>
      </c>
      <c r="BH66">
        <v>50</v>
      </c>
      <c r="BI66">
        <v>0</v>
      </c>
      <c r="BJ66" t="s">
        <v>198</v>
      </c>
      <c r="BK66" t="s">
        <v>198</v>
      </c>
      <c r="BL66" t="s">
        <v>198</v>
      </c>
      <c r="BM66" t="s">
        <v>198</v>
      </c>
      <c r="BN66" t="s">
        <v>198</v>
      </c>
      <c r="BO66" t="s">
        <v>198</v>
      </c>
      <c r="BP66" t="s">
        <v>198</v>
      </c>
      <c r="BQ66" t="s">
        <v>198</v>
      </c>
      <c r="BR66" t="s">
        <v>198</v>
      </c>
      <c r="BS66" t="s">
        <v>198</v>
      </c>
      <c r="BT66" t="s">
        <v>198</v>
      </c>
      <c r="BU66" t="s">
        <v>198</v>
      </c>
      <c r="BV66" t="s">
        <v>198</v>
      </c>
      <c r="BW66" t="s">
        <v>198</v>
      </c>
      <c r="BX66" t="s">
        <v>198</v>
      </c>
      <c r="BY66" t="s">
        <v>198</v>
      </c>
      <c r="BZ66" t="s">
        <v>198</v>
      </c>
      <c r="CA66" t="s">
        <v>198</v>
      </c>
      <c r="CB66" t="s">
        <v>204</v>
      </c>
      <c r="CC66" t="s">
        <v>204</v>
      </c>
      <c r="CD66" t="s">
        <v>204</v>
      </c>
      <c r="CE66" t="s">
        <v>204</v>
      </c>
      <c r="CF66" t="s">
        <v>204</v>
      </c>
      <c r="CG66" t="s">
        <v>204</v>
      </c>
      <c r="CH66" t="s">
        <v>204</v>
      </c>
      <c r="CI66" t="s">
        <v>204</v>
      </c>
      <c r="CJ66" t="s">
        <v>204</v>
      </c>
      <c r="CK66" t="s">
        <v>204</v>
      </c>
      <c r="CL66" t="s">
        <v>204</v>
      </c>
      <c r="CM66" t="s">
        <v>204</v>
      </c>
      <c r="CN66" t="s">
        <v>203</v>
      </c>
      <c r="CO66" t="s">
        <v>203</v>
      </c>
      <c r="CP66" t="s">
        <v>203</v>
      </c>
      <c r="CQ66" t="s">
        <v>203</v>
      </c>
      <c r="CR66" t="s">
        <v>203</v>
      </c>
      <c r="CS66" t="s">
        <v>203</v>
      </c>
      <c r="CT66" t="s">
        <v>203</v>
      </c>
      <c r="CU66" t="s">
        <v>203</v>
      </c>
      <c r="CV66">
        <v>0</v>
      </c>
      <c r="CW66">
        <v>0</v>
      </c>
      <c r="CX66" t="s">
        <v>198</v>
      </c>
      <c r="CY66" t="s">
        <v>198</v>
      </c>
      <c r="CZ66" t="s">
        <v>198</v>
      </c>
      <c r="DA66" t="s">
        <v>198</v>
      </c>
      <c r="DB66" t="s">
        <v>198</v>
      </c>
      <c r="DC66">
        <v>0</v>
      </c>
      <c r="DD66">
        <v>0</v>
      </c>
      <c r="DE66">
        <v>0</v>
      </c>
      <c r="DF66">
        <v>0</v>
      </c>
      <c r="DG66">
        <v>-35.363181</v>
      </c>
      <c r="DH66">
        <v>149.1645333</v>
      </c>
      <c r="DI66" t="s">
        <v>327</v>
      </c>
      <c r="DJ66">
        <v>1.2</v>
      </c>
      <c r="DK66">
        <v>2</v>
      </c>
      <c r="DL66">
        <v>278</v>
      </c>
      <c r="DM66">
        <v>0</v>
      </c>
      <c r="DN66">
        <v>6</v>
      </c>
      <c r="DO66">
        <v>10</v>
      </c>
      <c r="DP66">
        <v>0</v>
      </c>
      <c r="DQ66">
        <v>255</v>
      </c>
      <c r="DR66">
        <v>255</v>
      </c>
      <c r="DS66">
        <v>255</v>
      </c>
      <c r="DT66">
        <v>255</v>
      </c>
      <c r="DU66">
        <v>255</v>
      </c>
      <c r="DV66">
        <v>255</v>
      </c>
      <c r="DW66">
        <v>255</v>
      </c>
      <c r="DX66" t="s">
        <v>206</v>
      </c>
      <c r="DY66" t="s">
        <v>206</v>
      </c>
      <c r="DZ66" t="s">
        <v>207</v>
      </c>
      <c r="EA66" t="s">
        <v>198</v>
      </c>
      <c r="EB66" t="s">
        <v>198</v>
      </c>
      <c r="EC66" t="s">
        <v>198</v>
      </c>
      <c r="ED66">
        <v>0</v>
      </c>
      <c r="EE66">
        <v>0</v>
      </c>
      <c r="EF66">
        <v>0</v>
      </c>
      <c r="EG66">
        <v>0</v>
      </c>
      <c r="EH66">
        <v>255</v>
      </c>
      <c r="EI66">
        <v>255</v>
      </c>
      <c r="EJ66">
        <v>255</v>
      </c>
      <c r="EK66">
        <v>255</v>
      </c>
      <c r="EL66">
        <v>255</v>
      </c>
      <c r="EM66">
        <v>255</v>
      </c>
      <c r="EN66">
        <v>255</v>
      </c>
      <c r="EO66">
        <v>255</v>
      </c>
      <c r="EP66">
        <v>255</v>
      </c>
      <c r="EQ66">
        <v>255</v>
      </c>
      <c r="ER66" t="s">
        <v>208</v>
      </c>
      <c r="ES66" t="s">
        <v>209</v>
      </c>
      <c r="ET66" t="s">
        <v>209</v>
      </c>
      <c r="EU66">
        <v>0</v>
      </c>
      <c r="EV66">
        <v>9.1</v>
      </c>
      <c r="EW66">
        <v>-64.59999999999999</v>
      </c>
      <c r="EX66">
        <v>-50.2</v>
      </c>
      <c r="EY66">
        <v>0.7</v>
      </c>
      <c r="EZ66">
        <v>-4.9</v>
      </c>
      <c r="FA66">
        <v>0</v>
      </c>
      <c r="FB66" t="s">
        <v>198</v>
      </c>
      <c r="FC66" t="s">
        <v>198</v>
      </c>
      <c r="FD66" t="s">
        <v>198</v>
      </c>
      <c r="FE66" t="s">
        <v>198</v>
      </c>
      <c r="FF66" t="s">
        <v>198</v>
      </c>
      <c r="FG66" t="s">
        <v>198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203</v>
      </c>
      <c r="FP66" t="s">
        <v>203</v>
      </c>
      <c r="FQ66" t="s">
        <v>203</v>
      </c>
      <c r="FR66" t="s">
        <v>203</v>
      </c>
      <c r="FS66" t="s">
        <v>203</v>
      </c>
      <c r="FT66" t="s">
        <v>203</v>
      </c>
      <c r="FU66" t="s">
        <v>198</v>
      </c>
      <c r="FV66" t="s">
        <v>198</v>
      </c>
      <c r="FW66" t="s">
        <v>198</v>
      </c>
      <c r="FX66" t="s">
        <v>198</v>
      </c>
      <c r="FY66" t="s">
        <v>198</v>
      </c>
      <c r="FZ66" t="s">
        <v>198</v>
      </c>
      <c r="GA66">
        <v>30.87</v>
      </c>
      <c r="GB66">
        <v>30.87</v>
      </c>
      <c r="GC66" t="s">
        <v>203</v>
      </c>
      <c r="GD66">
        <v>0</v>
      </c>
      <c r="GE66">
        <v>504</v>
      </c>
      <c r="GF66">
        <v>0</v>
      </c>
      <c r="GG66">
        <v>0.1</v>
      </c>
      <c r="GH66">
        <v>0.5</v>
      </c>
      <c r="GI66">
        <v>0</v>
      </c>
      <c r="GJ66">
        <v>0</v>
      </c>
      <c r="GK66">
        <v>0</v>
      </c>
      <c r="GL66" t="s">
        <v>198</v>
      </c>
      <c r="GM66" t="s">
        <v>198</v>
      </c>
      <c r="GN66" t="s">
        <v>198</v>
      </c>
    </row>
    <row r="67" spans="1:196">
      <c r="A67" s="19">
        <v>46316.90465674768</v>
      </c>
      <c r="B67">
        <v>-0.3</v>
      </c>
      <c r="C67">
        <v>-0.2</v>
      </c>
      <c r="D67">
        <v>277</v>
      </c>
      <c r="E67">
        <v>0</v>
      </c>
      <c r="F67">
        <v>0</v>
      </c>
      <c r="G67">
        <v>0</v>
      </c>
      <c r="H67">
        <v>5</v>
      </c>
      <c r="I67">
        <v>5</v>
      </c>
      <c r="J67">
        <v>4.997</v>
      </c>
      <c r="K67">
        <v>0</v>
      </c>
      <c r="L67">
        <v>50</v>
      </c>
      <c r="M67">
        <v>634.2</v>
      </c>
      <c r="N67">
        <v>48.2</v>
      </c>
      <c r="O67">
        <v>50</v>
      </c>
      <c r="P67">
        <v>50</v>
      </c>
      <c r="Q67">
        <v>0.002</v>
      </c>
      <c r="R67">
        <v>0</v>
      </c>
      <c r="S67">
        <v>68.90000000000001</v>
      </c>
      <c r="T67" t="s">
        <v>328</v>
      </c>
      <c r="U67">
        <v>70.09999999999999</v>
      </c>
      <c r="V67">
        <v>14</v>
      </c>
      <c r="W67">
        <v>2</v>
      </c>
      <c r="X67">
        <v>278</v>
      </c>
      <c r="Y67">
        <v>45</v>
      </c>
      <c r="Z67">
        <v>98</v>
      </c>
      <c r="AA67">
        <v>278</v>
      </c>
      <c r="AB67" t="s">
        <v>197</v>
      </c>
      <c r="AC67" t="s">
        <v>198</v>
      </c>
      <c r="AD67" t="s">
        <v>199</v>
      </c>
      <c r="AE67">
        <v>32</v>
      </c>
      <c r="AF67">
        <v>44</v>
      </c>
      <c r="AG67">
        <v>255</v>
      </c>
      <c r="AH67">
        <v>0</v>
      </c>
      <c r="AI67">
        <v>0</v>
      </c>
      <c r="AJ67">
        <v>0</v>
      </c>
      <c r="AK67">
        <v>12.6</v>
      </c>
      <c r="AL67">
        <v>0</v>
      </c>
      <c r="AM67">
        <v>0</v>
      </c>
      <c r="AN67" t="s">
        <v>197</v>
      </c>
      <c r="AO67">
        <v>100</v>
      </c>
      <c r="AP67" t="s">
        <v>197</v>
      </c>
      <c r="AQ67" t="s">
        <v>200</v>
      </c>
      <c r="AR67">
        <v>1</v>
      </c>
      <c r="AS67">
        <v>0</v>
      </c>
      <c r="AT67" t="s">
        <v>329</v>
      </c>
      <c r="AU67" t="s">
        <v>329</v>
      </c>
      <c r="AV67" t="s">
        <v>202</v>
      </c>
      <c r="AW67" t="s">
        <v>203</v>
      </c>
      <c r="AX67" t="s">
        <v>203</v>
      </c>
      <c r="AY67" t="s">
        <v>203</v>
      </c>
      <c r="AZ67" t="s">
        <v>203</v>
      </c>
      <c r="BA67" t="s">
        <v>203</v>
      </c>
      <c r="BB67" t="s">
        <v>203</v>
      </c>
      <c r="BC67" t="s">
        <v>203</v>
      </c>
      <c r="BD67" t="s">
        <v>203</v>
      </c>
      <c r="BE67" t="s">
        <v>203</v>
      </c>
      <c r="BF67">
        <v>47.88</v>
      </c>
      <c r="BG67">
        <v>0.2</v>
      </c>
      <c r="BH67">
        <v>50</v>
      </c>
      <c r="BI67">
        <v>0</v>
      </c>
      <c r="BJ67" t="s">
        <v>198</v>
      </c>
      <c r="BK67" t="s">
        <v>198</v>
      </c>
      <c r="BL67" t="s">
        <v>198</v>
      </c>
      <c r="BM67" t="s">
        <v>198</v>
      </c>
      <c r="BN67" t="s">
        <v>198</v>
      </c>
      <c r="BO67" t="s">
        <v>198</v>
      </c>
      <c r="BP67" t="s">
        <v>198</v>
      </c>
      <c r="BQ67" t="s">
        <v>198</v>
      </c>
      <c r="BR67" t="s">
        <v>198</v>
      </c>
      <c r="BS67" t="s">
        <v>198</v>
      </c>
      <c r="BT67" t="s">
        <v>198</v>
      </c>
      <c r="BU67" t="s">
        <v>198</v>
      </c>
      <c r="BV67" t="s">
        <v>198</v>
      </c>
      <c r="BW67" t="s">
        <v>198</v>
      </c>
      <c r="BX67" t="s">
        <v>198</v>
      </c>
      <c r="BY67" t="s">
        <v>198</v>
      </c>
      <c r="BZ67" t="s">
        <v>198</v>
      </c>
      <c r="CA67" t="s">
        <v>198</v>
      </c>
      <c r="CB67" t="s">
        <v>204</v>
      </c>
      <c r="CC67" t="s">
        <v>204</v>
      </c>
      <c r="CD67" t="s">
        <v>204</v>
      </c>
      <c r="CE67" t="s">
        <v>204</v>
      </c>
      <c r="CF67" t="s">
        <v>204</v>
      </c>
      <c r="CG67" t="s">
        <v>204</v>
      </c>
      <c r="CH67" t="s">
        <v>204</v>
      </c>
      <c r="CI67" t="s">
        <v>204</v>
      </c>
      <c r="CJ67" t="s">
        <v>204</v>
      </c>
      <c r="CK67" t="s">
        <v>204</v>
      </c>
      <c r="CL67" t="s">
        <v>204</v>
      </c>
      <c r="CM67" t="s">
        <v>204</v>
      </c>
      <c r="CN67" t="s">
        <v>203</v>
      </c>
      <c r="CO67" t="s">
        <v>203</v>
      </c>
      <c r="CP67" t="s">
        <v>203</v>
      </c>
      <c r="CQ67" t="s">
        <v>203</v>
      </c>
      <c r="CR67" t="s">
        <v>203</v>
      </c>
      <c r="CS67" t="s">
        <v>203</v>
      </c>
      <c r="CT67" t="s">
        <v>203</v>
      </c>
      <c r="CU67" t="s">
        <v>203</v>
      </c>
      <c r="CV67">
        <v>0</v>
      </c>
      <c r="CW67">
        <v>0</v>
      </c>
      <c r="CX67" t="s">
        <v>198</v>
      </c>
      <c r="CY67" t="s">
        <v>198</v>
      </c>
      <c r="CZ67" t="s">
        <v>198</v>
      </c>
      <c r="DA67" t="s">
        <v>198</v>
      </c>
      <c r="DB67" t="s">
        <v>198</v>
      </c>
      <c r="DC67">
        <v>0</v>
      </c>
      <c r="DD67">
        <v>0</v>
      </c>
      <c r="DE67">
        <v>0</v>
      </c>
      <c r="DF67">
        <v>0</v>
      </c>
      <c r="DG67">
        <v>-35.3631747</v>
      </c>
      <c r="DH67">
        <v>149.1644788</v>
      </c>
      <c r="DI67" t="s">
        <v>330</v>
      </c>
      <c r="DJ67">
        <v>1.2</v>
      </c>
      <c r="DK67">
        <v>2</v>
      </c>
      <c r="DL67">
        <v>278</v>
      </c>
      <c r="DM67">
        <v>0</v>
      </c>
      <c r="DN67">
        <v>6</v>
      </c>
      <c r="DO67">
        <v>10</v>
      </c>
      <c r="DP67">
        <v>0</v>
      </c>
      <c r="DQ67">
        <v>255</v>
      </c>
      <c r="DR67">
        <v>255</v>
      </c>
      <c r="DS67">
        <v>255</v>
      </c>
      <c r="DT67">
        <v>255</v>
      </c>
      <c r="DU67">
        <v>255</v>
      </c>
      <c r="DV67">
        <v>255</v>
      </c>
      <c r="DW67">
        <v>255</v>
      </c>
      <c r="DX67" t="s">
        <v>206</v>
      </c>
      <c r="DY67" t="s">
        <v>206</v>
      </c>
      <c r="DZ67" t="s">
        <v>207</v>
      </c>
      <c r="EA67" t="s">
        <v>198</v>
      </c>
      <c r="EB67" t="s">
        <v>198</v>
      </c>
      <c r="EC67" t="s">
        <v>198</v>
      </c>
      <c r="ED67">
        <v>0</v>
      </c>
      <c r="EE67">
        <v>0</v>
      </c>
      <c r="EF67">
        <v>0</v>
      </c>
      <c r="EG67">
        <v>0</v>
      </c>
      <c r="EH67">
        <v>255</v>
      </c>
      <c r="EI67">
        <v>255</v>
      </c>
      <c r="EJ67">
        <v>255</v>
      </c>
      <c r="EK67">
        <v>255</v>
      </c>
      <c r="EL67">
        <v>255</v>
      </c>
      <c r="EM67">
        <v>255</v>
      </c>
      <c r="EN67">
        <v>255</v>
      </c>
      <c r="EO67">
        <v>255</v>
      </c>
      <c r="EP67">
        <v>255</v>
      </c>
      <c r="EQ67">
        <v>255</v>
      </c>
      <c r="ER67" t="s">
        <v>208</v>
      </c>
      <c r="ES67" t="s">
        <v>209</v>
      </c>
      <c r="ET67" t="s">
        <v>209</v>
      </c>
      <c r="EU67">
        <v>0</v>
      </c>
      <c r="EV67">
        <v>9.800000000000001</v>
      </c>
      <c r="EW67">
        <v>-69.5</v>
      </c>
      <c r="EX67">
        <v>-50.2</v>
      </c>
      <c r="EY67">
        <v>0.7</v>
      </c>
      <c r="EZ67">
        <v>-4.9</v>
      </c>
      <c r="FA67">
        <v>0</v>
      </c>
      <c r="FB67" t="s">
        <v>198</v>
      </c>
      <c r="FC67" t="s">
        <v>198</v>
      </c>
      <c r="FD67" t="s">
        <v>198</v>
      </c>
      <c r="FE67" t="s">
        <v>198</v>
      </c>
      <c r="FF67" t="s">
        <v>198</v>
      </c>
      <c r="FG67" t="s">
        <v>198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203</v>
      </c>
      <c r="FP67" t="s">
        <v>203</v>
      </c>
      <c r="FQ67" t="s">
        <v>203</v>
      </c>
      <c r="FR67" t="s">
        <v>203</v>
      </c>
      <c r="FS67" t="s">
        <v>203</v>
      </c>
      <c r="FT67" t="s">
        <v>203</v>
      </c>
      <c r="FU67" t="s">
        <v>198</v>
      </c>
      <c r="FV67" t="s">
        <v>198</v>
      </c>
      <c r="FW67" t="s">
        <v>198</v>
      </c>
      <c r="FX67" t="s">
        <v>198</v>
      </c>
      <c r="FY67" t="s">
        <v>198</v>
      </c>
      <c r="FZ67" t="s">
        <v>198</v>
      </c>
      <c r="GA67">
        <v>30.87</v>
      </c>
      <c r="GB67">
        <v>30.87</v>
      </c>
      <c r="GC67" t="s">
        <v>203</v>
      </c>
      <c r="GD67">
        <v>0</v>
      </c>
      <c r="GE67">
        <v>504</v>
      </c>
      <c r="GF67">
        <v>0</v>
      </c>
      <c r="GG67">
        <v>0.1</v>
      </c>
      <c r="GH67">
        <v>0.5</v>
      </c>
      <c r="GI67">
        <v>0</v>
      </c>
      <c r="GJ67">
        <v>0</v>
      </c>
      <c r="GK67">
        <v>0</v>
      </c>
      <c r="GL67" t="s">
        <v>198</v>
      </c>
      <c r="GM67" t="s">
        <v>198</v>
      </c>
      <c r="GN67" t="s">
        <v>198</v>
      </c>
    </row>
    <row r="68" spans="1:196">
      <c r="A68" s="19">
        <v>46316.90466832176</v>
      </c>
      <c r="B68">
        <v>0.4</v>
      </c>
      <c r="C68">
        <v>-0.2</v>
      </c>
      <c r="D68">
        <v>277</v>
      </c>
      <c r="E68">
        <v>0</v>
      </c>
      <c r="F68">
        <v>0</v>
      </c>
      <c r="G68">
        <v>0</v>
      </c>
      <c r="H68">
        <v>5</v>
      </c>
      <c r="I68">
        <v>5</v>
      </c>
      <c r="J68">
        <v>4.997</v>
      </c>
      <c r="K68">
        <v>0</v>
      </c>
      <c r="L68">
        <v>50</v>
      </c>
      <c r="M68">
        <v>634.2</v>
      </c>
      <c r="N68">
        <v>48.2</v>
      </c>
      <c r="O68">
        <v>50</v>
      </c>
      <c r="P68">
        <v>50</v>
      </c>
      <c r="Q68">
        <v>0.007</v>
      </c>
      <c r="R68">
        <v>0</v>
      </c>
      <c r="S68">
        <v>73.90000000000001</v>
      </c>
      <c r="T68" t="s">
        <v>331</v>
      </c>
      <c r="U68">
        <v>75.09999999999999</v>
      </c>
      <c r="V68">
        <v>15</v>
      </c>
      <c r="W68">
        <v>2</v>
      </c>
      <c r="X68">
        <v>278</v>
      </c>
      <c r="Y68">
        <v>40</v>
      </c>
      <c r="Z68">
        <v>98</v>
      </c>
      <c r="AA68">
        <v>278</v>
      </c>
      <c r="AB68" t="s">
        <v>197</v>
      </c>
      <c r="AC68" t="s">
        <v>198</v>
      </c>
      <c r="AD68" t="s">
        <v>199</v>
      </c>
      <c r="AE68">
        <v>33</v>
      </c>
      <c r="AF68">
        <v>44</v>
      </c>
      <c r="AG68">
        <v>255</v>
      </c>
      <c r="AH68">
        <v>0</v>
      </c>
      <c r="AI68">
        <v>0</v>
      </c>
      <c r="AJ68">
        <v>0</v>
      </c>
      <c r="AK68">
        <v>12.6</v>
      </c>
      <c r="AL68">
        <v>0</v>
      </c>
      <c r="AM68">
        <v>0</v>
      </c>
      <c r="AN68" t="s">
        <v>197</v>
      </c>
      <c r="AO68">
        <v>100</v>
      </c>
      <c r="AP68" t="s">
        <v>197</v>
      </c>
      <c r="AQ68" t="s">
        <v>200</v>
      </c>
      <c r="AR68">
        <v>1</v>
      </c>
      <c r="AS68">
        <v>0</v>
      </c>
      <c r="AT68" t="s">
        <v>332</v>
      </c>
      <c r="AU68" t="s">
        <v>332</v>
      </c>
      <c r="AV68" t="s">
        <v>202</v>
      </c>
      <c r="AW68" t="s">
        <v>203</v>
      </c>
      <c r="AX68" t="s">
        <v>203</v>
      </c>
      <c r="AY68" t="s">
        <v>203</v>
      </c>
      <c r="AZ68" t="s">
        <v>203</v>
      </c>
      <c r="BA68" t="s">
        <v>203</v>
      </c>
      <c r="BB68" t="s">
        <v>203</v>
      </c>
      <c r="BC68" t="s">
        <v>203</v>
      </c>
      <c r="BD68" t="s">
        <v>203</v>
      </c>
      <c r="BE68" t="s">
        <v>203</v>
      </c>
      <c r="BF68">
        <v>47.83</v>
      </c>
      <c r="BG68">
        <v>0.2</v>
      </c>
      <c r="BH68">
        <v>50</v>
      </c>
      <c r="BI68">
        <v>0</v>
      </c>
      <c r="BJ68" t="s">
        <v>198</v>
      </c>
      <c r="BK68" t="s">
        <v>198</v>
      </c>
      <c r="BL68" t="s">
        <v>198</v>
      </c>
      <c r="BM68" t="s">
        <v>198</v>
      </c>
      <c r="BN68" t="s">
        <v>198</v>
      </c>
      <c r="BO68" t="s">
        <v>198</v>
      </c>
      <c r="BP68" t="s">
        <v>198</v>
      </c>
      <c r="BQ68" t="s">
        <v>198</v>
      </c>
      <c r="BR68" t="s">
        <v>198</v>
      </c>
      <c r="BS68" t="s">
        <v>198</v>
      </c>
      <c r="BT68" t="s">
        <v>198</v>
      </c>
      <c r="BU68" t="s">
        <v>198</v>
      </c>
      <c r="BV68" t="s">
        <v>198</v>
      </c>
      <c r="BW68" t="s">
        <v>198</v>
      </c>
      <c r="BX68" t="s">
        <v>198</v>
      </c>
      <c r="BY68" t="s">
        <v>198</v>
      </c>
      <c r="BZ68" t="s">
        <v>198</v>
      </c>
      <c r="CA68" t="s">
        <v>198</v>
      </c>
      <c r="CB68" t="s">
        <v>204</v>
      </c>
      <c r="CC68" t="s">
        <v>204</v>
      </c>
      <c r="CD68" t="s">
        <v>204</v>
      </c>
      <c r="CE68" t="s">
        <v>204</v>
      </c>
      <c r="CF68" t="s">
        <v>204</v>
      </c>
      <c r="CG68" t="s">
        <v>204</v>
      </c>
      <c r="CH68" t="s">
        <v>204</v>
      </c>
      <c r="CI68" t="s">
        <v>204</v>
      </c>
      <c r="CJ68" t="s">
        <v>204</v>
      </c>
      <c r="CK68" t="s">
        <v>204</v>
      </c>
      <c r="CL68" t="s">
        <v>204</v>
      </c>
      <c r="CM68" t="s">
        <v>204</v>
      </c>
      <c r="CN68" t="s">
        <v>203</v>
      </c>
      <c r="CO68" t="s">
        <v>203</v>
      </c>
      <c r="CP68" t="s">
        <v>203</v>
      </c>
      <c r="CQ68" t="s">
        <v>203</v>
      </c>
      <c r="CR68" t="s">
        <v>203</v>
      </c>
      <c r="CS68" t="s">
        <v>203</v>
      </c>
      <c r="CT68" t="s">
        <v>203</v>
      </c>
      <c r="CU68" t="s">
        <v>203</v>
      </c>
      <c r="CV68">
        <v>0</v>
      </c>
      <c r="CW68">
        <v>0</v>
      </c>
      <c r="CX68" t="s">
        <v>198</v>
      </c>
      <c r="CY68" t="s">
        <v>198</v>
      </c>
      <c r="CZ68" t="s">
        <v>198</v>
      </c>
      <c r="DA68" t="s">
        <v>198</v>
      </c>
      <c r="DB68" t="s">
        <v>198</v>
      </c>
      <c r="DC68">
        <v>0</v>
      </c>
      <c r="DD68">
        <v>0</v>
      </c>
      <c r="DE68">
        <v>0</v>
      </c>
      <c r="DF68">
        <v>0</v>
      </c>
      <c r="DG68">
        <v>-35.3631685</v>
      </c>
      <c r="DH68">
        <v>149.1644243</v>
      </c>
      <c r="DI68" t="s">
        <v>333</v>
      </c>
      <c r="DJ68">
        <v>1.2</v>
      </c>
      <c r="DK68">
        <v>2</v>
      </c>
      <c r="DL68">
        <v>278</v>
      </c>
      <c r="DM68">
        <v>0</v>
      </c>
      <c r="DN68">
        <v>6</v>
      </c>
      <c r="DO68">
        <v>10</v>
      </c>
      <c r="DP68">
        <v>0</v>
      </c>
      <c r="DQ68">
        <v>255</v>
      </c>
      <c r="DR68">
        <v>255</v>
      </c>
      <c r="DS68">
        <v>255</v>
      </c>
      <c r="DT68">
        <v>255</v>
      </c>
      <c r="DU68">
        <v>255</v>
      </c>
      <c r="DV68">
        <v>255</v>
      </c>
      <c r="DW68">
        <v>255</v>
      </c>
      <c r="DX68" t="s">
        <v>206</v>
      </c>
      <c r="DY68" t="s">
        <v>206</v>
      </c>
      <c r="DZ68" t="s">
        <v>207</v>
      </c>
      <c r="EA68" t="s">
        <v>198</v>
      </c>
      <c r="EB68" t="s">
        <v>198</v>
      </c>
      <c r="EC68" t="s">
        <v>198</v>
      </c>
      <c r="ED68">
        <v>0</v>
      </c>
      <c r="EE68">
        <v>0</v>
      </c>
      <c r="EF68">
        <v>0</v>
      </c>
      <c r="EG68">
        <v>0</v>
      </c>
      <c r="EH68">
        <v>255</v>
      </c>
      <c r="EI68">
        <v>255</v>
      </c>
      <c r="EJ68">
        <v>255</v>
      </c>
      <c r="EK68">
        <v>255</v>
      </c>
      <c r="EL68">
        <v>255</v>
      </c>
      <c r="EM68">
        <v>255</v>
      </c>
      <c r="EN68">
        <v>255</v>
      </c>
      <c r="EO68">
        <v>255</v>
      </c>
      <c r="EP68">
        <v>255</v>
      </c>
      <c r="EQ68">
        <v>255</v>
      </c>
      <c r="ER68" t="s">
        <v>208</v>
      </c>
      <c r="ES68" t="s">
        <v>209</v>
      </c>
      <c r="ET68" t="s">
        <v>209</v>
      </c>
      <c r="EU68">
        <v>0</v>
      </c>
      <c r="EV68">
        <v>10.5</v>
      </c>
      <c r="EW68">
        <v>-74.5</v>
      </c>
      <c r="EX68">
        <v>-50.2</v>
      </c>
      <c r="EY68">
        <v>0.7</v>
      </c>
      <c r="EZ68">
        <v>-4.9</v>
      </c>
      <c r="FA68">
        <v>0</v>
      </c>
      <c r="FB68" t="s">
        <v>198</v>
      </c>
      <c r="FC68" t="s">
        <v>198</v>
      </c>
      <c r="FD68" t="s">
        <v>198</v>
      </c>
      <c r="FE68" t="s">
        <v>198</v>
      </c>
      <c r="FF68" t="s">
        <v>198</v>
      </c>
      <c r="FG68" t="s">
        <v>198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 t="s">
        <v>203</v>
      </c>
      <c r="FP68" t="s">
        <v>203</v>
      </c>
      <c r="FQ68" t="s">
        <v>203</v>
      </c>
      <c r="FR68" t="s">
        <v>203</v>
      </c>
      <c r="FS68" t="s">
        <v>203</v>
      </c>
      <c r="FT68" t="s">
        <v>203</v>
      </c>
      <c r="FU68" t="s">
        <v>198</v>
      </c>
      <c r="FV68" t="s">
        <v>198</v>
      </c>
      <c r="FW68" t="s">
        <v>198</v>
      </c>
      <c r="FX68" t="s">
        <v>198</v>
      </c>
      <c r="FY68" t="s">
        <v>198</v>
      </c>
      <c r="FZ68" t="s">
        <v>198</v>
      </c>
      <c r="GA68">
        <v>30.87</v>
      </c>
      <c r="GB68">
        <v>30.87</v>
      </c>
      <c r="GC68" t="s">
        <v>203</v>
      </c>
      <c r="GD68">
        <v>0</v>
      </c>
      <c r="GE68">
        <v>504</v>
      </c>
      <c r="GF68">
        <v>0</v>
      </c>
      <c r="GG68">
        <v>0.1</v>
      </c>
      <c r="GH68">
        <v>0.5</v>
      </c>
      <c r="GI68">
        <v>0</v>
      </c>
      <c r="GJ68">
        <v>0</v>
      </c>
      <c r="GK68">
        <v>0</v>
      </c>
      <c r="GL68" t="s">
        <v>198</v>
      </c>
      <c r="GM68" t="s">
        <v>198</v>
      </c>
      <c r="GN68" t="s">
        <v>198</v>
      </c>
    </row>
    <row r="69" spans="1:196">
      <c r="A69" s="19">
        <v>46316.90467989583</v>
      </c>
      <c r="B69">
        <v>-0.2</v>
      </c>
      <c r="C69">
        <v>-0.2</v>
      </c>
      <c r="D69">
        <v>277</v>
      </c>
      <c r="E69">
        <v>0</v>
      </c>
      <c r="F69">
        <v>0</v>
      </c>
      <c r="G69">
        <v>0</v>
      </c>
      <c r="H69">
        <v>5</v>
      </c>
      <c r="I69">
        <v>5</v>
      </c>
      <c r="J69">
        <v>4.998</v>
      </c>
      <c r="K69">
        <v>0</v>
      </c>
      <c r="L69">
        <v>50</v>
      </c>
      <c r="M69">
        <v>634.2</v>
      </c>
      <c r="N69">
        <v>49.2</v>
      </c>
      <c r="O69">
        <v>49.99</v>
      </c>
      <c r="P69">
        <v>50</v>
      </c>
      <c r="Q69">
        <v>0.006</v>
      </c>
      <c r="R69">
        <v>0</v>
      </c>
      <c r="S69">
        <v>78.90000000000001</v>
      </c>
      <c r="T69" t="s">
        <v>334</v>
      </c>
      <c r="U69">
        <v>80.09999999999999</v>
      </c>
      <c r="V69">
        <v>16</v>
      </c>
      <c r="W69">
        <v>2</v>
      </c>
      <c r="X69">
        <v>278</v>
      </c>
      <c r="Y69">
        <v>35</v>
      </c>
      <c r="Z69">
        <v>98</v>
      </c>
      <c r="AA69">
        <v>278</v>
      </c>
      <c r="AB69" t="s">
        <v>197</v>
      </c>
      <c r="AC69" t="s">
        <v>198</v>
      </c>
      <c r="AD69" t="s">
        <v>199</v>
      </c>
      <c r="AE69">
        <v>33</v>
      </c>
      <c r="AF69">
        <v>44</v>
      </c>
      <c r="AG69">
        <v>255</v>
      </c>
      <c r="AH69">
        <v>0</v>
      </c>
      <c r="AI69">
        <v>0</v>
      </c>
      <c r="AJ69">
        <v>0</v>
      </c>
      <c r="AK69">
        <v>12.6</v>
      </c>
      <c r="AL69">
        <v>0</v>
      </c>
      <c r="AM69">
        <v>0</v>
      </c>
      <c r="AN69" t="s">
        <v>197</v>
      </c>
      <c r="AO69">
        <v>100</v>
      </c>
      <c r="AP69" t="s">
        <v>197</v>
      </c>
      <c r="AQ69" t="s">
        <v>200</v>
      </c>
      <c r="AR69">
        <v>1</v>
      </c>
      <c r="AS69">
        <v>0</v>
      </c>
      <c r="AT69" t="s">
        <v>335</v>
      </c>
      <c r="AU69" t="s">
        <v>335</v>
      </c>
      <c r="AV69" t="s">
        <v>202</v>
      </c>
      <c r="AW69" t="s">
        <v>203</v>
      </c>
      <c r="AX69" t="s">
        <v>203</v>
      </c>
      <c r="AY69" t="s">
        <v>203</v>
      </c>
      <c r="AZ69" t="s">
        <v>203</v>
      </c>
      <c r="BA69" t="s">
        <v>203</v>
      </c>
      <c r="BB69" t="s">
        <v>203</v>
      </c>
      <c r="BC69" t="s">
        <v>203</v>
      </c>
      <c r="BD69" t="s">
        <v>203</v>
      </c>
      <c r="BE69" t="s">
        <v>203</v>
      </c>
      <c r="BF69">
        <v>47.76</v>
      </c>
      <c r="BG69">
        <v>0.2</v>
      </c>
      <c r="BH69">
        <v>50</v>
      </c>
      <c r="BI69">
        <v>0</v>
      </c>
      <c r="BJ69" t="s">
        <v>198</v>
      </c>
      <c r="BK69" t="s">
        <v>198</v>
      </c>
      <c r="BL69" t="s">
        <v>198</v>
      </c>
      <c r="BM69" t="s">
        <v>198</v>
      </c>
      <c r="BN69" t="s">
        <v>198</v>
      </c>
      <c r="BO69" t="s">
        <v>198</v>
      </c>
      <c r="BP69" t="s">
        <v>198</v>
      </c>
      <c r="BQ69" t="s">
        <v>198</v>
      </c>
      <c r="BR69" t="s">
        <v>198</v>
      </c>
      <c r="BS69" t="s">
        <v>198</v>
      </c>
      <c r="BT69" t="s">
        <v>198</v>
      </c>
      <c r="BU69" t="s">
        <v>198</v>
      </c>
      <c r="BV69" t="s">
        <v>198</v>
      </c>
      <c r="BW69" t="s">
        <v>198</v>
      </c>
      <c r="BX69" t="s">
        <v>198</v>
      </c>
      <c r="BY69" t="s">
        <v>198</v>
      </c>
      <c r="BZ69" t="s">
        <v>198</v>
      </c>
      <c r="CA69" t="s">
        <v>198</v>
      </c>
      <c r="CB69" t="s">
        <v>204</v>
      </c>
      <c r="CC69" t="s">
        <v>204</v>
      </c>
      <c r="CD69" t="s">
        <v>204</v>
      </c>
      <c r="CE69" t="s">
        <v>204</v>
      </c>
      <c r="CF69" t="s">
        <v>204</v>
      </c>
      <c r="CG69" t="s">
        <v>204</v>
      </c>
      <c r="CH69" t="s">
        <v>204</v>
      </c>
      <c r="CI69" t="s">
        <v>204</v>
      </c>
      <c r="CJ69" t="s">
        <v>204</v>
      </c>
      <c r="CK69" t="s">
        <v>204</v>
      </c>
      <c r="CL69" t="s">
        <v>204</v>
      </c>
      <c r="CM69" t="s">
        <v>204</v>
      </c>
      <c r="CN69" t="s">
        <v>203</v>
      </c>
      <c r="CO69" t="s">
        <v>203</v>
      </c>
      <c r="CP69" t="s">
        <v>203</v>
      </c>
      <c r="CQ69" t="s">
        <v>203</v>
      </c>
      <c r="CR69" t="s">
        <v>203</v>
      </c>
      <c r="CS69" t="s">
        <v>203</v>
      </c>
      <c r="CT69" t="s">
        <v>203</v>
      </c>
      <c r="CU69" t="s">
        <v>203</v>
      </c>
      <c r="CV69">
        <v>0</v>
      </c>
      <c r="CW69">
        <v>0</v>
      </c>
      <c r="CX69" t="s">
        <v>198</v>
      </c>
      <c r="CY69" t="s">
        <v>198</v>
      </c>
      <c r="CZ69" t="s">
        <v>198</v>
      </c>
      <c r="DA69" t="s">
        <v>198</v>
      </c>
      <c r="DB69" t="s">
        <v>198</v>
      </c>
      <c r="DC69">
        <v>0</v>
      </c>
      <c r="DD69">
        <v>0</v>
      </c>
      <c r="DE69">
        <v>0</v>
      </c>
      <c r="DF69">
        <v>0</v>
      </c>
      <c r="DG69">
        <v>-35.3631622</v>
      </c>
      <c r="DH69">
        <v>149.1643697</v>
      </c>
      <c r="DI69" t="s">
        <v>336</v>
      </c>
      <c r="DJ69">
        <v>1.2</v>
      </c>
      <c r="DK69">
        <v>2</v>
      </c>
      <c r="DL69">
        <v>278.1</v>
      </c>
      <c r="DM69">
        <v>0</v>
      </c>
      <c r="DN69">
        <v>6</v>
      </c>
      <c r="DO69">
        <v>10</v>
      </c>
      <c r="DP69">
        <v>0</v>
      </c>
      <c r="DQ69">
        <v>255</v>
      </c>
      <c r="DR69">
        <v>255</v>
      </c>
      <c r="DS69">
        <v>255</v>
      </c>
      <c r="DT69">
        <v>255</v>
      </c>
      <c r="DU69">
        <v>255</v>
      </c>
      <c r="DV69">
        <v>255</v>
      </c>
      <c r="DW69">
        <v>255</v>
      </c>
      <c r="DX69" t="s">
        <v>206</v>
      </c>
      <c r="DY69" t="s">
        <v>206</v>
      </c>
      <c r="DZ69" t="s">
        <v>207</v>
      </c>
      <c r="EA69" t="s">
        <v>198</v>
      </c>
      <c r="EB69" t="s">
        <v>198</v>
      </c>
      <c r="EC69" t="s">
        <v>198</v>
      </c>
      <c r="ED69">
        <v>0</v>
      </c>
      <c r="EE69">
        <v>0</v>
      </c>
      <c r="EF69">
        <v>0</v>
      </c>
      <c r="EG69">
        <v>0</v>
      </c>
      <c r="EH69">
        <v>255</v>
      </c>
      <c r="EI69">
        <v>255</v>
      </c>
      <c r="EJ69">
        <v>255</v>
      </c>
      <c r="EK69">
        <v>255</v>
      </c>
      <c r="EL69">
        <v>255</v>
      </c>
      <c r="EM69">
        <v>255</v>
      </c>
      <c r="EN69">
        <v>255</v>
      </c>
      <c r="EO69">
        <v>255</v>
      </c>
      <c r="EP69">
        <v>255</v>
      </c>
      <c r="EQ69">
        <v>255</v>
      </c>
      <c r="ER69" t="s">
        <v>208</v>
      </c>
      <c r="ES69" t="s">
        <v>209</v>
      </c>
      <c r="ET69" t="s">
        <v>209</v>
      </c>
      <c r="EU69">
        <v>0</v>
      </c>
      <c r="EV69">
        <v>11.2</v>
      </c>
      <c r="EW69">
        <v>-79.40000000000001</v>
      </c>
      <c r="EX69">
        <v>-50.2</v>
      </c>
      <c r="EY69">
        <v>0.7</v>
      </c>
      <c r="EZ69">
        <v>-4.9</v>
      </c>
      <c r="FA69">
        <v>0</v>
      </c>
      <c r="FB69" t="s">
        <v>198</v>
      </c>
      <c r="FC69" t="s">
        <v>198</v>
      </c>
      <c r="FD69" t="s">
        <v>198</v>
      </c>
      <c r="FE69" t="s">
        <v>198</v>
      </c>
      <c r="FF69" t="s">
        <v>198</v>
      </c>
      <c r="FG69" t="s">
        <v>198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 t="s">
        <v>203</v>
      </c>
      <c r="FP69" t="s">
        <v>203</v>
      </c>
      <c r="FQ69" t="s">
        <v>203</v>
      </c>
      <c r="FR69" t="s">
        <v>203</v>
      </c>
      <c r="FS69" t="s">
        <v>203</v>
      </c>
      <c r="FT69" t="s">
        <v>203</v>
      </c>
      <c r="FU69" t="s">
        <v>198</v>
      </c>
      <c r="FV69" t="s">
        <v>198</v>
      </c>
      <c r="FW69" t="s">
        <v>198</v>
      </c>
      <c r="FX69" t="s">
        <v>198</v>
      </c>
      <c r="FY69" t="s">
        <v>198</v>
      </c>
      <c r="FZ69" t="s">
        <v>198</v>
      </c>
      <c r="GA69">
        <v>30.87</v>
      </c>
      <c r="GB69">
        <v>30.87</v>
      </c>
      <c r="GC69" t="s">
        <v>203</v>
      </c>
      <c r="GD69">
        <v>0</v>
      </c>
      <c r="GE69">
        <v>504</v>
      </c>
      <c r="GF69">
        <v>0</v>
      </c>
      <c r="GG69">
        <v>0.1</v>
      </c>
      <c r="GH69">
        <v>0.5</v>
      </c>
      <c r="GI69">
        <v>0</v>
      </c>
      <c r="GJ69">
        <v>0</v>
      </c>
      <c r="GK69">
        <v>0</v>
      </c>
      <c r="GL69" t="s">
        <v>198</v>
      </c>
      <c r="GM69" t="s">
        <v>198</v>
      </c>
      <c r="GN69" t="s">
        <v>198</v>
      </c>
    </row>
    <row r="70" spans="1:196">
      <c r="A70" s="19">
        <v>46316.90469146991</v>
      </c>
      <c r="B70">
        <v>0.1</v>
      </c>
      <c r="C70">
        <v>-0.2</v>
      </c>
      <c r="D70">
        <v>277</v>
      </c>
      <c r="E70">
        <v>0</v>
      </c>
      <c r="F70">
        <v>0</v>
      </c>
      <c r="G70">
        <v>0</v>
      </c>
      <c r="H70">
        <v>5</v>
      </c>
      <c r="I70">
        <v>5</v>
      </c>
      <c r="J70">
        <v>4.999</v>
      </c>
      <c r="K70">
        <v>0</v>
      </c>
      <c r="L70">
        <v>50</v>
      </c>
      <c r="M70">
        <v>634.2</v>
      </c>
      <c r="N70">
        <v>49.2</v>
      </c>
      <c r="O70">
        <v>49.99</v>
      </c>
      <c r="P70">
        <v>50</v>
      </c>
      <c r="Q70">
        <v>0.002</v>
      </c>
      <c r="R70">
        <v>0</v>
      </c>
      <c r="S70">
        <v>83.90000000000001</v>
      </c>
      <c r="T70" t="s">
        <v>337</v>
      </c>
      <c r="U70">
        <v>85.09999999999999</v>
      </c>
      <c r="V70">
        <v>17</v>
      </c>
      <c r="W70">
        <v>2</v>
      </c>
      <c r="X70">
        <v>278</v>
      </c>
      <c r="Y70">
        <v>30</v>
      </c>
      <c r="Z70">
        <v>98</v>
      </c>
      <c r="AA70">
        <v>278</v>
      </c>
      <c r="AB70" t="s">
        <v>197</v>
      </c>
      <c r="AC70" t="s">
        <v>198</v>
      </c>
      <c r="AD70" t="s">
        <v>199</v>
      </c>
      <c r="AE70">
        <v>33</v>
      </c>
      <c r="AF70">
        <v>44</v>
      </c>
      <c r="AG70">
        <v>255</v>
      </c>
      <c r="AH70">
        <v>0</v>
      </c>
      <c r="AI70">
        <v>0</v>
      </c>
      <c r="AJ70">
        <v>0</v>
      </c>
      <c r="AK70">
        <v>12.6</v>
      </c>
      <c r="AL70">
        <v>0</v>
      </c>
      <c r="AM70">
        <v>0</v>
      </c>
      <c r="AN70" t="s">
        <v>197</v>
      </c>
      <c r="AO70">
        <v>100</v>
      </c>
      <c r="AP70" t="s">
        <v>197</v>
      </c>
      <c r="AQ70" t="s">
        <v>200</v>
      </c>
      <c r="AR70">
        <v>1</v>
      </c>
      <c r="AS70">
        <v>0</v>
      </c>
      <c r="AT70" t="s">
        <v>338</v>
      </c>
      <c r="AU70" t="s">
        <v>338</v>
      </c>
      <c r="AV70" t="s">
        <v>202</v>
      </c>
      <c r="AW70" t="s">
        <v>203</v>
      </c>
      <c r="AX70" t="s">
        <v>203</v>
      </c>
      <c r="AY70" t="s">
        <v>203</v>
      </c>
      <c r="AZ70" t="s">
        <v>203</v>
      </c>
      <c r="BA70" t="s">
        <v>203</v>
      </c>
      <c r="BB70" t="s">
        <v>203</v>
      </c>
      <c r="BC70" t="s">
        <v>203</v>
      </c>
      <c r="BD70" t="s">
        <v>203</v>
      </c>
      <c r="BE70" t="s">
        <v>203</v>
      </c>
      <c r="BF70">
        <v>47.71</v>
      </c>
      <c r="BG70">
        <v>0.2</v>
      </c>
      <c r="BH70">
        <v>50</v>
      </c>
      <c r="BI70">
        <v>0</v>
      </c>
      <c r="BJ70" t="s">
        <v>198</v>
      </c>
      <c r="BK70" t="s">
        <v>198</v>
      </c>
      <c r="BL70" t="s">
        <v>198</v>
      </c>
      <c r="BM70" t="s">
        <v>198</v>
      </c>
      <c r="BN70" t="s">
        <v>198</v>
      </c>
      <c r="BO70" t="s">
        <v>198</v>
      </c>
      <c r="BP70" t="s">
        <v>198</v>
      </c>
      <c r="BQ70" t="s">
        <v>198</v>
      </c>
      <c r="BR70" t="s">
        <v>198</v>
      </c>
      <c r="BS70" t="s">
        <v>198</v>
      </c>
      <c r="BT70" t="s">
        <v>198</v>
      </c>
      <c r="BU70" t="s">
        <v>198</v>
      </c>
      <c r="BV70" t="s">
        <v>198</v>
      </c>
      <c r="BW70" t="s">
        <v>198</v>
      </c>
      <c r="BX70" t="s">
        <v>198</v>
      </c>
      <c r="BY70" t="s">
        <v>198</v>
      </c>
      <c r="BZ70" t="s">
        <v>198</v>
      </c>
      <c r="CA70" t="s">
        <v>198</v>
      </c>
      <c r="CB70" t="s">
        <v>204</v>
      </c>
      <c r="CC70" t="s">
        <v>204</v>
      </c>
      <c r="CD70" t="s">
        <v>204</v>
      </c>
      <c r="CE70" t="s">
        <v>204</v>
      </c>
      <c r="CF70" t="s">
        <v>204</v>
      </c>
      <c r="CG70" t="s">
        <v>204</v>
      </c>
      <c r="CH70" t="s">
        <v>204</v>
      </c>
      <c r="CI70" t="s">
        <v>204</v>
      </c>
      <c r="CJ70" t="s">
        <v>204</v>
      </c>
      <c r="CK70" t="s">
        <v>204</v>
      </c>
      <c r="CL70" t="s">
        <v>204</v>
      </c>
      <c r="CM70" t="s">
        <v>204</v>
      </c>
      <c r="CN70" t="s">
        <v>203</v>
      </c>
      <c r="CO70" t="s">
        <v>203</v>
      </c>
      <c r="CP70" t="s">
        <v>203</v>
      </c>
      <c r="CQ70" t="s">
        <v>203</v>
      </c>
      <c r="CR70" t="s">
        <v>203</v>
      </c>
      <c r="CS70" t="s">
        <v>203</v>
      </c>
      <c r="CT70" t="s">
        <v>203</v>
      </c>
      <c r="CU70" t="s">
        <v>203</v>
      </c>
      <c r="CV70">
        <v>0</v>
      </c>
      <c r="CW70">
        <v>0</v>
      </c>
      <c r="CX70" t="s">
        <v>198</v>
      </c>
      <c r="CY70" t="s">
        <v>198</v>
      </c>
      <c r="CZ70" t="s">
        <v>198</v>
      </c>
      <c r="DA70" t="s">
        <v>198</v>
      </c>
      <c r="DB70" t="s">
        <v>198</v>
      </c>
      <c r="DC70">
        <v>0</v>
      </c>
      <c r="DD70">
        <v>0</v>
      </c>
      <c r="DE70">
        <v>0</v>
      </c>
      <c r="DF70">
        <v>0</v>
      </c>
      <c r="DG70">
        <v>-35.3631559</v>
      </c>
      <c r="DH70">
        <v>149.1643152</v>
      </c>
      <c r="DI70" t="s">
        <v>339</v>
      </c>
      <c r="DJ70">
        <v>1.2</v>
      </c>
      <c r="DK70">
        <v>2</v>
      </c>
      <c r="DL70">
        <v>278</v>
      </c>
      <c r="DM70">
        <v>0</v>
      </c>
      <c r="DN70">
        <v>6</v>
      </c>
      <c r="DO70">
        <v>10</v>
      </c>
      <c r="DP70">
        <v>0</v>
      </c>
      <c r="DQ70">
        <v>255</v>
      </c>
      <c r="DR70">
        <v>255</v>
      </c>
      <c r="DS70">
        <v>255</v>
      </c>
      <c r="DT70">
        <v>255</v>
      </c>
      <c r="DU70">
        <v>255</v>
      </c>
      <c r="DV70">
        <v>255</v>
      </c>
      <c r="DW70">
        <v>255</v>
      </c>
      <c r="DX70" t="s">
        <v>206</v>
      </c>
      <c r="DY70" t="s">
        <v>206</v>
      </c>
      <c r="DZ70" t="s">
        <v>207</v>
      </c>
      <c r="EA70" t="s">
        <v>198</v>
      </c>
      <c r="EB70" t="s">
        <v>198</v>
      </c>
      <c r="EC70" t="s">
        <v>198</v>
      </c>
      <c r="ED70">
        <v>0</v>
      </c>
      <c r="EE70">
        <v>0</v>
      </c>
      <c r="EF70">
        <v>0</v>
      </c>
      <c r="EG70">
        <v>0</v>
      </c>
      <c r="EH70">
        <v>255</v>
      </c>
      <c r="EI70">
        <v>255</v>
      </c>
      <c r="EJ70">
        <v>255</v>
      </c>
      <c r="EK70">
        <v>255</v>
      </c>
      <c r="EL70">
        <v>255</v>
      </c>
      <c r="EM70">
        <v>255</v>
      </c>
      <c r="EN70">
        <v>255</v>
      </c>
      <c r="EO70">
        <v>255</v>
      </c>
      <c r="EP70">
        <v>255</v>
      </c>
      <c r="EQ70">
        <v>255</v>
      </c>
      <c r="ER70" t="s">
        <v>208</v>
      </c>
      <c r="ES70" t="s">
        <v>209</v>
      </c>
      <c r="ET70" t="s">
        <v>209</v>
      </c>
      <c r="EU70">
        <v>0</v>
      </c>
      <c r="EV70">
        <v>11.9</v>
      </c>
      <c r="EW70">
        <v>-84.40000000000001</v>
      </c>
      <c r="EX70">
        <v>-50.2</v>
      </c>
      <c r="EY70">
        <v>0.7</v>
      </c>
      <c r="EZ70">
        <v>-5</v>
      </c>
      <c r="FA70">
        <v>0</v>
      </c>
      <c r="FB70" t="s">
        <v>198</v>
      </c>
      <c r="FC70" t="s">
        <v>198</v>
      </c>
      <c r="FD70" t="s">
        <v>198</v>
      </c>
      <c r="FE70" t="s">
        <v>198</v>
      </c>
      <c r="FF70" t="s">
        <v>198</v>
      </c>
      <c r="FG70" t="s">
        <v>198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 t="s">
        <v>203</v>
      </c>
      <c r="FP70" t="s">
        <v>203</v>
      </c>
      <c r="FQ70" t="s">
        <v>203</v>
      </c>
      <c r="FR70" t="s">
        <v>203</v>
      </c>
      <c r="FS70" t="s">
        <v>203</v>
      </c>
      <c r="FT70" t="s">
        <v>203</v>
      </c>
      <c r="FU70" t="s">
        <v>198</v>
      </c>
      <c r="FV70" t="s">
        <v>198</v>
      </c>
      <c r="FW70" t="s">
        <v>198</v>
      </c>
      <c r="FX70" t="s">
        <v>198</v>
      </c>
      <c r="FY70" t="s">
        <v>198</v>
      </c>
      <c r="FZ70" t="s">
        <v>198</v>
      </c>
      <c r="GA70">
        <v>30.87</v>
      </c>
      <c r="GB70">
        <v>30.87</v>
      </c>
      <c r="GC70" t="s">
        <v>203</v>
      </c>
      <c r="GD70">
        <v>0</v>
      </c>
      <c r="GE70">
        <v>504</v>
      </c>
      <c r="GF70">
        <v>0</v>
      </c>
      <c r="GG70">
        <v>0.1</v>
      </c>
      <c r="GH70">
        <v>0.5</v>
      </c>
      <c r="GI70">
        <v>0</v>
      </c>
      <c r="GJ70">
        <v>0</v>
      </c>
      <c r="GK70">
        <v>0</v>
      </c>
      <c r="GL70" t="s">
        <v>198</v>
      </c>
      <c r="GM70" t="s">
        <v>198</v>
      </c>
      <c r="GN70" t="s">
        <v>198</v>
      </c>
    </row>
    <row r="71" spans="1:196">
      <c r="A71" s="19">
        <v>46316.90470304398</v>
      </c>
      <c r="B71">
        <v>0.2</v>
      </c>
      <c r="C71">
        <v>-0.2</v>
      </c>
      <c r="D71">
        <v>277</v>
      </c>
      <c r="E71">
        <v>0</v>
      </c>
      <c r="F71">
        <v>0</v>
      </c>
      <c r="G71">
        <v>0</v>
      </c>
      <c r="H71">
        <v>5</v>
      </c>
      <c r="I71">
        <v>5</v>
      </c>
      <c r="J71">
        <v>4.999</v>
      </c>
      <c r="K71">
        <v>0</v>
      </c>
      <c r="L71">
        <v>50</v>
      </c>
      <c r="M71">
        <v>634.2</v>
      </c>
      <c r="N71">
        <v>49.2</v>
      </c>
      <c r="O71">
        <v>49.99</v>
      </c>
      <c r="P71">
        <v>50</v>
      </c>
      <c r="Q71">
        <v>0</v>
      </c>
      <c r="R71">
        <v>0</v>
      </c>
      <c r="S71">
        <v>88.90000000000001</v>
      </c>
      <c r="T71" t="s">
        <v>340</v>
      </c>
      <c r="U71">
        <v>90.09999999999999</v>
      </c>
      <c r="V71">
        <v>18</v>
      </c>
      <c r="W71">
        <v>2</v>
      </c>
      <c r="X71">
        <v>278</v>
      </c>
      <c r="Y71">
        <v>25</v>
      </c>
      <c r="Z71">
        <v>98</v>
      </c>
      <c r="AA71">
        <v>278</v>
      </c>
      <c r="AB71" t="s">
        <v>197</v>
      </c>
      <c r="AC71" t="s">
        <v>198</v>
      </c>
      <c r="AD71" t="s">
        <v>199</v>
      </c>
      <c r="AE71">
        <v>33</v>
      </c>
      <c r="AF71">
        <v>44</v>
      </c>
      <c r="AG71">
        <v>255</v>
      </c>
      <c r="AH71">
        <v>0</v>
      </c>
      <c r="AI71">
        <v>0</v>
      </c>
      <c r="AJ71">
        <v>0</v>
      </c>
      <c r="AK71">
        <v>12.6</v>
      </c>
      <c r="AL71">
        <v>0</v>
      </c>
      <c r="AM71">
        <v>0</v>
      </c>
      <c r="AN71" t="s">
        <v>197</v>
      </c>
      <c r="AO71">
        <v>100</v>
      </c>
      <c r="AP71" t="s">
        <v>197</v>
      </c>
      <c r="AQ71" t="s">
        <v>200</v>
      </c>
      <c r="AR71">
        <v>1</v>
      </c>
      <c r="AS71">
        <v>0</v>
      </c>
      <c r="AT71" t="s">
        <v>341</v>
      </c>
      <c r="AU71" t="s">
        <v>341</v>
      </c>
      <c r="AV71" t="s">
        <v>202</v>
      </c>
      <c r="AW71" t="s">
        <v>203</v>
      </c>
      <c r="AX71" t="s">
        <v>203</v>
      </c>
      <c r="AY71" t="s">
        <v>203</v>
      </c>
      <c r="AZ71" t="s">
        <v>203</v>
      </c>
      <c r="BA71" t="s">
        <v>203</v>
      </c>
      <c r="BB71" t="s">
        <v>203</v>
      </c>
      <c r="BC71" t="s">
        <v>203</v>
      </c>
      <c r="BD71" t="s">
        <v>203</v>
      </c>
      <c r="BE71" t="s">
        <v>203</v>
      </c>
      <c r="BF71">
        <v>47.66</v>
      </c>
      <c r="BG71">
        <v>0.2</v>
      </c>
      <c r="BH71">
        <v>50</v>
      </c>
      <c r="BI71">
        <v>0</v>
      </c>
      <c r="BJ71" t="s">
        <v>198</v>
      </c>
      <c r="BK71" t="s">
        <v>198</v>
      </c>
      <c r="BL71" t="s">
        <v>198</v>
      </c>
      <c r="BM71" t="s">
        <v>198</v>
      </c>
      <c r="BN71" t="s">
        <v>198</v>
      </c>
      <c r="BO71" t="s">
        <v>198</v>
      </c>
      <c r="BP71" t="s">
        <v>198</v>
      </c>
      <c r="BQ71" t="s">
        <v>198</v>
      </c>
      <c r="BR71" t="s">
        <v>198</v>
      </c>
      <c r="BS71" t="s">
        <v>198</v>
      </c>
      <c r="BT71" t="s">
        <v>198</v>
      </c>
      <c r="BU71" t="s">
        <v>198</v>
      </c>
      <c r="BV71" t="s">
        <v>198</v>
      </c>
      <c r="BW71" t="s">
        <v>198</v>
      </c>
      <c r="BX71" t="s">
        <v>198</v>
      </c>
      <c r="BY71" t="s">
        <v>198</v>
      </c>
      <c r="BZ71" t="s">
        <v>198</v>
      </c>
      <c r="CA71" t="s">
        <v>198</v>
      </c>
      <c r="CB71" t="s">
        <v>204</v>
      </c>
      <c r="CC71" t="s">
        <v>204</v>
      </c>
      <c r="CD71" t="s">
        <v>204</v>
      </c>
      <c r="CE71" t="s">
        <v>204</v>
      </c>
      <c r="CF71" t="s">
        <v>204</v>
      </c>
      <c r="CG71" t="s">
        <v>204</v>
      </c>
      <c r="CH71" t="s">
        <v>204</v>
      </c>
      <c r="CI71" t="s">
        <v>204</v>
      </c>
      <c r="CJ71" t="s">
        <v>204</v>
      </c>
      <c r="CK71" t="s">
        <v>204</v>
      </c>
      <c r="CL71" t="s">
        <v>204</v>
      </c>
      <c r="CM71" t="s">
        <v>204</v>
      </c>
      <c r="CN71" t="s">
        <v>203</v>
      </c>
      <c r="CO71" t="s">
        <v>203</v>
      </c>
      <c r="CP71" t="s">
        <v>203</v>
      </c>
      <c r="CQ71" t="s">
        <v>203</v>
      </c>
      <c r="CR71" t="s">
        <v>203</v>
      </c>
      <c r="CS71" t="s">
        <v>203</v>
      </c>
      <c r="CT71" t="s">
        <v>203</v>
      </c>
      <c r="CU71" t="s">
        <v>203</v>
      </c>
      <c r="CV71">
        <v>0</v>
      </c>
      <c r="CW71">
        <v>0</v>
      </c>
      <c r="CX71" t="s">
        <v>198</v>
      </c>
      <c r="CY71" t="s">
        <v>198</v>
      </c>
      <c r="CZ71" t="s">
        <v>198</v>
      </c>
      <c r="DA71" t="s">
        <v>198</v>
      </c>
      <c r="DB71" t="s">
        <v>198</v>
      </c>
      <c r="DC71">
        <v>0</v>
      </c>
      <c r="DD71">
        <v>0</v>
      </c>
      <c r="DE71">
        <v>0</v>
      </c>
      <c r="DF71">
        <v>0</v>
      </c>
      <c r="DG71">
        <v>-35.3631497</v>
      </c>
      <c r="DH71">
        <v>149.1642607</v>
      </c>
      <c r="DI71" t="s">
        <v>342</v>
      </c>
      <c r="DJ71">
        <v>1.2</v>
      </c>
      <c r="DK71">
        <v>2</v>
      </c>
      <c r="DL71">
        <v>278</v>
      </c>
      <c r="DM71">
        <v>0</v>
      </c>
      <c r="DN71">
        <v>6</v>
      </c>
      <c r="DO71">
        <v>10</v>
      </c>
      <c r="DP71">
        <v>0</v>
      </c>
      <c r="DQ71">
        <v>255</v>
      </c>
      <c r="DR71">
        <v>255</v>
      </c>
      <c r="DS71">
        <v>255</v>
      </c>
      <c r="DT71">
        <v>255</v>
      </c>
      <c r="DU71">
        <v>255</v>
      </c>
      <c r="DV71">
        <v>255</v>
      </c>
      <c r="DW71">
        <v>255</v>
      </c>
      <c r="DX71" t="s">
        <v>206</v>
      </c>
      <c r="DY71" t="s">
        <v>206</v>
      </c>
      <c r="DZ71" t="s">
        <v>207</v>
      </c>
      <c r="EA71" t="s">
        <v>198</v>
      </c>
      <c r="EB71" t="s">
        <v>198</v>
      </c>
      <c r="EC71" t="s">
        <v>198</v>
      </c>
      <c r="ED71">
        <v>0</v>
      </c>
      <c r="EE71">
        <v>0</v>
      </c>
      <c r="EF71">
        <v>0</v>
      </c>
      <c r="EG71">
        <v>0</v>
      </c>
      <c r="EH71">
        <v>255</v>
      </c>
      <c r="EI71">
        <v>255</v>
      </c>
      <c r="EJ71">
        <v>255</v>
      </c>
      <c r="EK71">
        <v>255</v>
      </c>
      <c r="EL71">
        <v>255</v>
      </c>
      <c r="EM71">
        <v>255</v>
      </c>
      <c r="EN71">
        <v>255</v>
      </c>
      <c r="EO71">
        <v>255</v>
      </c>
      <c r="EP71">
        <v>255</v>
      </c>
      <c r="EQ71">
        <v>255</v>
      </c>
      <c r="ER71" t="s">
        <v>208</v>
      </c>
      <c r="ES71" t="s">
        <v>209</v>
      </c>
      <c r="ET71" t="s">
        <v>209</v>
      </c>
      <c r="EU71">
        <v>0</v>
      </c>
      <c r="EV71">
        <v>12.6</v>
      </c>
      <c r="EW71">
        <v>-89.3</v>
      </c>
      <c r="EX71">
        <v>-50.2</v>
      </c>
      <c r="EY71">
        <v>0.7</v>
      </c>
      <c r="EZ71">
        <v>-5</v>
      </c>
      <c r="FA71">
        <v>0</v>
      </c>
      <c r="FB71" t="s">
        <v>198</v>
      </c>
      <c r="FC71" t="s">
        <v>198</v>
      </c>
      <c r="FD71" t="s">
        <v>198</v>
      </c>
      <c r="FE71" t="s">
        <v>198</v>
      </c>
      <c r="FF71" t="s">
        <v>198</v>
      </c>
      <c r="FG71" t="s">
        <v>198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 t="s">
        <v>203</v>
      </c>
      <c r="FP71" t="s">
        <v>203</v>
      </c>
      <c r="FQ71" t="s">
        <v>203</v>
      </c>
      <c r="FR71" t="s">
        <v>203</v>
      </c>
      <c r="FS71" t="s">
        <v>203</v>
      </c>
      <c r="FT71" t="s">
        <v>203</v>
      </c>
      <c r="FU71" t="s">
        <v>198</v>
      </c>
      <c r="FV71" t="s">
        <v>198</v>
      </c>
      <c r="FW71" t="s">
        <v>198</v>
      </c>
      <c r="FX71" t="s">
        <v>198</v>
      </c>
      <c r="FY71" t="s">
        <v>198</v>
      </c>
      <c r="FZ71" t="s">
        <v>198</v>
      </c>
      <c r="GA71">
        <v>30.87</v>
      </c>
      <c r="GB71">
        <v>30.87</v>
      </c>
      <c r="GC71" t="s">
        <v>203</v>
      </c>
      <c r="GD71">
        <v>0</v>
      </c>
      <c r="GE71">
        <v>504</v>
      </c>
      <c r="GF71">
        <v>0</v>
      </c>
      <c r="GG71">
        <v>0.1</v>
      </c>
      <c r="GH71">
        <v>0.5</v>
      </c>
      <c r="GI71">
        <v>0</v>
      </c>
      <c r="GJ71">
        <v>0</v>
      </c>
      <c r="GK71">
        <v>0</v>
      </c>
      <c r="GL71" t="s">
        <v>198</v>
      </c>
      <c r="GM71" t="s">
        <v>198</v>
      </c>
      <c r="GN71" t="s">
        <v>198</v>
      </c>
    </row>
    <row r="72" spans="1:196">
      <c r="A72" s="19">
        <v>46316.90471461805</v>
      </c>
      <c r="B72">
        <v>-0.3</v>
      </c>
      <c r="C72">
        <v>-0.2</v>
      </c>
      <c r="D72">
        <v>277</v>
      </c>
      <c r="E72">
        <v>0</v>
      </c>
      <c r="F72">
        <v>0</v>
      </c>
      <c r="G72">
        <v>0</v>
      </c>
      <c r="H72">
        <v>5</v>
      </c>
      <c r="I72">
        <v>5</v>
      </c>
      <c r="J72">
        <v>5.001</v>
      </c>
      <c r="K72">
        <v>0</v>
      </c>
      <c r="L72">
        <v>50</v>
      </c>
      <c r="M72">
        <v>634.2</v>
      </c>
      <c r="N72">
        <v>49.2</v>
      </c>
      <c r="O72">
        <v>50</v>
      </c>
      <c r="P72">
        <v>50</v>
      </c>
      <c r="Q72">
        <v>0.001</v>
      </c>
      <c r="R72">
        <v>0</v>
      </c>
      <c r="S72">
        <v>93.90000000000001</v>
      </c>
      <c r="T72" t="s">
        <v>343</v>
      </c>
      <c r="U72">
        <v>95.09999999999999</v>
      </c>
      <c r="V72">
        <v>19</v>
      </c>
      <c r="W72">
        <v>2</v>
      </c>
      <c r="X72">
        <v>278</v>
      </c>
      <c r="Y72">
        <v>20</v>
      </c>
      <c r="Z72">
        <v>98</v>
      </c>
      <c r="AA72">
        <v>278</v>
      </c>
      <c r="AB72" t="s">
        <v>197</v>
      </c>
      <c r="AC72" t="s">
        <v>198</v>
      </c>
      <c r="AD72" t="s">
        <v>199</v>
      </c>
      <c r="AE72">
        <v>33</v>
      </c>
      <c r="AF72">
        <v>44</v>
      </c>
      <c r="AG72">
        <v>255</v>
      </c>
      <c r="AH72">
        <v>0</v>
      </c>
      <c r="AI72">
        <v>0</v>
      </c>
      <c r="AJ72">
        <v>0</v>
      </c>
      <c r="AK72">
        <v>12.6</v>
      </c>
      <c r="AL72">
        <v>0</v>
      </c>
      <c r="AM72">
        <v>0</v>
      </c>
      <c r="AN72" t="s">
        <v>197</v>
      </c>
      <c r="AO72">
        <v>100</v>
      </c>
      <c r="AP72" t="s">
        <v>197</v>
      </c>
      <c r="AQ72" t="s">
        <v>200</v>
      </c>
      <c r="AR72">
        <v>1</v>
      </c>
      <c r="AS72">
        <v>0</v>
      </c>
      <c r="AT72" t="s">
        <v>344</v>
      </c>
      <c r="AU72" t="s">
        <v>344</v>
      </c>
      <c r="AV72" t="s">
        <v>202</v>
      </c>
      <c r="AW72" t="s">
        <v>203</v>
      </c>
      <c r="AX72" t="s">
        <v>203</v>
      </c>
      <c r="AY72" t="s">
        <v>203</v>
      </c>
      <c r="AZ72" t="s">
        <v>203</v>
      </c>
      <c r="BA72" t="s">
        <v>203</v>
      </c>
      <c r="BB72" t="s">
        <v>203</v>
      </c>
      <c r="BC72" t="s">
        <v>203</v>
      </c>
      <c r="BD72" t="s">
        <v>203</v>
      </c>
      <c r="BE72" t="s">
        <v>203</v>
      </c>
      <c r="BF72">
        <v>47.63</v>
      </c>
      <c r="BG72">
        <v>0.2</v>
      </c>
      <c r="BH72">
        <v>50</v>
      </c>
      <c r="BI72">
        <v>0</v>
      </c>
      <c r="BJ72" t="s">
        <v>198</v>
      </c>
      <c r="BK72" t="s">
        <v>198</v>
      </c>
      <c r="BL72" t="s">
        <v>198</v>
      </c>
      <c r="BM72" t="s">
        <v>198</v>
      </c>
      <c r="BN72" t="s">
        <v>198</v>
      </c>
      <c r="BO72" t="s">
        <v>198</v>
      </c>
      <c r="BP72" t="s">
        <v>198</v>
      </c>
      <c r="BQ72" t="s">
        <v>198</v>
      </c>
      <c r="BR72" t="s">
        <v>198</v>
      </c>
      <c r="BS72" t="s">
        <v>198</v>
      </c>
      <c r="BT72" t="s">
        <v>198</v>
      </c>
      <c r="BU72" t="s">
        <v>198</v>
      </c>
      <c r="BV72" t="s">
        <v>198</v>
      </c>
      <c r="BW72" t="s">
        <v>198</v>
      </c>
      <c r="BX72" t="s">
        <v>198</v>
      </c>
      <c r="BY72" t="s">
        <v>198</v>
      </c>
      <c r="BZ72" t="s">
        <v>198</v>
      </c>
      <c r="CA72" t="s">
        <v>198</v>
      </c>
      <c r="CB72" t="s">
        <v>204</v>
      </c>
      <c r="CC72" t="s">
        <v>204</v>
      </c>
      <c r="CD72" t="s">
        <v>204</v>
      </c>
      <c r="CE72" t="s">
        <v>204</v>
      </c>
      <c r="CF72" t="s">
        <v>204</v>
      </c>
      <c r="CG72" t="s">
        <v>204</v>
      </c>
      <c r="CH72" t="s">
        <v>204</v>
      </c>
      <c r="CI72" t="s">
        <v>204</v>
      </c>
      <c r="CJ72" t="s">
        <v>204</v>
      </c>
      <c r="CK72" t="s">
        <v>204</v>
      </c>
      <c r="CL72" t="s">
        <v>204</v>
      </c>
      <c r="CM72" t="s">
        <v>204</v>
      </c>
      <c r="CN72" t="s">
        <v>203</v>
      </c>
      <c r="CO72" t="s">
        <v>203</v>
      </c>
      <c r="CP72" t="s">
        <v>203</v>
      </c>
      <c r="CQ72" t="s">
        <v>203</v>
      </c>
      <c r="CR72" t="s">
        <v>203</v>
      </c>
      <c r="CS72" t="s">
        <v>203</v>
      </c>
      <c r="CT72" t="s">
        <v>203</v>
      </c>
      <c r="CU72" t="s">
        <v>203</v>
      </c>
      <c r="CV72">
        <v>0</v>
      </c>
      <c r="CW72">
        <v>0</v>
      </c>
      <c r="CX72" t="s">
        <v>198</v>
      </c>
      <c r="CY72" t="s">
        <v>198</v>
      </c>
      <c r="CZ72" t="s">
        <v>198</v>
      </c>
      <c r="DA72" t="s">
        <v>198</v>
      </c>
      <c r="DB72" t="s">
        <v>198</v>
      </c>
      <c r="DC72">
        <v>0</v>
      </c>
      <c r="DD72">
        <v>0</v>
      </c>
      <c r="DE72">
        <v>0</v>
      </c>
      <c r="DF72">
        <v>0</v>
      </c>
      <c r="DG72">
        <v>-35.3631434</v>
      </c>
      <c r="DH72">
        <v>149.1642061</v>
      </c>
      <c r="DI72" t="s">
        <v>345</v>
      </c>
      <c r="DJ72">
        <v>1.2</v>
      </c>
      <c r="DK72">
        <v>2</v>
      </c>
      <c r="DL72">
        <v>278</v>
      </c>
      <c r="DM72">
        <v>0</v>
      </c>
      <c r="DN72">
        <v>6</v>
      </c>
      <c r="DO72">
        <v>10</v>
      </c>
      <c r="DP72">
        <v>0</v>
      </c>
      <c r="DQ72">
        <v>255</v>
      </c>
      <c r="DR72">
        <v>255</v>
      </c>
      <c r="DS72">
        <v>255</v>
      </c>
      <c r="DT72">
        <v>255</v>
      </c>
      <c r="DU72">
        <v>255</v>
      </c>
      <c r="DV72">
        <v>255</v>
      </c>
      <c r="DW72">
        <v>255</v>
      </c>
      <c r="DX72" t="s">
        <v>206</v>
      </c>
      <c r="DY72" t="s">
        <v>206</v>
      </c>
      <c r="DZ72" t="s">
        <v>207</v>
      </c>
      <c r="EA72" t="s">
        <v>198</v>
      </c>
      <c r="EB72" t="s">
        <v>198</v>
      </c>
      <c r="EC72" t="s">
        <v>198</v>
      </c>
      <c r="ED72">
        <v>0</v>
      </c>
      <c r="EE72">
        <v>0</v>
      </c>
      <c r="EF72">
        <v>0</v>
      </c>
      <c r="EG72">
        <v>0</v>
      </c>
      <c r="EH72">
        <v>255</v>
      </c>
      <c r="EI72">
        <v>255</v>
      </c>
      <c r="EJ72">
        <v>255</v>
      </c>
      <c r="EK72">
        <v>255</v>
      </c>
      <c r="EL72">
        <v>255</v>
      </c>
      <c r="EM72">
        <v>255</v>
      </c>
      <c r="EN72">
        <v>255</v>
      </c>
      <c r="EO72">
        <v>255</v>
      </c>
      <c r="EP72">
        <v>255</v>
      </c>
      <c r="EQ72">
        <v>255</v>
      </c>
      <c r="ER72" t="s">
        <v>208</v>
      </c>
      <c r="ES72" t="s">
        <v>209</v>
      </c>
      <c r="ET72" t="s">
        <v>209</v>
      </c>
      <c r="EU72">
        <v>0</v>
      </c>
      <c r="EV72">
        <v>13.3</v>
      </c>
      <c r="EW72">
        <v>-94.3</v>
      </c>
      <c r="EX72">
        <v>-50.2</v>
      </c>
      <c r="EY72">
        <v>0.7</v>
      </c>
      <c r="EZ72">
        <v>-5</v>
      </c>
      <c r="FA72">
        <v>0</v>
      </c>
      <c r="FB72" t="s">
        <v>198</v>
      </c>
      <c r="FC72" t="s">
        <v>198</v>
      </c>
      <c r="FD72" t="s">
        <v>198</v>
      </c>
      <c r="FE72" t="s">
        <v>198</v>
      </c>
      <c r="FF72" t="s">
        <v>198</v>
      </c>
      <c r="FG72" t="s">
        <v>198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 t="s">
        <v>203</v>
      </c>
      <c r="FP72" t="s">
        <v>203</v>
      </c>
      <c r="FQ72" t="s">
        <v>203</v>
      </c>
      <c r="FR72" t="s">
        <v>203</v>
      </c>
      <c r="FS72" t="s">
        <v>203</v>
      </c>
      <c r="FT72" t="s">
        <v>203</v>
      </c>
      <c r="FU72" t="s">
        <v>198</v>
      </c>
      <c r="FV72" t="s">
        <v>198</v>
      </c>
      <c r="FW72" t="s">
        <v>198</v>
      </c>
      <c r="FX72" t="s">
        <v>198</v>
      </c>
      <c r="FY72" t="s">
        <v>198</v>
      </c>
      <c r="FZ72" t="s">
        <v>198</v>
      </c>
      <c r="GA72">
        <v>30.87</v>
      </c>
      <c r="GB72">
        <v>30.87</v>
      </c>
      <c r="GC72" t="s">
        <v>203</v>
      </c>
      <c r="GD72">
        <v>0</v>
      </c>
      <c r="GE72">
        <v>504</v>
      </c>
      <c r="GF72">
        <v>0</v>
      </c>
      <c r="GG72">
        <v>0.1</v>
      </c>
      <c r="GH72">
        <v>0.5</v>
      </c>
      <c r="GI72">
        <v>0</v>
      </c>
      <c r="GJ72">
        <v>0</v>
      </c>
      <c r="GK72">
        <v>0</v>
      </c>
      <c r="GL72" t="s">
        <v>198</v>
      </c>
      <c r="GM72" t="s">
        <v>198</v>
      </c>
      <c r="GN72" t="s">
        <v>198</v>
      </c>
    </row>
    <row r="73" spans="1:196">
      <c r="A73" s="19">
        <v>46316.90472619213</v>
      </c>
      <c r="B73">
        <v>0.3</v>
      </c>
      <c r="C73">
        <v>-0.2</v>
      </c>
      <c r="D73">
        <v>277</v>
      </c>
      <c r="E73">
        <v>0</v>
      </c>
      <c r="F73">
        <v>0</v>
      </c>
      <c r="G73">
        <v>0</v>
      </c>
      <c r="H73">
        <v>5</v>
      </c>
      <c r="I73">
        <v>5</v>
      </c>
      <c r="J73">
        <v>5</v>
      </c>
      <c r="K73">
        <v>0</v>
      </c>
      <c r="L73">
        <v>50</v>
      </c>
      <c r="M73">
        <v>634.2</v>
      </c>
      <c r="N73">
        <v>49.2</v>
      </c>
      <c r="O73">
        <v>50</v>
      </c>
      <c r="P73">
        <v>50</v>
      </c>
      <c r="Q73">
        <v>0.007</v>
      </c>
      <c r="R73">
        <v>0</v>
      </c>
      <c r="S73">
        <v>98.90000000000001</v>
      </c>
      <c r="T73" t="s">
        <v>346</v>
      </c>
      <c r="U73">
        <v>100.1</v>
      </c>
      <c r="V73">
        <v>20</v>
      </c>
      <c r="W73">
        <v>2</v>
      </c>
      <c r="X73">
        <v>278</v>
      </c>
      <c r="Y73">
        <v>15</v>
      </c>
      <c r="Z73">
        <v>98</v>
      </c>
      <c r="AA73">
        <v>278</v>
      </c>
      <c r="AB73" t="s">
        <v>197</v>
      </c>
      <c r="AC73" t="s">
        <v>198</v>
      </c>
      <c r="AD73" t="s">
        <v>199</v>
      </c>
      <c r="AE73">
        <v>33</v>
      </c>
      <c r="AF73">
        <v>44</v>
      </c>
      <c r="AG73">
        <v>255</v>
      </c>
      <c r="AH73">
        <v>0</v>
      </c>
      <c r="AI73">
        <v>0</v>
      </c>
      <c r="AJ73">
        <v>0</v>
      </c>
      <c r="AK73">
        <v>12.6</v>
      </c>
      <c r="AL73">
        <v>0</v>
      </c>
      <c r="AM73">
        <v>0</v>
      </c>
      <c r="AN73" t="s">
        <v>197</v>
      </c>
      <c r="AO73">
        <v>100</v>
      </c>
      <c r="AP73" t="s">
        <v>197</v>
      </c>
      <c r="AQ73" t="s">
        <v>200</v>
      </c>
      <c r="AR73">
        <v>1</v>
      </c>
      <c r="AS73">
        <v>0</v>
      </c>
      <c r="AT73" t="s">
        <v>347</v>
      </c>
      <c r="AU73" t="s">
        <v>347</v>
      </c>
      <c r="AV73" t="s">
        <v>202</v>
      </c>
      <c r="AW73" t="s">
        <v>203</v>
      </c>
      <c r="AX73" t="s">
        <v>203</v>
      </c>
      <c r="AY73" t="s">
        <v>203</v>
      </c>
      <c r="AZ73" t="s">
        <v>203</v>
      </c>
      <c r="BA73" t="s">
        <v>203</v>
      </c>
      <c r="BB73" t="s">
        <v>203</v>
      </c>
      <c r="BC73" t="s">
        <v>203</v>
      </c>
      <c r="BD73" t="s">
        <v>203</v>
      </c>
      <c r="BE73" t="s">
        <v>203</v>
      </c>
      <c r="BF73">
        <v>47.58</v>
      </c>
      <c r="BG73">
        <v>0.2</v>
      </c>
      <c r="BH73">
        <v>50</v>
      </c>
      <c r="BI73">
        <v>0</v>
      </c>
      <c r="BJ73" t="s">
        <v>198</v>
      </c>
      <c r="BK73" t="s">
        <v>198</v>
      </c>
      <c r="BL73" t="s">
        <v>198</v>
      </c>
      <c r="BM73" t="s">
        <v>198</v>
      </c>
      <c r="BN73" t="s">
        <v>198</v>
      </c>
      <c r="BO73" t="s">
        <v>198</v>
      </c>
      <c r="BP73" t="s">
        <v>198</v>
      </c>
      <c r="BQ73" t="s">
        <v>198</v>
      </c>
      <c r="BR73" t="s">
        <v>198</v>
      </c>
      <c r="BS73" t="s">
        <v>198</v>
      </c>
      <c r="BT73" t="s">
        <v>198</v>
      </c>
      <c r="BU73" t="s">
        <v>198</v>
      </c>
      <c r="BV73" t="s">
        <v>198</v>
      </c>
      <c r="BW73" t="s">
        <v>198</v>
      </c>
      <c r="BX73" t="s">
        <v>198</v>
      </c>
      <c r="BY73" t="s">
        <v>198</v>
      </c>
      <c r="BZ73" t="s">
        <v>198</v>
      </c>
      <c r="CA73" t="s">
        <v>198</v>
      </c>
      <c r="CB73" t="s">
        <v>204</v>
      </c>
      <c r="CC73" t="s">
        <v>204</v>
      </c>
      <c r="CD73" t="s">
        <v>204</v>
      </c>
      <c r="CE73" t="s">
        <v>204</v>
      </c>
      <c r="CF73" t="s">
        <v>204</v>
      </c>
      <c r="CG73" t="s">
        <v>204</v>
      </c>
      <c r="CH73" t="s">
        <v>204</v>
      </c>
      <c r="CI73" t="s">
        <v>204</v>
      </c>
      <c r="CJ73" t="s">
        <v>204</v>
      </c>
      <c r="CK73" t="s">
        <v>204</v>
      </c>
      <c r="CL73" t="s">
        <v>204</v>
      </c>
      <c r="CM73" t="s">
        <v>204</v>
      </c>
      <c r="CN73" t="s">
        <v>203</v>
      </c>
      <c r="CO73" t="s">
        <v>203</v>
      </c>
      <c r="CP73" t="s">
        <v>203</v>
      </c>
      <c r="CQ73" t="s">
        <v>203</v>
      </c>
      <c r="CR73" t="s">
        <v>203</v>
      </c>
      <c r="CS73" t="s">
        <v>203</v>
      </c>
      <c r="CT73" t="s">
        <v>203</v>
      </c>
      <c r="CU73" t="s">
        <v>203</v>
      </c>
      <c r="CV73">
        <v>0</v>
      </c>
      <c r="CW73">
        <v>0</v>
      </c>
      <c r="CX73" t="s">
        <v>198</v>
      </c>
      <c r="CY73" t="s">
        <v>198</v>
      </c>
      <c r="CZ73" t="s">
        <v>198</v>
      </c>
      <c r="DA73" t="s">
        <v>198</v>
      </c>
      <c r="DB73" t="s">
        <v>198</v>
      </c>
      <c r="DC73">
        <v>0</v>
      </c>
      <c r="DD73">
        <v>0</v>
      </c>
      <c r="DE73">
        <v>0</v>
      </c>
      <c r="DF73">
        <v>0</v>
      </c>
      <c r="DG73">
        <v>-35.3631371</v>
      </c>
      <c r="DH73">
        <v>149.1641516</v>
      </c>
      <c r="DI73" t="s">
        <v>348</v>
      </c>
      <c r="DJ73">
        <v>1.2</v>
      </c>
      <c r="DK73">
        <v>2</v>
      </c>
      <c r="DL73">
        <v>278</v>
      </c>
      <c r="DM73">
        <v>0</v>
      </c>
      <c r="DN73">
        <v>6</v>
      </c>
      <c r="DO73">
        <v>10</v>
      </c>
      <c r="DP73">
        <v>0</v>
      </c>
      <c r="DQ73">
        <v>255</v>
      </c>
      <c r="DR73">
        <v>255</v>
      </c>
      <c r="DS73">
        <v>255</v>
      </c>
      <c r="DT73">
        <v>255</v>
      </c>
      <c r="DU73">
        <v>255</v>
      </c>
      <c r="DV73">
        <v>255</v>
      </c>
      <c r="DW73">
        <v>255</v>
      </c>
      <c r="DX73" t="s">
        <v>206</v>
      </c>
      <c r="DY73" t="s">
        <v>206</v>
      </c>
      <c r="DZ73" t="s">
        <v>207</v>
      </c>
      <c r="EA73" t="s">
        <v>198</v>
      </c>
      <c r="EB73" t="s">
        <v>198</v>
      </c>
      <c r="EC73" t="s">
        <v>198</v>
      </c>
      <c r="ED73">
        <v>0</v>
      </c>
      <c r="EE73">
        <v>0</v>
      </c>
      <c r="EF73">
        <v>0</v>
      </c>
      <c r="EG73">
        <v>0</v>
      </c>
      <c r="EH73">
        <v>255</v>
      </c>
      <c r="EI73">
        <v>255</v>
      </c>
      <c r="EJ73">
        <v>255</v>
      </c>
      <c r="EK73">
        <v>255</v>
      </c>
      <c r="EL73">
        <v>255</v>
      </c>
      <c r="EM73">
        <v>255</v>
      </c>
      <c r="EN73">
        <v>255</v>
      </c>
      <c r="EO73">
        <v>255</v>
      </c>
      <c r="EP73">
        <v>255</v>
      </c>
      <c r="EQ73">
        <v>255</v>
      </c>
      <c r="ER73" t="s">
        <v>208</v>
      </c>
      <c r="ES73" t="s">
        <v>209</v>
      </c>
      <c r="ET73" t="s">
        <v>209</v>
      </c>
      <c r="EU73">
        <v>0</v>
      </c>
      <c r="EV73">
        <v>14</v>
      </c>
      <c r="EW73">
        <v>-99.3</v>
      </c>
      <c r="EX73">
        <v>-50.2</v>
      </c>
      <c r="EY73">
        <v>0.7</v>
      </c>
      <c r="EZ73">
        <v>-5</v>
      </c>
      <c r="FA73">
        <v>0</v>
      </c>
      <c r="FB73" t="s">
        <v>198</v>
      </c>
      <c r="FC73" t="s">
        <v>198</v>
      </c>
      <c r="FD73" t="s">
        <v>198</v>
      </c>
      <c r="FE73" t="s">
        <v>198</v>
      </c>
      <c r="FF73" t="s">
        <v>198</v>
      </c>
      <c r="FG73" t="s">
        <v>198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 t="s">
        <v>203</v>
      </c>
      <c r="FP73" t="s">
        <v>203</v>
      </c>
      <c r="FQ73" t="s">
        <v>203</v>
      </c>
      <c r="FR73" t="s">
        <v>203</v>
      </c>
      <c r="FS73" t="s">
        <v>203</v>
      </c>
      <c r="FT73" t="s">
        <v>203</v>
      </c>
      <c r="FU73" t="s">
        <v>198</v>
      </c>
      <c r="FV73" t="s">
        <v>198</v>
      </c>
      <c r="FW73" t="s">
        <v>198</v>
      </c>
      <c r="FX73" t="s">
        <v>198</v>
      </c>
      <c r="FY73" t="s">
        <v>198</v>
      </c>
      <c r="FZ73" t="s">
        <v>198</v>
      </c>
      <c r="GA73">
        <v>30.87</v>
      </c>
      <c r="GB73">
        <v>30.87</v>
      </c>
      <c r="GC73" t="s">
        <v>203</v>
      </c>
      <c r="GD73">
        <v>0</v>
      </c>
      <c r="GE73">
        <v>504</v>
      </c>
      <c r="GF73">
        <v>0</v>
      </c>
      <c r="GG73">
        <v>0.1</v>
      </c>
      <c r="GH73">
        <v>0.5</v>
      </c>
      <c r="GI73">
        <v>0</v>
      </c>
      <c r="GJ73">
        <v>0</v>
      </c>
      <c r="GK73">
        <v>0</v>
      </c>
      <c r="GL73" t="s">
        <v>198</v>
      </c>
      <c r="GM73" t="s">
        <v>198</v>
      </c>
      <c r="GN73" t="s">
        <v>198</v>
      </c>
    </row>
    <row r="74" spans="1:196">
      <c r="A74" s="19">
        <v>46316.90473776621</v>
      </c>
      <c r="B74">
        <v>-0.1</v>
      </c>
      <c r="C74">
        <v>-0.1</v>
      </c>
      <c r="D74">
        <v>277</v>
      </c>
      <c r="E74">
        <v>0</v>
      </c>
      <c r="F74">
        <v>0</v>
      </c>
      <c r="G74">
        <v>0</v>
      </c>
      <c r="H74">
        <v>5</v>
      </c>
      <c r="I74">
        <v>5</v>
      </c>
      <c r="J74">
        <v>5.001</v>
      </c>
      <c r="K74">
        <v>0</v>
      </c>
      <c r="L74">
        <v>50</v>
      </c>
      <c r="M74">
        <v>634.2</v>
      </c>
      <c r="N74">
        <v>49.2</v>
      </c>
      <c r="O74">
        <v>50</v>
      </c>
      <c r="P74">
        <v>50</v>
      </c>
      <c r="Q74">
        <v>0.005</v>
      </c>
      <c r="R74">
        <v>0</v>
      </c>
      <c r="S74">
        <v>103.9</v>
      </c>
      <c r="T74" t="s">
        <v>349</v>
      </c>
      <c r="U74">
        <v>105.1</v>
      </c>
      <c r="V74">
        <v>21</v>
      </c>
      <c r="W74">
        <v>2</v>
      </c>
      <c r="X74">
        <v>278</v>
      </c>
      <c r="Y74">
        <v>10</v>
      </c>
      <c r="Z74">
        <v>98</v>
      </c>
      <c r="AA74">
        <v>278</v>
      </c>
      <c r="AB74" t="s">
        <v>197</v>
      </c>
      <c r="AC74" t="s">
        <v>198</v>
      </c>
      <c r="AD74" t="s">
        <v>199</v>
      </c>
      <c r="AE74">
        <v>32</v>
      </c>
      <c r="AF74">
        <v>44</v>
      </c>
      <c r="AG74">
        <v>255</v>
      </c>
      <c r="AH74">
        <v>0</v>
      </c>
      <c r="AI74">
        <v>0</v>
      </c>
      <c r="AJ74">
        <v>0</v>
      </c>
      <c r="AK74">
        <v>12.6</v>
      </c>
      <c r="AL74">
        <v>0</v>
      </c>
      <c r="AM74">
        <v>0</v>
      </c>
      <c r="AN74" t="s">
        <v>197</v>
      </c>
      <c r="AO74">
        <v>100</v>
      </c>
      <c r="AP74" t="s">
        <v>197</v>
      </c>
      <c r="AQ74" t="s">
        <v>200</v>
      </c>
      <c r="AR74">
        <v>1</v>
      </c>
      <c r="AS74">
        <v>0</v>
      </c>
      <c r="AT74" t="s">
        <v>350</v>
      </c>
      <c r="AU74" t="s">
        <v>350</v>
      </c>
      <c r="AV74" t="s">
        <v>202</v>
      </c>
      <c r="AW74" t="s">
        <v>203</v>
      </c>
      <c r="AX74" t="s">
        <v>203</v>
      </c>
      <c r="AY74" t="s">
        <v>203</v>
      </c>
      <c r="AZ74" t="s">
        <v>203</v>
      </c>
      <c r="BA74" t="s">
        <v>203</v>
      </c>
      <c r="BB74" t="s">
        <v>203</v>
      </c>
      <c r="BC74" t="s">
        <v>203</v>
      </c>
      <c r="BD74" t="s">
        <v>203</v>
      </c>
      <c r="BE74" t="s">
        <v>203</v>
      </c>
      <c r="BF74">
        <v>47.53</v>
      </c>
      <c r="BG74">
        <v>0.2</v>
      </c>
      <c r="BH74">
        <v>50</v>
      </c>
      <c r="BI74">
        <v>0</v>
      </c>
      <c r="BJ74" t="s">
        <v>198</v>
      </c>
      <c r="BK74" t="s">
        <v>198</v>
      </c>
      <c r="BL74" t="s">
        <v>198</v>
      </c>
      <c r="BM74" t="s">
        <v>198</v>
      </c>
      <c r="BN74" t="s">
        <v>198</v>
      </c>
      <c r="BO74" t="s">
        <v>198</v>
      </c>
      <c r="BP74" t="s">
        <v>198</v>
      </c>
      <c r="BQ74" t="s">
        <v>198</v>
      </c>
      <c r="BR74" t="s">
        <v>198</v>
      </c>
      <c r="BS74" t="s">
        <v>198</v>
      </c>
      <c r="BT74" t="s">
        <v>198</v>
      </c>
      <c r="BU74" t="s">
        <v>198</v>
      </c>
      <c r="BV74" t="s">
        <v>198</v>
      </c>
      <c r="BW74" t="s">
        <v>198</v>
      </c>
      <c r="BX74" t="s">
        <v>198</v>
      </c>
      <c r="BY74" t="s">
        <v>198</v>
      </c>
      <c r="BZ74" t="s">
        <v>198</v>
      </c>
      <c r="CA74" t="s">
        <v>198</v>
      </c>
      <c r="CB74" t="s">
        <v>204</v>
      </c>
      <c r="CC74" t="s">
        <v>204</v>
      </c>
      <c r="CD74" t="s">
        <v>204</v>
      </c>
      <c r="CE74" t="s">
        <v>204</v>
      </c>
      <c r="CF74" t="s">
        <v>204</v>
      </c>
      <c r="CG74" t="s">
        <v>204</v>
      </c>
      <c r="CH74" t="s">
        <v>204</v>
      </c>
      <c r="CI74" t="s">
        <v>204</v>
      </c>
      <c r="CJ74" t="s">
        <v>204</v>
      </c>
      <c r="CK74" t="s">
        <v>204</v>
      </c>
      <c r="CL74" t="s">
        <v>204</v>
      </c>
      <c r="CM74" t="s">
        <v>204</v>
      </c>
      <c r="CN74" t="s">
        <v>203</v>
      </c>
      <c r="CO74" t="s">
        <v>203</v>
      </c>
      <c r="CP74" t="s">
        <v>203</v>
      </c>
      <c r="CQ74" t="s">
        <v>203</v>
      </c>
      <c r="CR74" t="s">
        <v>203</v>
      </c>
      <c r="CS74" t="s">
        <v>203</v>
      </c>
      <c r="CT74" t="s">
        <v>203</v>
      </c>
      <c r="CU74" t="s">
        <v>203</v>
      </c>
      <c r="CV74">
        <v>0</v>
      </c>
      <c r="CW74">
        <v>0</v>
      </c>
      <c r="CX74" t="s">
        <v>198</v>
      </c>
      <c r="CY74" t="s">
        <v>198</v>
      </c>
      <c r="CZ74" t="s">
        <v>198</v>
      </c>
      <c r="DA74" t="s">
        <v>198</v>
      </c>
      <c r="DB74" t="s">
        <v>198</v>
      </c>
      <c r="DC74">
        <v>0</v>
      </c>
      <c r="DD74">
        <v>0</v>
      </c>
      <c r="DE74">
        <v>0</v>
      </c>
      <c r="DF74">
        <v>0</v>
      </c>
      <c r="DG74">
        <v>-35.3631308</v>
      </c>
      <c r="DH74">
        <v>149.1640971</v>
      </c>
      <c r="DI74" t="s">
        <v>351</v>
      </c>
      <c r="DJ74">
        <v>1.2</v>
      </c>
      <c r="DK74">
        <v>2</v>
      </c>
      <c r="DL74">
        <v>278</v>
      </c>
      <c r="DM74">
        <v>0</v>
      </c>
      <c r="DN74">
        <v>6</v>
      </c>
      <c r="DO74">
        <v>10</v>
      </c>
      <c r="DP74">
        <v>0</v>
      </c>
      <c r="DQ74">
        <v>255</v>
      </c>
      <c r="DR74">
        <v>255</v>
      </c>
      <c r="DS74">
        <v>255</v>
      </c>
      <c r="DT74">
        <v>255</v>
      </c>
      <c r="DU74">
        <v>255</v>
      </c>
      <c r="DV74">
        <v>255</v>
      </c>
      <c r="DW74">
        <v>255</v>
      </c>
      <c r="DX74" t="s">
        <v>206</v>
      </c>
      <c r="DY74" t="s">
        <v>206</v>
      </c>
      <c r="DZ74" t="s">
        <v>207</v>
      </c>
      <c r="EA74" t="s">
        <v>198</v>
      </c>
      <c r="EB74" t="s">
        <v>198</v>
      </c>
      <c r="EC74" t="s">
        <v>198</v>
      </c>
      <c r="ED74">
        <v>0</v>
      </c>
      <c r="EE74">
        <v>0</v>
      </c>
      <c r="EF74">
        <v>0</v>
      </c>
      <c r="EG74">
        <v>0</v>
      </c>
      <c r="EH74">
        <v>255</v>
      </c>
      <c r="EI74">
        <v>255</v>
      </c>
      <c r="EJ74">
        <v>255</v>
      </c>
      <c r="EK74">
        <v>255</v>
      </c>
      <c r="EL74">
        <v>255</v>
      </c>
      <c r="EM74">
        <v>255</v>
      </c>
      <c r="EN74">
        <v>255</v>
      </c>
      <c r="EO74">
        <v>255</v>
      </c>
      <c r="EP74">
        <v>255</v>
      </c>
      <c r="EQ74">
        <v>255</v>
      </c>
      <c r="ER74" t="s">
        <v>208</v>
      </c>
      <c r="ES74" t="s">
        <v>209</v>
      </c>
      <c r="ET74" t="s">
        <v>209</v>
      </c>
      <c r="EU74">
        <v>0</v>
      </c>
      <c r="EV74">
        <v>14.7</v>
      </c>
      <c r="EW74">
        <v>-104.2</v>
      </c>
      <c r="EX74">
        <v>-50.2</v>
      </c>
      <c r="EY74">
        <v>0.7</v>
      </c>
      <c r="EZ74">
        <v>-5</v>
      </c>
      <c r="FA74">
        <v>0</v>
      </c>
      <c r="FB74" t="s">
        <v>198</v>
      </c>
      <c r="FC74" t="s">
        <v>198</v>
      </c>
      <c r="FD74" t="s">
        <v>198</v>
      </c>
      <c r="FE74" t="s">
        <v>198</v>
      </c>
      <c r="FF74" t="s">
        <v>198</v>
      </c>
      <c r="FG74" t="s">
        <v>198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 t="s">
        <v>203</v>
      </c>
      <c r="FP74" t="s">
        <v>203</v>
      </c>
      <c r="FQ74" t="s">
        <v>203</v>
      </c>
      <c r="FR74" t="s">
        <v>203</v>
      </c>
      <c r="FS74" t="s">
        <v>203</v>
      </c>
      <c r="FT74" t="s">
        <v>203</v>
      </c>
      <c r="FU74" t="s">
        <v>198</v>
      </c>
      <c r="FV74" t="s">
        <v>198</v>
      </c>
      <c r="FW74" t="s">
        <v>198</v>
      </c>
      <c r="FX74" t="s">
        <v>198</v>
      </c>
      <c r="FY74" t="s">
        <v>198</v>
      </c>
      <c r="FZ74" t="s">
        <v>198</v>
      </c>
      <c r="GA74">
        <v>30.87</v>
      </c>
      <c r="GB74">
        <v>30.87</v>
      </c>
      <c r="GC74" t="s">
        <v>203</v>
      </c>
      <c r="GD74">
        <v>0</v>
      </c>
      <c r="GE74">
        <v>504</v>
      </c>
      <c r="GF74">
        <v>0</v>
      </c>
      <c r="GG74">
        <v>0.1</v>
      </c>
      <c r="GH74">
        <v>0.5</v>
      </c>
      <c r="GI74">
        <v>0</v>
      </c>
      <c r="GJ74">
        <v>0</v>
      </c>
      <c r="GK74">
        <v>0</v>
      </c>
      <c r="GL74" t="s">
        <v>198</v>
      </c>
      <c r="GM74" t="s">
        <v>198</v>
      </c>
      <c r="GN74" t="s">
        <v>198</v>
      </c>
    </row>
    <row r="75" spans="1:196">
      <c r="A75" s="19">
        <v>46316.90474934028</v>
      </c>
      <c r="B75">
        <v>-0.3</v>
      </c>
      <c r="C75">
        <v>6.8</v>
      </c>
      <c r="D75">
        <v>277</v>
      </c>
      <c r="E75">
        <v>0</v>
      </c>
      <c r="F75">
        <v>0</v>
      </c>
      <c r="G75">
        <v>0</v>
      </c>
      <c r="H75">
        <v>4.4</v>
      </c>
      <c r="I75">
        <v>4.6</v>
      </c>
      <c r="J75">
        <v>4.59</v>
      </c>
      <c r="K75">
        <v>0</v>
      </c>
      <c r="L75">
        <v>50</v>
      </c>
      <c r="M75">
        <v>634.2</v>
      </c>
      <c r="N75">
        <v>49.2</v>
      </c>
      <c r="O75">
        <v>50</v>
      </c>
      <c r="P75">
        <v>50</v>
      </c>
      <c r="Q75">
        <v>0</v>
      </c>
      <c r="R75">
        <v>0</v>
      </c>
      <c r="S75">
        <v>108.8</v>
      </c>
      <c r="T75" t="s">
        <v>352</v>
      </c>
      <c r="U75">
        <v>109.9</v>
      </c>
      <c r="V75">
        <v>24.7</v>
      </c>
      <c r="W75">
        <v>2</v>
      </c>
      <c r="X75">
        <v>278</v>
      </c>
      <c r="Y75">
        <v>5</v>
      </c>
      <c r="Z75">
        <v>98</v>
      </c>
      <c r="AA75">
        <v>278</v>
      </c>
      <c r="AB75" t="s">
        <v>197</v>
      </c>
      <c r="AC75" t="s">
        <v>198</v>
      </c>
      <c r="AD75" t="s">
        <v>199</v>
      </c>
      <c r="AE75">
        <v>32</v>
      </c>
      <c r="AF75">
        <v>44</v>
      </c>
      <c r="AG75">
        <v>255</v>
      </c>
      <c r="AH75">
        <v>0</v>
      </c>
      <c r="AI75">
        <v>0</v>
      </c>
      <c r="AJ75">
        <v>0</v>
      </c>
      <c r="AK75">
        <v>12.6</v>
      </c>
      <c r="AL75">
        <v>0</v>
      </c>
      <c r="AM75">
        <v>0</v>
      </c>
      <c r="AN75" t="s">
        <v>197</v>
      </c>
      <c r="AO75">
        <v>100</v>
      </c>
      <c r="AP75" t="s">
        <v>197</v>
      </c>
      <c r="AQ75" t="s">
        <v>200</v>
      </c>
      <c r="AR75">
        <v>1</v>
      </c>
      <c r="AS75">
        <v>0</v>
      </c>
      <c r="AT75" t="s">
        <v>353</v>
      </c>
      <c r="AU75" t="s">
        <v>353</v>
      </c>
      <c r="AV75" t="s">
        <v>202</v>
      </c>
      <c r="AW75" t="s">
        <v>203</v>
      </c>
      <c r="AX75" t="s">
        <v>203</v>
      </c>
      <c r="AY75" t="s">
        <v>203</v>
      </c>
      <c r="AZ75" t="s">
        <v>203</v>
      </c>
      <c r="BA75" t="s">
        <v>203</v>
      </c>
      <c r="BB75" t="s">
        <v>203</v>
      </c>
      <c r="BC75" t="s">
        <v>203</v>
      </c>
      <c r="BD75" t="s">
        <v>203</v>
      </c>
      <c r="BE75" t="s">
        <v>203</v>
      </c>
      <c r="BF75">
        <v>47.82</v>
      </c>
      <c r="BG75">
        <v>0.2</v>
      </c>
      <c r="BH75">
        <v>50</v>
      </c>
      <c r="BI75">
        <v>0</v>
      </c>
      <c r="BJ75" t="s">
        <v>198</v>
      </c>
      <c r="BK75" t="s">
        <v>198</v>
      </c>
      <c r="BL75" t="s">
        <v>198</v>
      </c>
      <c r="BM75" t="s">
        <v>198</v>
      </c>
      <c r="BN75" t="s">
        <v>198</v>
      </c>
      <c r="BO75" t="s">
        <v>198</v>
      </c>
      <c r="BP75" t="s">
        <v>198</v>
      </c>
      <c r="BQ75" t="s">
        <v>198</v>
      </c>
      <c r="BR75" t="s">
        <v>198</v>
      </c>
      <c r="BS75" t="s">
        <v>198</v>
      </c>
      <c r="BT75" t="s">
        <v>198</v>
      </c>
      <c r="BU75" t="s">
        <v>198</v>
      </c>
      <c r="BV75" t="s">
        <v>198</v>
      </c>
      <c r="BW75" t="s">
        <v>198</v>
      </c>
      <c r="BX75" t="s">
        <v>198</v>
      </c>
      <c r="BY75" t="s">
        <v>198</v>
      </c>
      <c r="BZ75" t="s">
        <v>198</v>
      </c>
      <c r="CA75" t="s">
        <v>198</v>
      </c>
      <c r="CB75" t="s">
        <v>204</v>
      </c>
      <c r="CC75" t="s">
        <v>204</v>
      </c>
      <c r="CD75" t="s">
        <v>204</v>
      </c>
      <c r="CE75" t="s">
        <v>204</v>
      </c>
      <c r="CF75" t="s">
        <v>204</v>
      </c>
      <c r="CG75" t="s">
        <v>204</v>
      </c>
      <c r="CH75" t="s">
        <v>204</v>
      </c>
      <c r="CI75" t="s">
        <v>204</v>
      </c>
      <c r="CJ75" t="s">
        <v>204</v>
      </c>
      <c r="CK75" t="s">
        <v>204</v>
      </c>
      <c r="CL75" t="s">
        <v>204</v>
      </c>
      <c r="CM75" t="s">
        <v>204</v>
      </c>
      <c r="CN75" t="s">
        <v>203</v>
      </c>
      <c r="CO75" t="s">
        <v>203</v>
      </c>
      <c r="CP75" t="s">
        <v>203</v>
      </c>
      <c r="CQ75" t="s">
        <v>203</v>
      </c>
      <c r="CR75" t="s">
        <v>203</v>
      </c>
      <c r="CS75" t="s">
        <v>203</v>
      </c>
      <c r="CT75" t="s">
        <v>203</v>
      </c>
      <c r="CU75" t="s">
        <v>203</v>
      </c>
      <c r="CV75">
        <v>0</v>
      </c>
      <c r="CW75">
        <v>0</v>
      </c>
      <c r="CX75" t="s">
        <v>198</v>
      </c>
      <c r="CY75" t="s">
        <v>198</v>
      </c>
      <c r="CZ75" t="s">
        <v>198</v>
      </c>
      <c r="DA75" t="s">
        <v>198</v>
      </c>
      <c r="DB75" t="s">
        <v>198</v>
      </c>
      <c r="DC75">
        <v>0</v>
      </c>
      <c r="DD75">
        <v>0</v>
      </c>
      <c r="DE75">
        <v>0</v>
      </c>
      <c r="DF75">
        <v>0</v>
      </c>
      <c r="DG75">
        <v>-35.3631247</v>
      </c>
      <c r="DH75">
        <v>149.1640438</v>
      </c>
      <c r="DI75" t="s">
        <v>354</v>
      </c>
      <c r="DJ75">
        <v>1.2</v>
      </c>
      <c r="DK75">
        <v>2</v>
      </c>
      <c r="DL75">
        <v>278</v>
      </c>
      <c r="DM75">
        <v>0</v>
      </c>
      <c r="DN75">
        <v>6</v>
      </c>
      <c r="DO75">
        <v>10</v>
      </c>
      <c r="DP75">
        <v>0</v>
      </c>
      <c r="DQ75">
        <v>255</v>
      </c>
      <c r="DR75">
        <v>255</v>
      </c>
      <c r="DS75">
        <v>255</v>
      </c>
      <c r="DT75">
        <v>255</v>
      </c>
      <c r="DU75">
        <v>255</v>
      </c>
      <c r="DV75">
        <v>255</v>
      </c>
      <c r="DW75">
        <v>255</v>
      </c>
      <c r="DX75" t="s">
        <v>206</v>
      </c>
      <c r="DY75" t="s">
        <v>206</v>
      </c>
      <c r="DZ75" t="s">
        <v>207</v>
      </c>
      <c r="EA75" t="s">
        <v>198</v>
      </c>
      <c r="EB75" t="s">
        <v>198</v>
      </c>
      <c r="EC75" t="s">
        <v>198</v>
      </c>
      <c r="ED75">
        <v>0</v>
      </c>
      <c r="EE75">
        <v>0</v>
      </c>
      <c r="EF75">
        <v>0</v>
      </c>
      <c r="EG75">
        <v>0</v>
      </c>
      <c r="EH75">
        <v>255</v>
      </c>
      <c r="EI75">
        <v>255</v>
      </c>
      <c r="EJ75">
        <v>255</v>
      </c>
      <c r="EK75">
        <v>255</v>
      </c>
      <c r="EL75">
        <v>255</v>
      </c>
      <c r="EM75">
        <v>255</v>
      </c>
      <c r="EN75">
        <v>255</v>
      </c>
      <c r="EO75">
        <v>255</v>
      </c>
      <c r="EP75">
        <v>255</v>
      </c>
      <c r="EQ75">
        <v>255</v>
      </c>
      <c r="ER75" t="s">
        <v>208</v>
      </c>
      <c r="ES75" t="s">
        <v>209</v>
      </c>
      <c r="ET75" t="s">
        <v>209</v>
      </c>
      <c r="EU75">
        <v>0</v>
      </c>
      <c r="EV75">
        <v>15.4</v>
      </c>
      <c r="EW75">
        <v>-109</v>
      </c>
      <c r="EX75">
        <v>-50.2</v>
      </c>
      <c r="EY75">
        <v>0.6</v>
      </c>
      <c r="EZ75">
        <v>-4.4</v>
      </c>
      <c r="FA75">
        <v>0</v>
      </c>
      <c r="FB75" t="s">
        <v>198</v>
      </c>
      <c r="FC75" t="s">
        <v>198</v>
      </c>
      <c r="FD75" t="s">
        <v>198</v>
      </c>
      <c r="FE75" t="s">
        <v>198</v>
      </c>
      <c r="FF75" t="s">
        <v>198</v>
      </c>
      <c r="FG75" t="s">
        <v>198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203</v>
      </c>
      <c r="FP75" t="s">
        <v>203</v>
      </c>
      <c r="FQ75" t="s">
        <v>203</v>
      </c>
      <c r="FR75" t="s">
        <v>203</v>
      </c>
      <c r="FS75" t="s">
        <v>203</v>
      </c>
      <c r="FT75" t="s">
        <v>203</v>
      </c>
      <c r="FU75" t="s">
        <v>198</v>
      </c>
      <c r="FV75" t="s">
        <v>198</v>
      </c>
      <c r="FW75" t="s">
        <v>198</v>
      </c>
      <c r="FX75" t="s">
        <v>198</v>
      </c>
      <c r="FY75" t="s">
        <v>198</v>
      </c>
      <c r="FZ75" t="s">
        <v>198</v>
      </c>
      <c r="GA75">
        <v>30.87</v>
      </c>
      <c r="GB75">
        <v>30.87</v>
      </c>
      <c r="GC75" t="s">
        <v>203</v>
      </c>
      <c r="GD75">
        <v>0</v>
      </c>
      <c r="GE75">
        <v>504</v>
      </c>
      <c r="GF75">
        <v>0</v>
      </c>
      <c r="GG75">
        <v>0.1</v>
      </c>
      <c r="GH75">
        <v>0.6</v>
      </c>
      <c r="GI75">
        <v>0</v>
      </c>
      <c r="GJ75">
        <v>0</v>
      </c>
      <c r="GK75">
        <v>0</v>
      </c>
      <c r="GL75" t="s">
        <v>198</v>
      </c>
      <c r="GM75" t="s">
        <v>198</v>
      </c>
      <c r="GN75" t="s">
        <v>198</v>
      </c>
    </row>
    <row r="76" spans="1:196">
      <c r="A76" s="19">
        <v>46316.90476091435</v>
      </c>
      <c r="B76">
        <v>-0.1</v>
      </c>
      <c r="C76">
        <v>12.4</v>
      </c>
      <c r="D76">
        <v>277</v>
      </c>
      <c r="E76">
        <v>0</v>
      </c>
      <c r="F76">
        <v>0</v>
      </c>
      <c r="G76">
        <v>0</v>
      </c>
      <c r="H76">
        <v>2.8</v>
      </c>
      <c r="I76">
        <v>3</v>
      </c>
      <c r="J76">
        <v>3.038</v>
      </c>
      <c r="K76">
        <v>0</v>
      </c>
      <c r="L76">
        <v>50</v>
      </c>
      <c r="M76">
        <v>634.2</v>
      </c>
      <c r="N76">
        <v>49.2</v>
      </c>
      <c r="O76">
        <v>50.01</v>
      </c>
      <c r="P76">
        <v>50</v>
      </c>
      <c r="Q76">
        <v>0.002</v>
      </c>
      <c r="R76">
        <v>0</v>
      </c>
      <c r="S76">
        <v>113.6</v>
      </c>
      <c r="T76" t="s">
        <v>355</v>
      </c>
      <c r="U76">
        <v>113.6</v>
      </c>
      <c r="V76">
        <v>41.3</v>
      </c>
      <c r="W76">
        <v>2</v>
      </c>
      <c r="X76">
        <v>278</v>
      </c>
      <c r="Y76">
        <v>2</v>
      </c>
      <c r="Z76">
        <v>98</v>
      </c>
      <c r="AA76">
        <v>278</v>
      </c>
      <c r="AB76" t="s">
        <v>197</v>
      </c>
      <c r="AC76" t="s">
        <v>198</v>
      </c>
      <c r="AD76" t="s">
        <v>199</v>
      </c>
      <c r="AE76">
        <v>32</v>
      </c>
      <c r="AF76">
        <v>44</v>
      </c>
      <c r="AG76">
        <v>255</v>
      </c>
      <c r="AH76">
        <v>0</v>
      </c>
      <c r="AI76">
        <v>0</v>
      </c>
      <c r="AJ76">
        <v>0</v>
      </c>
      <c r="AK76">
        <v>12.6</v>
      </c>
      <c r="AL76">
        <v>0</v>
      </c>
      <c r="AM76">
        <v>0</v>
      </c>
      <c r="AN76" t="s">
        <v>197</v>
      </c>
      <c r="AO76">
        <v>100</v>
      </c>
      <c r="AP76" t="s">
        <v>197</v>
      </c>
      <c r="AQ76" t="s">
        <v>200</v>
      </c>
      <c r="AR76">
        <v>1</v>
      </c>
      <c r="AS76">
        <v>0</v>
      </c>
      <c r="AT76" t="s">
        <v>356</v>
      </c>
      <c r="AU76" t="s">
        <v>356</v>
      </c>
      <c r="AV76" t="s">
        <v>202</v>
      </c>
      <c r="AW76" t="s">
        <v>203</v>
      </c>
      <c r="AX76" t="s">
        <v>203</v>
      </c>
      <c r="AY76" t="s">
        <v>203</v>
      </c>
      <c r="AZ76" t="s">
        <v>203</v>
      </c>
      <c r="BA76" t="s">
        <v>203</v>
      </c>
      <c r="BB76" t="s">
        <v>203</v>
      </c>
      <c r="BC76" t="s">
        <v>203</v>
      </c>
      <c r="BD76" t="s">
        <v>203</v>
      </c>
      <c r="BE76" t="s">
        <v>203</v>
      </c>
      <c r="BF76">
        <v>48.59</v>
      </c>
      <c r="BG76">
        <v>0.2</v>
      </c>
      <c r="BH76">
        <v>50</v>
      </c>
      <c r="BI76">
        <v>0</v>
      </c>
      <c r="BJ76" t="s">
        <v>198</v>
      </c>
      <c r="BK76" t="s">
        <v>198</v>
      </c>
      <c r="BL76" t="s">
        <v>198</v>
      </c>
      <c r="BM76" t="s">
        <v>198</v>
      </c>
      <c r="BN76" t="s">
        <v>198</v>
      </c>
      <c r="BO76" t="s">
        <v>198</v>
      </c>
      <c r="BP76" t="s">
        <v>198</v>
      </c>
      <c r="BQ76" t="s">
        <v>198</v>
      </c>
      <c r="BR76" t="s">
        <v>198</v>
      </c>
      <c r="BS76" t="s">
        <v>198</v>
      </c>
      <c r="BT76" t="s">
        <v>198</v>
      </c>
      <c r="BU76" t="s">
        <v>198</v>
      </c>
      <c r="BV76" t="s">
        <v>198</v>
      </c>
      <c r="BW76" t="s">
        <v>198</v>
      </c>
      <c r="BX76" t="s">
        <v>198</v>
      </c>
      <c r="BY76" t="s">
        <v>198</v>
      </c>
      <c r="BZ76" t="s">
        <v>198</v>
      </c>
      <c r="CA76" t="s">
        <v>198</v>
      </c>
      <c r="CB76" t="s">
        <v>204</v>
      </c>
      <c r="CC76" t="s">
        <v>204</v>
      </c>
      <c r="CD76" t="s">
        <v>204</v>
      </c>
      <c r="CE76" t="s">
        <v>204</v>
      </c>
      <c r="CF76" t="s">
        <v>204</v>
      </c>
      <c r="CG76" t="s">
        <v>204</v>
      </c>
      <c r="CH76" t="s">
        <v>204</v>
      </c>
      <c r="CI76" t="s">
        <v>204</v>
      </c>
      <c r="CJ76" t="s">
        <v>204</v>
      </c>
      <c r="CK76" t="s">
        <v>204</v>
      </c>
      <c r="CL76" t="s">
        <v>204</v>
      </c>
      <c r="CM76" t="s">
        <v>204</v>
      </c>
      <c r="CN76" t="s">
        <v>203</v>
      </c>
      <c r="CO76" t="s">
        <v>203</v>
      </c>
      <c r="CP76" t="s">
        <v>203</v>
      </c>
      <c r="CQ76" t="s">
        <v>203</v>
      </c>
      <c r="CR76" t="s">
        <v>203</v>
      </c>
      <c r="CS76" t="s">
        <v>203</v>
      </c>
      <c r="CT76" t="s">
        <v>203</v>
      </c>
      <c r="CU76" t="s">
        <v>203</v>
      </c>
      <c r="CV76">
        <v>0</v>
      </c>
      <c r="CW76">
        <v>0</v>
      </c>
      <c r="CX76" t="s">
        <v>198</v>
      </c>
      <c r="CY76" t="s">
        <v>198</v>
      </c>
      <c r="CZ76" t="s">
        <v>198</v>
      </c>
      <c r="DA76" t="s">
        <v>198</v>
      </c>
      <c r="DB76" t="s">
        <v>198</v>
      </c>
      <c r="DC76">
        <v>0</v>
      </c>
      <c r="DD76">
        <v>0</v>
      </c>
      <c r="DE76">
        <v>0</v>
      </c>
      <c r="DF76">
        <v>0</v>
      </c>
      <c r="DG76">
        <v>-35.3631197</v>
      </c>
      <c r="DH76">
        <v>149.1640013</v>
      </c>
      <c r="DI76" t="s">
        <v>357</v>
      </c>
      <c r="DJ76">
        <v>1.2</v>
      </c>
      <c r="DK76">
        <v>2</v>
      </c>
      <c r="DL76">
        <v>278.1</v>
      </c>
      <c r="DM76">
        <v>0</v>
      </c>
      <c r="DN76">
        <v>6</v>
      </c>
      <c r="DO76">
        <v>10</v>
      </c>
      <c r="DP76">
        <v>0</v>
      </c>
      <c r="DQ76">
        <v>255</v>
      </c>
      <c r="DR76">
        <v>255</v>
      </c>
      <c r="DS76">
        <v>255</v>
      </c>
      <c r="DT76">
        <v>255</v>
      </c>
      <c r="DU76">
        <v>255</v>
      </c>
      <c r="DV76">
        <v>255</v>
      </c>
      <c r="DW76">
        <v>255</v>
      </c>
      <c r="DX76" t="s">
        <v>206</v>
      </c>
      <c r="DY76" t="s">
        <v>206</v>
      </c>
      <c r="DZ76" t="s">
        <v>207</v>
      </c>
      <c r="EA76" t="s">
        <v>198</v>
      </c>
      <c r="EB76" t="s">
        <v>198</v>
      </c>
      <c r="EC76" t="s">
        <v>198</v>
      </c>
      <c r="ED76">
        <v>0</v>
      </c>
      <c r="EE76">
        <v>0</v>
      </c>
      <c r="EF76">
        <v>0</v>
      </c>
      <c r="EG76">
        <v>0</v>
      </c>
      <c r="EH76">
        <v>255</v>
      </c>
      <c r="EI76">
        <v>255</v>
      </c>
      <c r="EJ76">
        <v>255</v>
      </c>
      <c r="EK76">
        <v>255</v>
      </c>
      <c r="EL76">
        <v>255</v>
      </c>
      <c r="EM76">
        <v>255</v>
      </c>
      <c r="EN76">
        <v>255</v>
      </c>
      <c r="EO76">
        <v>255</v>
      </c>
      <c r="EP76">
        <v>255</v>
      </c>
      <c r="EQ76">
        <v>255</v>
      </c>
      <c r="ER76" t="s">
        <v>208</v>
      </c>
      <c r="ES76" t="s">
        <v>209</v>
      </c>
      <c r="ET76" t="s">
        <v>209</v>
      </c>
      <c r="EU76">
        <v>0</v>
      </c>
      <c r="EV76">
        <v>15.9</v>
      </c>
      <c r="EW76">
        <v>-112.6</v>
      </c>
      <c r="EX76">
        <v>-50.2</v>
      </c>
      <c r="EY76">
        <v>0.4</v>
      </c>
      <c r="EZ76">
        <v>-2.7</v>
      </c>
      <c r="FA76">
        <v>0</v>
      </c>
      <c r="FB76" t="s">
        <v>198</v>
      </c>
      <c r="FC76" t="s">
        <v>198</v>
      </c>
      <c r="FD76" t="s">
        <v>198</v>
      </c>
      <c r="FE76" t="s">
        <v>198</v>
      </c>
      <c r="FF76" t="s">
        <v>198</v>
      </c>
      <c r="FG76" t="s">
        <v>198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203</v>
      </c>
      <c r="FP76" t="s">
        <v>203</v>
      </c>
      <c r="FQ76" t="s">
        <v>203</v>
      </c>
      <c r="FR76" t="s">
        <v>203</v>
      </c>
      <c r="FS76" t="s">
        <v>203</v>
      </c>
      <c r="FT76" t="s">
        <v>203</v>
      </c>
      <c r="FU76" t="s">
        <v>198</v>
      </c>
      <c r="FV76" t="s">
        <v>198</v>
      </c>
      <c r="FW76" t="s">
        <v>198</v>
      </c>
      <c r="FX76" t="s">
        <v>198</v>
      </c>
      <c r="FY76" t="s">
        <v>198</v>
      </c>
      <c r="FZ76" t="s">
        <v>198</v>
      </c>
      <c r="GA76">
        <v>30.87</v>
      </c>
      <c r="GB76">
        <v>30.87</v>
      </c>
      <c r="GC76" t="s">
        <v>203</v>
      </c>
      <c r="GD76">
        <v>0</v>
      </c>
      <c r="GE76">
        <v>504</v>
      </c>
      <c r="GF76">
        <v>0</v>
      </c>
      <c r="GG76">
        <v>0.1</v>
      </c>
      <c r="GH76">
        <v>0.6</v>
      </c>
      <c r="GI76">
        <v>0</v>
      </c>
      <c r="GJ76">
        <v>0</v>
      </c>
      <c r="GK76">
        <v>0</v>
      </c>
      <c r="GL76" t="s">
        <v>198</v>
      </c>
      <c r="GM76" t="s">
        <v>198</v>
      </c>
      <c r="GN76" t="s">
        <v>198</v>
      </c>
    </row>
    <row r="77" spans="1:196">
      <c r="A77" s="19">
        <v>46316.90477247685</v>
      </c>
      <c r="B77">
        <v>0.4</v>
      </c>
      <c r="C77">
        <v>7.5</v>
      </c>
      <c r="D77">
        <v>277</v>
      </c>
      <c r="E77">
        <v>0</v>
      </c>
      <c r="F77">
        <v>0</v>
      </c>
      <c r="G77">
        <v>0</v>
      </c>
      <c r="H77">
        <v>0.8</v>
      </c>
      <c r="I77">
        <v>1</v>
      </c>
      <c r="J77">
        <v>0.965</v>
      </c>
      <c r="K77">
        <v>0</v>
      </c>
      <c r="L77">
        <v>50</v>
      </c>
      <c r="M77">
        <v>634.2</v>
      </c>
      <c r="N77">
        <v>49.2</v>
      </c>
      <c r="O77">
        <v>50</v>
      </c>
      <c r="P77">
        <v>50</v>
      </c>
      <c r="Q77">
        <v>0.001</v>
      </c>
      <c r="R77">
        <v>0</v>
      </c>
      <c r="S77">
        <v>113.6</v>
      </c>
      <c r="T77" t="s">
        <v>358</v>
      </c>
      <c r="U77">
        <v>115.3</v>
      </c>
      <c r="V77">
        <v>150.6</v>
      </c>
      <c r="W77">
        <v>2</v>
      </c>
      <c r="X77">
        <v>278</v>
      </c>
      <c r="Y77">
        <v>0</v>
      </c>
      <c r="Z77">
        <v>98</v>
      </c>
      <c r="AA77">
        <v>278</v>
      </c>
      <c r="AB77" t="s">
        <v>197</v>
      </c>
      <c r="AC77" t="s">
        <v>198</v>
      </c>
      <c r="AD77" t="s">
        <v>199</v>
      </c>
      <c r="AE77">
        <v>32</v>
      </c>
      <c r="AF77">
        <v>44</v>
      </c>
      <c r="AG77">
        <v>255</v>
      </c>
      <c r="AH77">
        <v>0</v>
      </c>
      <c r="AI77">
        <v>0</v>
      </c>
      <c r="AJ77">
        <v>0</v>
      </c>
      <c r="AK77">
        <v>12.6</v>
      </c>
      <c r="AL77">
        <v>0</v>
      </c>
      <c r="AM77">
        <v>0</v>
      </c>
      <c r="AN77" t="s">
        <v>197</v>
      </c>
      <c r="AO77">
        <v>100</v>
      </c>
      <c r="AP77" t="s">
        <v>197</v>
      </c>
      <c r="AQ77" t="s">
        <v>200</v>
      </c>
      <c r="AR77">
        <v>1</v>
      </c>
      <c r="AS77">
        <v>0</v>
      </c>
      <c r="AT77" t="s">
        <v>359</v>
      </c>
      <c r="AU77" t="s">
        <v>359</v>
      </c>
      <c r="AV77" t="s">
        <v>202</v>
      </c>
      <c r="AW77" t="s">
        <v>203</v>
      </c>
      <c r="AX77" t="s">
        <v>203</v>
      </c>
      <c r="AY77" t="s">
        <v>203</v>
      </c>
      <c r="AZ77" t="s">
        <v>203</v>
      </c>
      <c r="BA77" t="s">
        <v>203</v>
      </c>
      <c r="BB77" t="s">
        <v>203</v>
      </c>
      <c r="BC77" t="s">
        <v>203</v>
      </c>
      <c r="BD77" t="s">
        <v>203</v>
      </c>
      <c r="BE77" t="s">
        <v>203</v>
      </c>
      <c r="BF77">
        <v>47.85</v>
      </c>
      <c r="BG77">
        <v>0.2</v>
      </c>
      <c r="BH77">
        <v>50</v>
      </c>
      <c r="BI77">
        <v>0</v>
      </c>
      <c r="BJ77" t="s">
        <v>198</v>
      </c>
      <c r="BK77" t="s">
        <v>198</v>
      </c>
      <c r="BL77" t="s">
        <v>198</v>
      </c>
      <c r="BM77" t="s">
        <v>198</v>
      </c>
      <c r="BN77" t="s">
        <v>198</v>
      </c>
      <c r="BO77" t="s">
        <v>198</v>
      </c>
      <c r="BP77" t="s">
        <v>198</v>
      </c>
      <c r="BQ77" t="s">
        <v>198</v>
      </c>
      <c r="BR77" t="s">
        <v>198</v>
      </c>
      <c r="BS77" t="s">
        <v>198</v>
      </c>
      <c r="BT77" t="s">
        <v>198</v>
      </c>
      <c r="BU77" t="s">
        <v>198</v>
      </c>
      <c r="BV77" t="s">
        <v>198</v>
      </c>
      <c r="BW77" t="s">
        <v>198</v>
      </c>
      <c r="BX77" t="s">
        <v>198</v>
      </c>
      <c r="BY77" t="s">
        <v>198</v>
      </c>
      <c r="BZ77" t="s">
        <v>198</v>
      </c>
      <c r="CA77" t="s">
        <v>198</v>
      </c>
      <c r="CB77" t="s">
        <v>204</v>
      </c>
      <c r="CC77" t="s">
        <v>204</v>
      </c>
      <c r="CD77" t="s">
        <v>204</v>
      </c>
      <c r="CE77" t="s">
        <v>204</v>
      </c>
      <c r="CF77" t="s">
        <v>204</v>
      </c>
      <c r="CG77" t="s">
        <v>204</v>
      </c>
      <c r="CH77" t="s">
        <v>204</v>
      </c>
      <c r="CI77" t="s">
        <v>204</v>
      </c>
      <c r="CJ77" t="s">
        <v>204</v>
      </c>
      <c r="CK77" t="s">
        <v>204</v>
      </c>
      <c r="CL77" t="s">
        <v>204</v>
      </c>
      <c r="CM77" t="s">
        <v>204</v>
      </c>
      <c r="CN77" t="s">
        <v>203</v>
      </c>
      <c r="CO77" t="s">
        <v>203</v>
      </c>
      <c r="CP77" t="s">
        <v>203</v>
      </c>
      <c r="CQ77" t="s">
        <v>203</v>
      </c>
      <c r="CR77" t="s">
        <v>203</v>
      </c>
      <c r="CS77" t="s">
        <v>203</v>
      </c>
      <c r="CT77" t="s">
        <v>203</v>
      </c>
      <c r="CU77" t="s">
        <v>203</v>
      </c>
      <c r="CV77">
        <v>0</v>
      </c>
      <c r="CW77">
        <v>0</v>
      </c>
      <c r="CX77" t="s">
        <v>198</v>
      </c>
      <c r="CY77" t="s">
        <v>198</v>
      </c>
      <c r="CZ77" t="s">
        <v>198</v>
      </c>
      <c r="DA77" t="s">
        <v>198</v>
      </c>
      <c r="DB77" t="s">
        <v>198</v>
      </c>
      <c r="DC77">
        <v>0</v>
      </c>
      <c r="DD77">
        <v>0</v>
      </c>
      <c r="DE77">
        <v>0</v>
      </c>
      <c r="DF77">
        <v>0</v>
      </c>
      <c r="DG77">
        <v>-35.3631173</v>
      </c>
      <c r="DH77">
        <v>149.1639799</v>
      </c>
      <c r="DI77" t="s">
        <v>360</v>
      </c>
      <c r="DJ77">
        <v>1.2</v>
      </c>
      <c r="DK77">
        <v>2</v>
      </c>
      <c r="DL77">
        <v>277.9</v>
      </c>
      <c r="DM77">
        <v>0</v>
      </c>
      <c r="DN77">
        <v>6</v>
      </c>
      <c r="DO77">
        <v>10</v>
      </c>
      <c r="DP77">
        <v>0</v>
      </c>
      <c r="DQ77">
        <v>255</v>
      </c>
      <c r="DR77">
        <v>255</v>
      </c>
      <c r="DS77">
        <v>255</v>
      </c>
      <c r="DT77">
        <v>255</v>
      </c>
      <c r="DU77">
        <v>255</v>
      </c>
      <c r="DV77">
        <v>255</v>
      </c>
      <c r="DW77">
        <v>255</v>
      </c>
      <c r="DX77" t="s">
        <v>206</v>
      </c>
      <c r="DY77" t="s">
        <v>206</v>
      </c>
      <c r="DZ77" t="s">
        <v>207</v>
      </c>
      <c r="EA77" t="s">
        <v>198</v>
      </c>
      <c r="EB77" t="s">
        <v>198</v>
      </c>
      <c r="EC77" t="s">
        <v>198</v>
      </c>
      <c r="ED77">
        <v>0</v>
      </c>
      <c r="EE77">
        <v>0</v>
      </c>
      <c r="EF77">
        <v>0</v>
      </c>
      <c r="EG77">
        <v>0</v>
      </c>
      <c r="EH77">
        <v>255</v>
      </c>
      <c r="EI77">
        <v>255</v>
      </c>
      <c r="EJ77">
        <v>255</v>
      </c>
      <c r="EK77">
        <v>255</v>
      </c>
      <c r="EL77">
        <v>255</v>
      </c>
      <c r="EM77">
        <v>255</v>
      </c>
      <c r="EN77">
        <v>255</v>
      </c>
      <c r="EO77">
        <v>255</v>
      </c>
      <c r="EP77">
        <v>255</v>
      </c>
      <c r="EQ77">
        <v>255</v>
      </c>
      <c r="ER77" t="s">
        <v>208</v>
      </c>
      <c r="ES77" t="s">
        <v>209</v>
      </c>
      <c r="ET77" t="s">
        <v>209</v>
      </c>
      <c r="EU77">
        <v>0</v>
      </c>
      <c r="EV77">
        <v>16.1</v>
      </c>
      <c r="EW77">
        <v>-114.3</v>
      </c>
      <c r="EX77">
        <v>-50.2</v>
      </c>
      <c r="EY77">
        <v>0.1</v>
      </c>
      <c r="EZ77">
        <v>-0.8</v>
      </c>
      <c r="FA77">
        <v>0</v>
      </c>
      <c r="FB77" t="s">
        <v>198</v>
      </c>
      <c r="FC77" t="s">
        <v>198</v>
      </c>
      <c r="FD77" t="s">
        <v>198</v>
      </c>
      <c r="FE77" t="s">
        <v>198</v>
      </c>
      <c r="FF77" t="s">
        <v>198</v>
      </c>
      <c r="FG77" t="s">
        <v>198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203</v>
      </c>
      <c r="FP77" t="s">
        <v>203</v>
      </c>
      <c r="FQ77" t="s">
        <v>203</v>
      </c>
      <c r="FR77" t="s">
        <v>203</v>
      </c>
      <c r="FS77" t="s">
        <v>203</v>
      </c>
      <c r="FT77" t="s">
        <v>203</v>
      </c>
      <c r="FU77" t="s">
        <v>198</v>
      </c>
      <c r="FV77" t="s">
        <v>198</v>
      </c>
      <c r="FW77" t="s">
        <v>198</v>
      </c>
      <c r="FX77" t="s">
        <v>198</v>
      </c>
      <c r="FY77" t="s">
        <v>198</v>
      </c>
      <c r="FZ77" t="s">
        <v>198</v>
      </c>
      <c r="GA77">
        <v>30.87</v>
      </c>
      <c r="GB77">
        <v>30.87</v>
      </c>
      <c r="GC77" t="s">
        <v>203</v>
      </c>
      <c r="GD77">
        <v>0</v>
      </c>
      <c r="GE77">
        <v>504</v>
      </c>
      <c r="GF77">
        <v>0</v>
      </c>
      <c r="GG77">
        <v>0.1</v>
      </c>
      <c r="GH77">
        <v>0.5</v>
      </c>
      <c r="GI77">
        <v>0</v>
      </c>
      <c r="GJ77">
        <v>0</v>
      </c>
      <c r="GK77">
        <v>0</v>
      </c>
      <c r="GL77" t="s">
        <v>198</v>
      </c>
      <c r="GM77" t="s">
        <v>198</v>
      </c>
      <c r="GN77" t="s">
        <v>198</v>
      </c>
    </row>
    <row r="78" spans="1:196">
      <c r="A78" s="19">
        <v>46316.9047840625</v>
      </c>
      <c r="B78">
        <v>-0.3</v>
      </c>
      <c r="C78">
        <v>1.3</v>
      </c>
      <c r="D78">
        <v>277</v>
      </c>
      <c r="E78">
        <v>0</v>
      </c>
      <c r="F78">
        <v>0</v>
      </c>
      <c r="G78">
        <v>0</v>
      </c>
      <c r="H78">
        <v>0.1</v>
      </c>
      <c r="I78">
        <v>0.1</v>
      </c>
      <c r="J78">
        <v>0.117</v>
      </c>
      <c r="K78">
        <v>0</v>
      </c>
      <c r="L78">
        <v>50</v>
      </c>
      <c r="M78">
        <v>634.2</v>
      </c>
      <c r="N78">
        <v>49.2</v>
      </c>
      <c r="O78">
        <v>49.99</v>
      </c>
      <c r="P78">
        <v>50</v>
      </c>
      <c r="Q78">
        <v>0.003</v>
      </c>
      <c r="R78">
        <v>0</v>
      </c>
      <c r="S78">
        <v>113.6</v>
      </c>
      <c r="T78" t="s">
        <v>361</v>
      </c>
      <c r="U78">
        <v>115.6</v>
      </c>
      <c r="V78">
        <v>1500.5</v>
      </c>
      <c r="W78">
        <v>2</v>
      </c>
      <c r="X78">
        <v>278</v>
      </c>
      <c r="Y78">
        <v>0</v>
      </c>
      <c r="Z78">
        <v>98</v>
      </c>
      <c r="AA78">
        <v>278</v>
      </c>
      <c r="AB78" t="s">
        <v>197</v>
      </c>
      <c r="AC78" t="s">
        <v>198</v>
      </c>
      <c r="AD78" t="s">
        <v>199</v>
      </c>
      <c r="AE78">
        <v>33</v>
      </c>
      <c r="AF78">
        <v>44</v>
      </c>
      <c r="AG78">
        <v>255</v>
      </c>
      <c r="AH78">
        <v>0</v>
      </c>
      <c r="AI78">
        <v>0</v>
      </c>
      <c r="AJ78">
        <v>0</v>
      </c>
      <c r="AK78">
        <v>12.6</v>
      </c>
      <c r="AL78">
        <v>0</v>
      </c>
      <c r="AM78">
        <v>0</v>
      </c>
      <c r="AN78" t="s">
        <v>197</v>
      </c>
      <c r="AO78">
        <v>100</v>
      </c>
      <c r="AP78" t="s">
        <v>197</v>
      </c>
      <c r="AQ78" t="s">
        <v>200</v>
      </c>
      <c r="AR78">
        <v>1</v>
      </c>
      <c r="AS78">
        <v>0</v>
      </c>
      <c r="AT78" t="s">
        <v>362</v>
      </c>
      <c r="AU78" t="s">
        <v>362</v>
      </c>
      <c r="AV78" t="s">
        <v>202</v>
      </c>
      <c r="AW78" t="s">
        <v>203</v>
      </c>
      <c r="AX78" t="s">
        <v>203</v>
      </c>
      <c r="AY78" t="s">
        <v>203</v>
      </c>
      <c r="AZ78" t="s">
        <v>203</v>
      </c>
      <c r="BA78" t="s">
        <v>203</v>
      </c>
      <c r="BB78" t="s">
        <v>203</v>
      </c>
      <c r="BC78" t="s">
        <v>203</v>
      </c>
      <c r="BD78" t="s">
        <v>203</v>
      </c>
      <c r="BE78" t="s">
        <v>203</v>
      </c>
      <c r="BF78">
        <v>47.43</v>
      </c>
      <c r="BG78">
        <v>0.2</v>
      </c>
      <c r="BH78">
        <v>50</v>
      </c>
      <c r="BI78">
        <v>0</v>
      </c>
      <c r="BJ78" t="s">
        <v>198</v>
      </c>
      <c r="BK78" t="s">
        <v>198</v>
      </c>
      <c r="BL78" t="s">
        <v>198</v>
      </c>
      <c r="BM78" t="s">
        <v>198</v>
      </c>
      <c r="BN78" t="s">
        <v>198</v>
      </c>
      <c r="BO78" t="s">
        <v>198</v>
      </c>
      <c r="BP78" t="s">
        <v>198</v>
      </c>
      <c r="BQ78" t="s">
        <v>198</v>
      </c>
      <c r="BR78" t="s">
        <v>198</v>
      </c>
      <c r="BS78" t="s">
        <v>198</v>
      </c>
      <c r="BT78" t="s">
        <v>198</v>
      </c>
      <c r="BU78" t="s">
        <v>198</v>
      </c>
      <c r="BV78" t="s">
        <v>198</v>
      </c>
      <c r="BW78" t="s">
        <v>198</v>
      </c>
      <c r="BX78" t="s">
        <v>198</v>
      </c>
      <c r="BY78" t="s">
        <v>198</v>
      </c>
      <c r="BZ78" t="s">
        <v>198</v>
      </c>
      <c r="CA78" t="s">
        <v>198</v>
      </c>
      <c r="CB78" t="s">
        <v>204</v>
      </c>
      <c r="CC78" t="s">
        <v>204</v>
      </c>
      <c r="CD78" t="s">
        <v>204</v>
      </c>
      <c r="CE78" t="s">
        <v>204</v>
      </c>
      <c r="CF78" t="s">
        <v>204</v>
      </c>
      <c r="CG78" t="s">
        <v>204</v>
      </c>
      <c r="CH78" t="s">
        <v>204</v>
      </c>
      <c r="CI78" t="s">
        <v>204</v>
      </c>
      <c r="CJ78" t="s">
        <v>204</v>
      </c>
      <c r="CK78" t="s">
        <v>204</v>
      </c>
      <c r="CL78" t="s">
        <v>204</v>
      </c>
      <c r="CM78" t="s">
        <v>204</v>
      </c>
      <c r="CN78" t="s">
        <v>203</v>
      </c>
      <c r="CO78" t="s">
        <v>203</v>
      </c>
      <c r="CP78" t="s">
        <v>203</v>
      </c>
      <c r="CQ78" t="s">
        <v>203</v>
      </c>
      <c r="CR78" t="s">
        <v>203</v>
      </c>
      <c r="CS78" t="s">
        <v>203</v>
      </c>
      <c r="CT78" t="s">
        <v>203</v>
      </c>
      <c r="CU78" t="s">
        <v>203</v>
      </c>
      <c r="CV78">
        <v>0</v>
      </c>
      <c r="CW78">
        <v>0</v>
      </c>
      <c r="CX78" t="s">
        <v>198</v>
      </c>
      <c r="CY78" t="s">
        <v>198</v>
      </c>
      <c r="CZ78" t="s">
        <v>198</v>
      </c>
      <c r="DA78" t="s">
        <v>198</v>
      </c>
      <c r="DB78" t="s">
        <v>198</v>
      </c>
      <c r="DC78">
        <v>0</v>
      </c>
      <c r="DD78">
        <v>0</v>
      </c>
      <c r="DE78">
        <v>0</v>
      </c>
      <c r="DF78">
        <v>0</v>
      </c>
      <c r="DG78">
        <v>-35.3631168</v>
      </c>
      <c r="DH78">
        <v>149.1639751</v>
      </c>
      <c r="DI78" t="s">
        <v>360</v>
      </c>
      <c r="DJ78">
        <v>1.2</v>
      </c>
      <c r="DK78">
        <v>2</v>
      </c>
      <c r="DL78">
        <v>278.4</v>
      </c>
      <c r="DM78">
        <v>0</v>
      </c>
      <c r="DN78">
        <v>6</v>
      </c>
      <c r="DO78">
        <v>10</v>
      </c>
      <c r="DP78">
        <v>0</v>
      </c>
      <c r="DQ78">
        <v>255</v>
      </c>
      <c r="DR78">
        <v>255</v>
      </c>
      <c r="DS78">
        <v>255</v>
      </c>
      <c r="DT78">
        <v>255</v>
      </c>
      <c r="DU78">
        <v>255</v>
      </c>
      <c r="DV78">
        <v>255</v>
      </c>
      <c r="DW78">
        <v>255</v>
      </c>
      <c r="DX78" t="s">
        <v>206</v>
      </c>
      <c r="DY78" t="s">
        <v>206</v>
      </c>
      <c r="DZ78" t="s">
        <v>207</v>
      </c>
      <c r="EA78" t="s">
        <v>198</v>
      </c>
      <c r="EB78" t="s">
        <v>198</v>
      </c>
      <c r="EC78" t="s">
        <v>198</v>
      </c>
      <c r="ED78">
        <v>0</v>
      </c>
      <c r="EE78">
        <v>0</v>
      </c>
      <c r="EF78">
        <v>0</v>
      </c>
      <c r="EG78">
        <v>0</v>
      </c>
      <c r="EH78">
        <v>255</v>
      </c>
      <c r="EI78">
        <v>255</v>
      </c>
      <c r="EJ78">
        <v>255</v>
      </c>
      <c r="EK78">
        <v>255</v>
      </c>
      <c r="EL78">
        <v>255</v>
      </c>
      <c r="EM78">
        <v>255</v>
      </c>
      <c r="EN78">
        <v>255</v>
      </c>
      <c r="EO78">
        <v>255</v>
      </c>
      <c r="EP78">
        <v>255</v>
      </c>
      <c r="EQ78">
        <v>255</v>
      </c>
      <c r="ER78" t="s">
        <v>208</v>
      </c>
      <c r="ES78" t="s">
        <v>209</v>
      </c>
      <c r="ET78" t="s">
        <v>209</v>
      </c>
      <c r="EU78">
        <v>0</v>
      </c>
      <c r="EV78">
        <v>16.2</v>
      </c>
      <c r="EW78">
        <v>-114.6</v>
      </c>
      <c r="EX78">
        <v>-50.2</v>
      </c>
      <c r="EY78">
        <v>0</v>
      </c>
      <c r="EZ78">
        <v>-0.1</v>
      </c>
      <c r="FA78">
        <v>0</v>
      </c>
      <c r="FB78" t="s">
        <v>198</v>
      </c>
      <c r="FC78" t="s">
        <v>198</v>
      </c>
      <c r="FD78" t="s">
        <v>198</v>
      </c>
      <c r="FE78" t="s">
        <v>198</v>
      </c>
      <c r="FF78" t="s">
        <v>198</v>
      </c>
      <c r="FG78" t="s">
        <v>198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 t="s">
        <v>203</v>
      </c>
      <c r="FP78" t="s">
        <v>203</v>
      </c>
      <c r="FQ78" t="s">
        <v>203</v>
      </c>
      <c r="FR78" t="s">
        <v>203</v>
      </c>
      <c r="FS78" t="s">
        <v>203</v>
      </c>
      <c r="FT78" t="s">
        <v>203</v>
      </c>
      <c r="FU78" t="s">
        <v>198</v>
      </c>
      <c r="FV78" t="s">
        <v>198</v>
      </c>
      <c r="FW78" t="s">
        <v>198</v>
      </c>
      <c r="FX78" t="s">
        <v>198</v>
      </c>
      <c r="FY78" t="s">
        <v>198</v>
      </c>
      <c r="FZ78" t="s">
        <v>198</v>
      </c>
      <c r="GA78">
        <v>30.87</v>
      </c>
      <c r="GB78">
        <v>30.87</v>
      </c>
      <c r="GC78" t="s">
        <v>203</v>
      </c>
      <c r="GD78">
        <v>0</v>
      </c>
      <c r="GE78">
        <v>504</v>
      </c>
      <c r="GF78">
        <v>0</v>
      </c>
      <c r="GG78">
        <v>0.1</v>
      </c>
      <c r="GH78">
        <v>0.5</v>
      </c>
      <c r="GI78">
        <v>0</v>
      </c>
      <c r="GJ78">
        <v>0</v>
      </c>
      <c r="GK78">
        <v>0</v>
      </c>
      <c r="GL78" t="s">
        <v>198</v>
      </c>
      <c r="GM78" t="s">
        <v>198</v>
      </c>
      <c r="GN78" t="s">
        <v>198</v>
      </c>
    </row>
    <row r="79" spans="1:196">
      <c r="A79" s="19">
        <v>46316.90479563658</v>
      </c>
      <c r="B79">
        <v>0.2</v>
      </c>
      <c r="C79">
        <v>-0.7</v>
      </c>
      <c r="D79">
        <v>278</v>
      </c>
      <c r="E79">
        <v>0</v>
      </c>
      <c r="F79">
        <v>0</v>
      </c>
      <c r="G79">
        <v>0</v>
      </c>
      <c r="H79">
        <v>0.1</v>
      </c>
      <c r="I79">
        <v>0.1</v>
      </c>
      <c r="J79">
        <v>0.108</v>
      </c>
      <c r="K79">
        <v>-0.1</v>
      </c>
      <c r="L79">
        <v>50</v>
      </c>
      <c r="M79">
        <v>634.2</v>
      </c>
      <c r="N79">
        <v>49.2</v>
      </c>
      <c r="O79">
        <v>49.99</v>
      </c>
      <c r="P79">
        <v>49.993</v>
      </c>
      <c r="Q79">
        <v>0.056</v>
      </c>
      <c r="R79">
        <v>0</v>
      </c>
      <c r="S79">
        <v>115.6</v>
      </c>
      <c r="T79" t="s">
        <v>363</v>
      </c>
      <c r="U79">
        <v>115.7</v>
      </c>
      <c r="V79">
        <v>900.7</v>
      </c>
      <c r="W79">
        <v>3</v>
      </c>
      <c r="X79" t="s">
        <v>197</v>
      </c>
      <c r="Y79">
        <v>0</v>
      </c>
      <c r="Z79">
        <v>98</v>
      </c>
      <c r="AA79">
        <v>278</v>
      </c>
      <c r="AB79" t="s">
        <v>197</v>
      </c>
      <c r="AC79" t="s">
        <v>198</v>
      </c>
      <c r="AD79" t="s">
        <v>199</v>
      </c>
      <c r="AE79">
        <v>31</v>
      </c>
      <c r="AF79">
        <v>44</v>
      </c>
      <c r="AG79">
        <v>255</v>
      </c>
      <c r="AH79">
        <v>0</v>
      </c>
      <c r="AI79">
        <v>0</v>
      </c>
      <c r="AJ79">
        <v>0</v>
      </c>
      <c r="AK79">
        <v>12.6</v>
      </c>
      <c r="AL79">
        <v>0</v>
      </c>
      <c r="AM79">
        <v>0</v>
      </c>
      <c r="AN79" t="s">
        <v>197</v>
      </c>
      <c r="AO79">
        <v>100</v>
      </c>
      <c r="AP79" t="s">
        <v>197</v>
      </c>
      <c r="AQ79" t="s">
        <v>200</v>
      </c>
      <c r="AR79">
        <v>1</v>
      </c>
      <c r="AS79">
        <v>0</v>
      </c>
      <c r="AT79" t="s">
        <v>364</v>
      </c>
      <c r="AU79" t="s">
        <v>364</v>
      </c>
      <c r="AV79" t="s">
        <v>202</v>
      </c>
      <c r="AW79" t="s">
        <v>203</v>
      </c>
      <c r="AX79" t="s">
        <v>203</v>
      </c>
      <c r="AY79" t="s">
        <v>203</v>
      </c>
      <c r="AZ79" t="s">
        <v>203</v>
      </c>
      <c r="BA79" t="s">
        <v>203</v>
      </c>
      <c r="BB79" t="s">
        <v>203</v>
      </c>
      <c r="BC79" t="s">
        <v>203</v>
      </c>
      <c r="BD79" t="s">
        <v>203</v>
      </c>
      <c r="BE79" t="s">
        <v>203</v>
      </c>
      <c r="BF79">
        <v>47.42</v>
      </c>
      <c r="BG79">
        <v>0.2</v>
      </c>
      <c r="BH79">
        <v>50</v>
      </c>
      <c r="BI79">
        <v>0</v>
      </c>
      <c r="BJ79" t="s">
        <v>198</v>
      </c>
      <c r="BK79" t="s">
        <v>198</v>
      </c>
      <c r="BL79" t="s">
        <v>198</v>
      </c>
      <c r="BM79" t="s">
        <v>198</v>
      </c>
      <c r="BN79" t="s">
        <v>198</v>
      </c>
      <c r="BO79" t="s">
        <v>198</v>
      </c>
      <c r="BP79" t="s">
        <v>198</v>
      </c>
      <c r="BQ79" t="s">
        <v>198</v>
      </c>
      <c r="BR79" t="s">
        <v>198</v>
      </c>
      <c r="BS79" t="s">
        <v>198</v>
      </c>
      <c r="BT79" t="s">
        <v>198</v>
      </c>
      <c r="BU79" t="s">
        <v>198</v>
      </c>
      <c r="BV79" t="s">
        <v>198</v>
      </c>
      <c r="BW79" t="s">
        <v>198</v>
      </c>
      <c r="BX79" t="s">
        <v>198</v>
      </c>
      <c r="BY79" t="s">
        <v>198</v>
      </c>
      <c r="BZ79" t="s">
        <v>198</v>
      </c>
      <c r="CA79" t="s">
        <v>198</v>
      </c>
      <c r="CB79" t="s">
        <v>204</v>
      </c>
      <c r="CC79" t="s">
        <v>204</v>
      </c>
      <c r="CD79" t="s">
        <v>204</v>
      </c>
      <c r="CE79" t="s">
        <v>204</v>
      </c>
      <c r="CF79" t="s">
        <v>204</v>
      </c>
      <c r="CG79" t="s">
        <v>204</v>
      </c>
      <c r="CH79" t="s">
        <v>204</v>
      </c>
      <c r="CI79" t="s">
        <v>204</v>
      </c>
      <c r="CJ79" t="s">
        <v>204</v>
      </c>
      <c r="CK79" t="s">
        <v>204</v>
      </c>
      <c r="CL79" t="s">
        <v>204</v>
      </c>
      <c r="CM79" t="s">
        <v>204</v>
      </c>
      <c r="CN79" t="s">
        <v>203</v>
      </c>
      <c r="CO79" t="s">
        <v>203</v>
      </c>
      <c r="CP79" t="s">
        <v>203</v>
      </c>
      <c r="CQ79" t="s">
        <v>203</v>
      </c>
      <c r="CR79" t="s">
        <v>203</v>
      </c>
      <c r="CS79" t="s">
        <v>203</v>
      </c>
      <c r="CT79" t="s">
        <v>203</v>
      </c>
      <c r="CU79" t="s">
        <v>203</v>
      </c>
      <c r="CV79">
        <v>0</v>
      </c>
      <c r="CW79">
        <v>0</v>
      </c>
      <c r="CX79" t="s">
        <v>198</v>
      </c>
      <c r="CY79" t="s">
        <v>198</v>
      </c>
      <c r="CZ79" t="s">
        <v>198</v>
      </c>
      <c r="DA79" t="s">
        <v>198</v>
      </c>
      <c r="DB79" t="s">
        <v>198</v>
      </c>
      <c r="DC79">
        <v>0</v>
      </c>
      <c r="DD79">
        <v>0</v>
      </c>
      <c r="DE79">
        <v>0</v>
      </c>
      <c r="DF79">
        <v>0</v>
      </c>
      <c r="DG79">
        <v>-35.3631167</v>
      </c>
      <c r="DH79">
        <v>149.1639743</v>
      </c>
      <c r="DI79" t="s">
        <v>360</v>
      </c>
      <c r="DJ79">
        <v>1.2</v>
      </c>
      <c r="DK79">
        <v>2</v>
      </c>
      <c r="DL79">
        <v>279.8</v>
      </c>
      <c r="DM79">
        <v>0</v>
      </c>
      <c r="DN79">
        <v>6</v>
      </c>
      <c r="DO79">
        <v>10</v>
      </c>
      <c r="DP79">
        <v>0</v>
      </c>
      <c r="DQ79">
        <v>255</v>
      </c>
      <c r="DR79">
        <v>255</v>
      </c>
      <c r="DS79">
        <v>255</v>
      </c>
      <c r="DT79">
        <v>255</v>
      </c>
      <c r="DU79">
        <v>255</v>
      </c>
      <c r="DV79">
        <v>255</v>
      </c>
      <c r="DW79">
        <v>255</v>
      </c>
      <c r="DX79" t="s">
        <v>206</v>
      </c>
      <c r="DY79" t="s">
        <v>206</v>
      </c>
      <c r="DZ79" t="s">
        <v>207</v>
      </c>
      <c r="EA79" t="s">
        <v>198</v>
      </c>
      <c r="EB79" t="s">
        <v>198</v>
      </c>
      <c r="EC79" t="s">
        <v>198</v>
      </c>
      <c r="ED79">
        <v>0</v>
      </c>
      <c r="EE79">
        <v>0</v>
      </c>
      <c r="EF79">
        <v>0</v>
      </c>
      <c r="EG79">
        <v>0</v>
      </c>
      <c r="EH79">
        <v>255</v>
      </c>
      <c r="EI79">
        <v>255</v>
      </c>
      <c r="EJ79">
        <v>255</v>
      </c>
      <c r="EK79">
        <v>255</v>
      </c>
      <c r="EL79">
        <v>255</v>
      </c>
      <c r="EM79">
        <v>255</v>
      </c>
      <c r="EN79">
        <v>255</v>
      </c>
      <c r="EO79">
        <v>255</v>
      </c>
      <c r="EP79">
        <v>255</v>
      </c>
      <c r="EQ79">
        <v>255</v>
      </c>
      <c r="ER79" t="s">
        <v>208</v>
      </c>
      <c r="ES79" t="s">
        <v>209</v>
      </c>
      <c r="ET79" t="s">
        <v>209</v>
      </c>
      <c r="EU79">
        <v>0</v>
      </c>
      <c r="EV79">
        <v>16.2</v>
      </c>
      <c r="EW79">
        <v>-114.7</v>
      </c>
      <c r="EX79">
        <v>-50.2</v>
      </c>
      <c r="EY79">
        <v>0</v>
      </c>
      <c r="EZ79">
        <v>-0.1</v>
      </c>
      <c r="FA79">
        <v>0.1</v>
      </c>
      <c r="FB79" t="s">
        <v>198</v>
      </c>
      <c r="FC79" t="s">
        <v>198</v>
      </c>
      <c r="FD79" t="s">
        <v>198</v>
      </c>
      <c r="FE79" t="s">
        <v>198</v>
      </c>
      <c r="FF79" t="s">
        <v>198</v>
      </c>
      <c r="FG79" t="s">
        <v>198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 t="s">
        <v>203</v>
      </c>
      <c r="FP79" t="s">
        <v>203</v>
      </c>
      <c r="FQ79" t="s">
        <v>203</v>
      </c>
      <c r="FR79" t="s">
        <v>203</v>
      </c>
      <c r="FS79" t="s">
        <v>203</v>
      </c>
      <c r="FT79" t="s">
        <v>203</v>
      </c>
      <c r="FU79" t="s">
        <v>198</v>
      </c>
      <c r="FV79" t="s">
        <v>198</v>
      </c>
      <c r="FW79" t="s">
        <v>198</v>
      </c>
      <c r="FX79" t="s">
        <v>198</v>
      </c>
      <c r="FY79" t="s">
        <v>198</v>
      </c>
      <c r="FZ79" t="s">
        <v>198</v>
      </c>
      <c r="GA79">
        <v>30.87</v>
      </c>
      <c r="GB79">
        <v>30.87</v>
      </c>
      <c r="GC79" t="s">
        <v>203</v>
      </c>
      <c r="GD79">
        <v>0</v>
      </c>
      <c r="GE79">
        <v>504</v>
      </c>
      <c r="GF79">
        <v>0</v>
      </c>
      <c r="GG79">
        <v>0.1</v>
      </c>
      <c r="GH79">
        <v>0.5</v>
      </c>
      <c r="GI79">
        <v>0</v>
      </c>
      <c r="GJ79">
        <v>0</v>
      </c>
      <c r="GK79">
        <v>0</v>
      </c>
      <c r="GL79" t="s">
        <v>198</v>
      </c>
      <c r="GM79" t="s">
        <v>198</v>
      </c>
      <c r="GN79" t="s">
        <v>198</v>
      </c>
    </row>
    <row r="80" spans="1:196">
      <c r="A80" s="19">
        <v>46316.90480721065</v>
      </c>
      <c r="B80">
        <v>0.3</v>
      </c>
      <c r="C80">
        <v>0.9</v>
      </c>
      <c r="D80">
        <v>278</v>
      </c>
      <c r="E80">
        <v>0</v>
      </c>
      <c r="F80">
        <v>0</v>
      </c>
      <c r="G80">
        <v>0</v>
      </c>
      <c r="H80">
        <v>0.1</v>
      </c>
      <c r="I80">
        <v>0.1</v>
      </c>
      <c r="J80">
        <v>0.08</v>
      </c>
      <c r="K80">
        <v>-1.1</v>
      </c>
      <c r="L80">
        <v>49.4</v>
      </c>
      <c r="M80">
        <v>633.6</v>
      </c>
      <c r="N80">
        <v>49.2</v>
      </c>
      <c r="O80">
        <v>49.42</v>
      </c>
      <c r="P80">
        <v>49.391</v>
      </c>
      <c r="Q80">
        <v>0.059</v>
      </c>
      <c r="R80">
        <v>0</v>
      </c>
      <c r="S80">
        <v>115.6</v>
      </c>
      <c r="T80" t="s">
        <v>365</v>
      </c>
      <c r="U80">
        <v>115.8</v>
      </c>
      <c r="V80">
        <v>1908.7</v>
      </c>
      <c r="W80">
        <v>3</v>
      </c>
      <c r="X80" t="s">
        <v>197</v>
      </c>
      <c r="Y80">
        <v>0</v>
      </c>
      <c r="Z80">
        <v>98</v>
      </c>
      <c r="AA80">
        <v>278</v>
      </c>
      <c r="AB80" t="s">
        <v>197</v>
      </c>
      <c r="AC80" t="s">
        <v>198</v>
      </c>
      <c r="AD80" t="s">
        <v>199</v>
      </c>
      <c r="AE80">
        <v>30</v>
      </c>
      <c r="AF80">
        <v>44</v>
      </c>
      <c r="AG80">
        <v>255</v>
      </c>
      <c r="AH80">
        <v>0</v>
      </c>
      <c r="AI80">
        <v>0</v>
      </c>
      <c r="AJ80">
        <v>0</v>
      </c>
      <c r="AK80">
        <v>12.6</v>
      </c>
      <c r="AL80">
        <v>0</v>
      </c>
      <c r="AM80">
        <v>0</v>
      </c>
      <c r="AN80" t="s">
        <v>197</v>
      </c>
      <c r="AO80">
        <v>100</v>
      </c>
      <c r="AP80" t="s">
        <v>197</v>
      </c>
      <c r="AQ80" t="s">
        <v>200</v>
      </c>
      <c r="AR80">
        <v>1</v>
      </c>
      <c r="AS80">
        <v>0</v>
      </c>
      <c r="AT80" t="s">
        <v>366</v>
      </c>
      <c r="AU80" t="s">
        <v>366</v>
      </c>
      <c r="AV80" t="s">
        <v>202</v>
      </c>
      <c r="AW80" t="s">
        <v>203</v>
      </c>
      <c r="AX80" t="s">
        <v>203</v>
      </c>
      <c r="AY80" t="s">
        <v>203</v>
      </c>
      <c r="AZ80" t="s">
        <v>203</v>
      </c>
      <c r="BA80" t="s">
        <v>203</v>
      </c>
      <c r="BB80" t="s">
        <v>203</v>
      </c>
      <c r="BC80" t="s">
        <v>203</v>
      </c>
      <c r="BD80" t="s">
        <v>203</v>
      </c>
      <c r="BE80" t="s">
        <v>203</v>
      </c>
      <c r="BF80">
        <v>46.87</v>
      </c>
      <c r="BG80">
        <v>0.2</v>
      </c>
      <c r="BH80">
        <v>50</v>
      </c>
      <c r="BI80">
        <v>0</v>
      </c>
      <c r="BJ80" t="s">
        <v>198</v>
      </c>
      <c r="BK80" t="s">
        <v>198</v>
      </c>
      <c r="BL80" t="s">
        <v>198</v>
      </c>
      <c r="BM80" t="s">
        <v>198</v>
      </c>
      <c r="BN80" t="s">
        <v>198</v>
      </c>
      <c r="BO80" t="s">
        <v>198</v>
      </c>
      <c r="BP80" t="s">
        <v>198</v>
      </c>
      <c r="BQ80" t="s">
        <v>198</v>
      </c>
      <c r="BR80" t="s">
        <v>198</v>
      </c>
      <c r="BS80" t="s">
        <v>198</v>
      </c>
      <c r="BT80" t="s">
        <v>198</v>
      </c>
      <c r="BU80" t="s">
        <v>198</v>
      </c>
      <c r="BV80" t="s">
        <v>198</v>
      </c>
      <c r="BW80" t="s">
        <v>198</v>
      </c>
      <c r="BX80" t="s">
        <v>198</v>
      </c>
      <c r="BY80" t="s">
        <v>198</v>
      </c>
      <c r="BZ80" t="s">
        <v>198</v>
      </c>
      <c r="CA80" t="s">
        <v>198</v>
      </c>
      <c r="CB80" t="s">
        <v>204</v>
      </c>
      <c r="CC80" t="s">
        <v>204</v>
      </c>
      <c r="CD80" t="s">
        <v>204</v>
      </c>
      <c r="CE80" t="s">
        <v>204</v>
      </c>
      <c r="CF80" t="s">
        <v>204</v>
      </c>
      <c r="CG80" t="s">
        <v>204</v>
      </c>
      <c r="CH80" t="s">
        <v>204</v>
      </c>
      <c r="CI80" t="s">
        <v>204</v>
      </c>
      <c r="CJ80" t="s">
        <v>204</v>
      </c>
      <c r="CK80" t="s">
        <v>204</v>
      </c>
      <c r="CL80" t="s">
        <v>204</v>
      </c>
      <c r="CM80" t="s">
        <v>204</v>
      </c>
      <c r="CN80" t="s">
        <v>203</v>
      </c>
      <c r="CO80" t="s">
        <v>203</v>
      </c>
      <c r="CP80" t="s">
        <v>203</v>
      </c>
      <c r="CQ80" t="s">
        <v>203</v>
      </c>
      <c r="CR80" t="s">
        <v>203</v>
      </c>
      <c r="CS80" t="s">
        <v>203</v>
      </c>
      <c r="CT80" t="s">
        <v>203</v>
      </c>
      <c r="CU80" t="s">
        <v>203</v>
      </c>
      <c r="CV80">
        <v>0</v>
      </c>
      <c r="CW80">
        <v>0</v>
      </c>
      <c r="CX80" t="s">
        <v>198</v>
      </c>
      <c r="CY80" t="s">
        <v>198</v>
      </c>
      <c r="CZ80" t="s">
        <v>198</v>
      </c>
      <c r="DA80" t="s">
        <v>198</v>
      </c>
      <c r="DB80" t="s">
        <v>198</v>
      </c>
      <c r="DC80">
        <v>0</v>
      </c>
      <c r="DD80">
        <v>0</v>
      </c>
      <c r="DE80">
        <v>0</v>
      </c>
      <c r="DF80">
        <v>0</v>
      </c>
      <c r="DG80">
        <v>-35.3631164</v>
      </c>
      <c r="DH80">
        <v>149.163973</v>
      </c>
      <c r="DI80" t="s">
        <v>360</v>
      </c>
      <c r="DJ80">
        <v>1.2</v>
      </c>
      <c r="DK80">
        <v>2</v>
      </c>
      <c r="DL80">
        <v>278.9</v>
      </c>
      <c r="DM80">
        <v>0</v>
      </c>
      <c r="DN80">
        <v>6</v>
      </c>
      <c r="DO80">
        <v>10</v>
      </c>
      <c r="DP80">
        <v>0</v>
      </c>
      <c r="DQ80">
        <v>255</v>
      </c>
      <c r="DR80">
        <v>255</v>
      </c>
      <c r="DS80">
        <v>255</v>
      </c>
      <c r="DT80">
        <v>255</v>
      </c>
      <c r="DU80">
        <v>255</v>
      </c>
      <c r="DV80">
        <v>255</v>
      </c>
      <c r="DW80">
        <v>255</v>
      </c>
      <c r="DX80" t="s">
        <v>206</v>
      </c>
      <c r="DY80" t="s">
        <v>206</v>
      </c>
      <c r="DZ80" t="s">
        <v>207</v>
      </c>
      <c r="EA80" t="s">
        <v>198</v>
      </c>
      <c r="EB80" t="s">
        <v>198</v>
      </c>
      <c r="EC80" t="s">
        <v>198</v>
      </c>
      <c r="ED80">
        <v>0</v>
      </c>
      <c r="EE80">
        <v>0</v>
      </c>
      <c r="EF80">
        <v>0</v>
      </c>
      <c r="EG80">
        <v>0</v>
      </c>
      <c r="EH80">
        <v>255</v>
      </c>
      <c r="EI80">
        <v>255</v>
      </c>
      <c r="EJ80">
        <v>255</v>
      </c>
      <c r="EK80">
        <v>255</v>
      </c>
      <c r="EL80">
        <v>255</v>
      </c>
      <c r="EM80">
        <v>255</v>
      </c>
      <c r="EN80">
        <v>255</v>
      </c>
      <c r="EO80">
        <v>255</v>
      </c>
      <c r="EP80">
        <v>255</v>
      </c>
      <c r="EQ80">
        <v>255</v>
      </c>
      <c r="ER80" t="s">
        <v>208</v>
      </c>
      <c r="ES80" t="s">
        <v>209</v>
      </c>
      <c r="ET80" t="s">
        <v>209</v>
      </c>
      <c r="EU80">
        <v>0</v>
      </c>
      <c r="EV80">
        <v>16.2</v>
      </c>
      <c r="EW80">
        <v>-114.8</v>
      </c>
      <c r="EX80">
        <v>-49.6</v>
      </c>
      <c r="EY80">
        <v>0</v>
      </c>
      <c r="EZ80">
        <v>-0.1</v>
      </c>
      <c r="FA80">
        <v>1.1</v>
      </c>
      <c r="FB80" t="s">
        <v>198</v>
      </c>
      <c r="FC80" t="s">
        <v>198</v>
      </c>
      <c r="FD80" t="s">
        <v>198</v>
      </c>
      <c r="FE80" t="s">
        <v>198</v>
      </c>
      <c r="FF80" t="s">
        <v>198</v>
      </c>
      <c r="FG80" t="s">
        <v>198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 t="s">
        <v>203</v>
      </c>
      <c r="FP80" t="s">
        <v>203</v>
      </c>
      <c r="FQ80" t="s">
        <v>203</v>
      </c>
      <c r="FR80" t="s">
        <v>203</v>
      </c>
      <c r="FS80" t="s">
        <v>203</v>
      </c>
      <c r="FT80" t="s">
        <v>203</v>
      </c>
      <c r="FU80" t="s">
        <v>198</v>
      </c>
      <c r="FV80" t="s">
        <v>198</v>
      </c>
      <c r="FW80" t="s">
        <v>198</v>
      </c>
      <c r="FX80" t="s">
        <v>198</v>
      </c>
      <c r="FY80" t="s">
        <v>198</v>
      </c>
      <c r="FZ80" t="s">
        <v>198</v>
      </c>
      <c r="GA80">
        <v>30.88</v>
      </c>
      <c r="GB80">
        <v>30.88</v>
      </c>
      <c r="GC80" t="s">
        <v>203</v>
      </c>
      <c r="GD80">
        <v>0</v>
      </c>
      <c r="GE80">
        <v>504</v>
      </c>
      <c r="GF80">
        <v>0</v>
      </c>
      <c r="GG80">
        <v>0.1</v>
      </c>
      <c r="GH80">
        <v>0.7</v>
      </c>
      <c r="GI80">
        <v>0</v>
      </c>
      <c r="GJ80">
        <v>0</v>
      </c>
      <c r="GK80">
        <v>0</v>
      </c>
      <c r="GL80" t="s">
        <v>198</v>
      </c>
      <c r="GM80" t="s">
        <v>198</v>
      </c>
      <c r="GN80" t="s">
        <v>198</v>
      </c>
    </row>
    <row r="81" spans="1:196">
      <c r="A81" s="19">
        <v>46316.90481878472</v>
      </c>
      <c r="B81">
        <v>-0.3</v>
      </c>
      <c r="C81">
        <v>0.1</v>
      </c>
      <c r="D81">
        <v>278</v>
      </c>
      <c r="E81">
        <v>0</v>
      </c>
      <c r="F81">
        <v>0</v>
      </c>
      <c r="G81">
        <v>0</v>
      </c>
      <c r="H81">
        <v>0.1</v>
      </c>
      <c r="I81">
        <v>0</v>
      </c>
      <c r="J81">
        <v>0.044</v>
      </c>
      <c r="K81">
        <v>-1.5</v>
      </c>
      <c r="L81">
        <v>48</v>
      </c>
      <c r="M81">
        <v>632.2</v>
      </c>
      <c r="N81">
        <v>47.9</v>
      </c>
      <c r="O81">
        <v>47.97</v>
      </c>
      <c r="P81">
        <v>47.98</v>
      </c>
      <c r="Q81">
        <v>0.059</v>
      </c>
      <c r="R81">
        <v>0</v>
      </c>
      <c r="S81">
        <v>115.6</v>
      </c>
      <c r="T81" t="s">
        <v>367</v>
      </c>
      <c r="U81">
        <v>115.8</v>
      </c>
      <c r="V81">
        <v>2242.6</v>
      </c>
      <c r="W81">
        <v>3</v>
      </c>
      <c r="X81" t="s">
        <v>197</v>
      </c>
      <c r="Y81">
        <v>0</v>
      </c>
      <c r="Z81">
        <v>98</v>
      </c>
      <c r="AA81">
        <v>278</v>
      </c>
      <c r="AB81" t="s">
        <v>197</v>
      </c>
      <c r="AC81" t="s">
        <v>198</v>
      </c>
      <c r="AD81" t="s">
        <v>199</v>
      </c>
      <c r="AE81">
        <v>32</v>
      </c>
      <c r="AF81">
        <v>44</v>
      </c>
      <c r="AG81">
        <v>255</v>
      </c>
      <c r="AH81">
        <v>0</v>
      </c>
      <c r="AI81">
        <v>0</v>
      </c>
      <c r="AJ81">
        <v>0</v>
      </c>
      <c r="AK81">
        <v>12.6</v>
      </c>
      <c r="AL81">
        <v>0</v>
      </c>
      <c r="AM81">
        <v>0</v>
      </c>
      <c r="AN81" t="s">
        <v>197</v>
      </c>
      <c r="AO81">
        <v>100</v>
      </c>
      <c r="AP81" t="s">
        <v>197</v>
      </c>
      <c r="AQ81" t="s">
        <v>200</v>
      </c>
      <c r="AR81">
        <v>1</v>
      </c>
      <c r="AS81">
        <v>0</v>
      </c>
      <c r="AT81" t="s">
        <v>368</v>
      </c>
      <c r="AU81" t="s">
        <v>368</v>
      </c>
      <c r="AV81" t="s">
        <v>202</v>
      </c>
      <c r="AW81" t="s">
        <v>203</v>
      </c>
      <c r="AX81" t="s">
        <v>203</v>
      </c>
      <c r="AY81" t="s">
        <v>203</v>
      </c>
      <c r="AZ81" t="s">
        <v>203</v>
      </c>
      <c r="BA81" t="s">
        <v>203</v>
      </c>
      <c r="BB81" t="s">
        <v>203</v>
      </c>
      <c r="BC81" t="s">
        <v>203</v>
      </c>
      <c r="BD81" t="s">
        <v>203</v>
      </c>
      <c r="BE81" t="s">
        <v>203</v>
      </c>
      <c r="BF81">
        <v>45.42</v>
      </c>
      <c r="BG81">
        <v>0.2</v>
      </c>
      <c r="BH81">
        <v>50</v>
      </c>
      <c r="BI81">
        <v>0</v>
      </c>
      <c r="BJ81" t="s">
        <v>198</v>
      </c>
      <c r="BK81" t="s">
        <v>198</v>
      </c>
      <c r="BL81" t="s">
        <v>198</v>
      </c>
      <c r="BM81" t="s">
        <v>198</v>
      </c>
      <c r="BN81" t="s">
        <v>198</v>
      </c>
      <c r="BO81" t="s">
        <v>198</v>
      </c>
      <c r="BP81" t="s">
        <v>198</v>
      </c>
      <c r="BQ81" t="s">
        <v>198</v>
      </c>
      <c r="BR81" t="s">
        <v>198</v>
      </c>
      <c r="BS81" t="s">
        <v>198</v>
      </c>
      <c r="BT81" t="s">
        <v>198</v>
      </c>
      <c r="BU81" t="s">
        <v>198</v>
      </c>
      <c r="BV81" t="s">
        <v>198</v>
      </c>
      <c r="BW81" t="s">
        <v>198</v>
      </c>
      <c r="BX81" t="s">
        <v>198</v>
      </c>
      <c r="BY81" t="s">
        <v>198</v>
      </c>
      <c r="BZ81" t="s">
        <v>198</v>
      </c>
      <c r="CA81" t="s">
        <v>198</v>
      </c>
      <c r="CB81" t="s">
        <v>204</v>
      </c>
      <c r="CC81" t="s">
        <v>204</v>
      </c>
      <c r="CD81" t="s">
        <v>204</v>
      </c>
      <c r="CE81" t="s">
        <v>204</v>
      </c>
      <c r="CF81" t="s">
        <v>204</v>
      </c>
      <c r="CG81" t="s">
        <v>204</v>
      </c>
      <c r="CH81" t="s">
        <v>204</v>
      </c>
      <c r="CI81" t="s">
        <v>204</v>
      </c>
      <c r="CJ81" t="s">
        <v>204</v>
      </c>
      <c r="CK81" t="s">
        <v>204</v>
      </c>
      <c r="CL81" t="s">
        <v>204</v>
      </c>
      <c r="CM81" t="s">
        <v>204</v>
      </c>
      <c r="CN81" t="s">
        <v>203</v>
      </c>
      <c r="CO81" t="s">
        <v>203</v>
      </c>
      <c r="CP81" t="s">
        <v>203</v>
      </c>
      <c r="CQ81" t="s">
        <v>203</v>
      </c>
      <c r="CR81" t="s">
        <v>203</v>
      </c>
      <c r="CS81" t="s">
        <v>203</v>
      </c>
      <c r="CT81" t="s">
        <v>203</v>
      </c>
      <c r="CU81" t="s">
        <v>203</v>
      </c>
      <c r="CV81">
        <v>0</v>
      </c>
      <c r="CW81">
        <v>0</v>
      </c>
      <c r="CX81" t="s">
        <v>198</v>
      </c>
      <c r="CY81" t="s">
        <v>198</v>
      </c>
      <c r="CZ81" t="s">
        <v>198</v>
      </c>
      <c r="DA81" t="s">
        <v>198</v>
      </c>
      <c r="DB81" t="s">
        <v>198</v>
      </c>
      <c r="DC81">
        <v>0</v>
      </c>
      <c r="DD81">
        <v>0</v>
      </c>
      <c r="DE81">
        <v>0</v>
      </c>
      <c r="DF81">
        <v>0</v>
      </c>
      <c r="DG81">
        <v>-35.3631164</v>
      </c>
      <c r="DH81">
        <v>149.1639729</v>
      </c>
      <c r="DI81" t="s">
        <v>360</v>
      </c>
      <c r="DJ81">
        <v>1.2</v>
      </c>
      <c r="DK81">
        <v>2</v>
      </c>
      <c r="DL81">
        <v>115.1</v>
      </c>
      <c r="DM81">
        <v>0</v>
      </c>
      <c r="DN81">
        <v>6</v>
      </c>
      <c r="DO81">
        <v>10</v>
      </c>
      <c r="DP81">
        <v>0</v>
      </c>
      <c r="DQ81">
        <v>255</v>
      </c>
      <c r="DR81">
        <v>255</v>
      </c>
      <c r="DS81">
        <v>255</v>
      </c>
      <c r="DT81">
        <v>255</v>
      </c>
      <c r="DU81">
        <v>255</v>
      </c>
      <c r="DV81">
        <v>255</v>
      </c>
      <c r="DW81">
        <v>255</v>
      </c>
      <c r="DX81" t="s">
        <v>206</v>
      </c>
      <c r="DY81" t="s">
        <v>206</v>
      </c>
      <c r="DZ81" t="s">
        <v>207</v>
      </c>
      <c r="EA81" t="s">
        <v>198</v>
      </c>
      <c r="EB81" t="s">
        <v>198</v>
      </c>
      <c r="EC81" t="s">
        <v>198</v>
      </c>
      <c r="ED81">
        <v>0</v>
      </c>
      <c r="EE81">
        <v>0</v>
      </c>
      <c r="EF81">
        <v>0</v>
      </c>
      <c r="EG81">
        <v>0</v>
      </c>
      <c r="EH81">
        <v>255</v>
      </c>
      <c r="EI81">
        <v>255</v>
      </c>
      <c r="EJ81">
        <v>255</v>
      </c>
      <c r="EK81">
        <v>255</v>
      </c>
      <c r="EL81">
        <v>255</v>
      </c>
      <c r="EM81">
        <v>255</v>
      </c>
      <c r="EN81">
        <v>255</v>
      </c>
      <c r="EO81">
        <v>255</v>
      </c>
      <c r="EP81">
        <v>255</v>
      </c>
      <c r="EQ81">
        <v>255</v>
      </c>
      <c r="ER81" t="s">
        <v>208</v>
      </c>
      <c r="ES81" t="s">
        <v>209</v>
      </c>
      <c r="ET81" t="s">
        <v>209</v>
      </c>
      <c r="EU81">
        <v>0</v>
      </c>
      <c r="EV81">
        <v>16.2</v>
      </c>
      <c r="EW81">
        <v>-114.8</v>
      </c>
      <c r="EX81">
        <v>-48.2</v>
      </c>
      <c r="EY81">
        <v>0</v>
      </c>
      <c r="EZ81">
        <v>0</v>
      </c>
      <c r="FA81">
        <v>1.5</v>
      </c>
      <c r="FB81" t="s">
        <v>198</v>
      </c>
      <c r="FC81" t="s">
        <v>198</v>
      </c>
      <c r="FD81" t="s">
        <v>198</v>
      </c>
      <c r="FE81" t="s">
        <v>198</v>
      </c>
      <c r="FF81" t="s">
        <v>198</v>
      </c>
      <c r="FG81" t="s">
        <v>198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 t="s">
        <v>203</v>
      </c>
      <c r="FP81" t="s">
        <v>203</v>
      </c>
      <c r="FQ81" t="s">
        <v>203</v>
      </c>
      <c r="FR81" t="s">
        <v>203</v>
      </c>
      <c r="FS81" t="s">
        <v>203</v>
      </c>
      <c r="FT81" t="s">
        <v>203</v>
      </c>
      <c r="FU81" t="s">
        <v>198</v>
      </c>
      <c r="FV81" t="s">
        <v>198</v>
      </c>
      <c r="FW81" t="s">
        <v>198</v>
      </c>
      <c r="FX81" t="s">
        <v>198</v>
      </c>
      <c r="FY81" t="s">
        <v>198</v>
      </c>
      <c r="FZ81" t="s">
        <v>198</v>
      </c>
      <c r="GA81">
        <v>30.89</v>
      </c>
      <c r="GB81">
        <v>30.88</v>
      </c>
      <c r="GC81" t="s">
        <v>203</v>
      </c>
      <c r="GD81">
        <v>0</v>
      </c>
      <c r="GE81">
        <v>504</v>
      </c>
      <c r="GF81">
        <v>0</v>
      </c>
      <c r="GG81">
        <v>0.1</v>
      </c>
      <c r="GH81">
        <v>0.7</v>
      </c>
      <c r="GI81">
        <v>0</v>
      </c>
      <c r="GJ81">
        <v>0</v>
      </c>
      <c r="GK81">
        <v>0</v>
      </c>
      <c r="GL81" t="s">
        <v>198</v>
      </c>
      <c r="GM81" t="s">
        <v>198</v>
      </c>
      <c r="GN81" t="s">
        <v>198</v>
      </c>
    </row>
    <row r="82" spans="1:196">
      <c r="A82" s="19">
        <v>46316.90483034722</v>
      </c>
      <c r="B82">
        <v>-0.3</v>
      </c>
      <c r="C82">
        <v>-0.2</v>
      </c>
      <c r="D82">
        <v>278</v>
      </c>
      <c r="E82">
        <v>0</v>
      </c>
      <c r="F82">
        <v>0</v>
      </c>
      <c r="G82">
        <v>0</v>
      </c>
      <c r="H82">
        <v>0</v>
      </c>
      <c r="I82">
        <v>0</v>
      </c>
      <c r="J82">
        <v>0.04</v>
      </c>
      <c r="K82">
        <v>-1.5</v>
      </c>
      <c r="L82">
        <v>46.5</v>
      </c>
      <c r="M82">
        <v>630.7</v>
      </c>
      <c r="N82">
        <v>46.4</v>
      </c>
      <c r="O82">
        <v>46.47</v>
      </c>
      <c r="P82">
        <v>46.48</v>
      </c>
      <c r="Q82">
        <v>0.008999999999999999</v>
      </c>
      <c r="R82">
        <v>0</v>
      </c>
      <c r="S82">
        <v>115.6</v>
      </c>
      <c r="T82" t="s">
        <v>369</v>
      </c>
      <c r="U82">
        <v>115.8</v>
      </c>
      <c r="V82">
        <v>3154.9</v>
      </c>
      <c r="W82">
        <v>3</v>
      </c>
      <c r="X82" t="s">
        <v>197</v>
      </c>
      <c r="Y82">
        <v>0</v>
      </c>
      <c r="Z82">
        <v>98</v>
      </c>
      <c r="AA82">
        <v>278</v>
      </c>
      <c r="AB82" t="s">
        <v>197</v>
      </c>
      <c r="AC82" t="s">
        <v>198</v>
      </c>
      <c r="AD82" t="s">
        <v>199</v>
      </c>
      <c r="AE82">
        <v>31</v>
      </c>
      <c r="AF82">
        <v>44</v>
      </c>
      <c r="AG82">
        <v>255</v>
      </c>
      <c r="AH82">
        <v>0</v>
      </c>
      <c r="AI82">
        <v>0</v>
      </c>
      <c r="AJ82">
        <v>0</v>
      </c>
      <c r="AK82">
        <v>12.6</v>
      </c>
      <c r="AL82">
        <v>0</v>
      </c>
      <c r="AM82">
        <v>0</v>
      </c>
      <c r="AN82" t="s">
        <v>197</v>
      </c>
      <c r="AO82">
        <v>100</v>
      </c>
      <c r="AP82" t="s">
        <v>197</v>
      </c>
      <c r="AQ82" t="s">
        <v>200</v>
      </c>
      <c r="AR82">
        <v>1</v>
      </c>
      <c r="AS82">
        <v>0</v>
      </c>
      <c r="AT82" t="s">
        <v>370</v>
      </c>
      <c r="AU82" t="s">
        <v>370</v>
      </c>
      <c r="AV82" t="s">
        <v>202</v>
      </c>
      <c r="AW82" t="s">
        <v>203</v>
      </c>
      <c r="AX82" t="s">
        <v>203</v>
      </c>
      <c r="AY82" t="s">
        <v>203</v>
      </c>
      <c r="AZ82" t="s">
        <v>203</v>
      </c>
      <c r="BA82" t="s">
        <v>203</v>
      </c>
      <c r="BB82" t="s">
        <v>203</v>
      </c>
      <c r="BC82" t="s">
        <v>203</v>
      </c>
      <c r="BD82" t="s">
        <v>203</v>
      </c>
      <c r="BE82" t="s">
        <v>203</v>
      </c>
      <c r="BF82">
        <v>43.92</v>
      </c>
      <c r="BG82">
        <v>0.2</v>
      </c>
      <c r="BH82">
        <v>50</v>
      </c>
      <c r="BI82">
        <v>0</v>
      </c>
      <c r="BJ82" t="s">
        <v>198</v>
      </c>
      <c r="BK82" t="s">
        <v>198</v>
      </c>
      <c r="BL82" t="s">
        <v>198</v>
      </c>
      <c r="BM82" t="s">
        <v>198</v>
      </c>
      <c r="BN82" t="s">
        <v>198</v>
      </c>
      <c r="BO82" t="s">
        <v>198</v>
      </c>
      <c r="BP82" t="s">
        <v>198</v>
      </c>
      <c r="BQ82" t="s">
        <v>198</v>
      </c>
      <c r="BR82" t="s">
        <v>198</v>
      </c>
      <c r="BS82" t="s">
        <v>198</v>
      </c>
      <c r="BT82" t="s">
        <v>198</v>
      </c>
      <c r="BU82" t="s">
        <v>198</v>
      </c>
      <c r="BV82" t="s">
        <v>198</v>
      </c>
      <c r="BW82" t="s">
        <v>198</v>
      </c>
      <c r="BX82" t="s">
        <v>198</v>
      </c>
      <c r="BY82" t="s">
        <v>198</v>
      </c>
      <c r="BZ82" t="s">
        <v>198</v>
      </c>
      <c r="CA82" t="s">
        <v>198</v>
      </c>
      <c r="CB82" t="s">
        <v>204</v>
      </c>
      <c r="CC82" t="s">
        <v>204</v>
      </c>
      <c r="CD82" t="s">
        <v>204</v>
      </c>
      <c r="CE82" t="s">
        <v>204</v>
      </c>
      <c r="CF82" t="s">
        <v>204</v>
      </c>
      <c r="CG82" t="s">
        <v>204</v>
      </c>
      <c r="CH82" t="s">
        <v>204</v>
      </c>
      <c r="CI82" t="s">
        <v>204</v>
      </c>
      <c r="CJ82" t="s">
        <v>204</v>
      </c>
      <c r="CK82" t="s">
        <v>204</v>
      </c>
      <c r="CL82" t="s">
        <v>204</v>
      </c>
      <c r="CM82" t="s">
        <v>204</v>
      </c>
      <c r="CN82" t="s">
        <v>203</v>
      </c>
      <c r="CO82" t="s">
        <v>203</v>
      </c>
      <c r="CP82" t="s">
        <v>203</v>
      </c>
      <c r="CQ82" t="s">
        <v>203</v>
      </c>
      <c r="CR82" t="s">
        <v>203</v>
      </c>
      <c r="CS82" t="s">
        <v>203</v>
      </c>
      <c r="CT82" t="s">
        <v>203</v>
      </c>
      <c r="CU82" t="s">
        <v>203</v>
      </c>
      <c r="CV82">
        <v>0</v>
      </c>
      <c r="CW82">
        <v>0</v>
      </c>
      <c r="CX82" t="s">
        <v>198</v>
      </c>
      <c r="CY82" t="s">
        <v>198</v>
      </c>
      <c r="CZ82" t="s">
        <v>198</v>
      </c>
      <c r="DA82" t="s">
        <v>198</v>
      </c>
      <c r="DB82" t="s">
        <v>198</v>
      </c>
      <c r="DC82">
        <v>0</v>
      </c>
      <c r="DD82">
        <v>0</v>
      </c>
      <c r="DE82">
        <v>0</v>
      </c>
      <c r="DF82">
        <v>0</v>
      </c>
      <c r="DG82">
        <v>-35.3631166</v>
      </c>
      <c r="DH82">
        <v>149.1639732</v>
      </c>
      <c r="DI82" t="s">
        <v>360</v>
      </c>
      <c r="DJ82">
        <v>1.2</v>
      </c>
      <c r="DK82">
        <v>2</v>
      </c>
      <c r="DL82">
        <v>99.09999999999999</v>
      </c>
      <c r="DM82">
        <v>0</v>
      </c>
      <c r="DN82">
        <v>6</v>
      </c>
      <c r="DO82">
        <v>10</v>
      </c>
      <c r="DP82">
        <v>0</v>
      </c>
      <c r="DQ82">
        <v>255</v>
      </c>
      <c r="DR82">
        <v>255</v>
      </c>
      <c r="DS82">
        <v>255</v>
      </c>
      <c r="DT82">
        <v>255</v>
      </c>
      <c r="DU82">
        <v>255</v>
      </c>
      <c r="DV82">
        <v>255</v>
      </c>
      <c r="DW82">
        <v>255</v>
      </c>
      <c r="DX82" t="s">
        <v>206</v>
      </c>
      <c r="DY82" t="s">
        <v>206</v>
      </c>
      <c r="DZ82" t="s">
        <v>207</v>
      </c>
      <c r="EA82" t="s">
        <v>198</v>
      </c>
      <c r="EB82" t="s">
        <v>198</v>
      </c>
      <c r="EC82" t="s">
        <v>198</v>
      </c>
      <c r="ED82">
        <v>0</v>
      </c>
      <c r="EE82">
        <v>0</v>
      </c>
      <c r="EF82">
        <v>0</v>
      </c>
      <c r="EG82">
        <v>0</v>
      </c>
      <c r="EH82">
        <v>255</v>
      </c>
      <c r="EI82">
        <v>255</v>
      </c>
      <c r="EJ82">
        <v>255</v>
      </c>
      <c r="EK82">
        <v>255</v>
      </c>
      <c r="EL82">
        <v>255</v>
      </c>
      <c r="EM82">
        <v>255</v>
      </c>
      <c r="EN82">
        <v>255</v>
      </c>
      <c r="EO82">
        <v>255</v>
      </c>
      <c r="EP82">
        <v>255</v>
      </c>
      <c r="EQ82">
        <v>255</v>
      </c>
      <c r="ER82" t="s">
        <v>208</v>
      </c>
      <c r="ES82" t="s">
        <v>209</v>
      </c>
      <c r="ET82" t="s">
        <v>209</v>
      </c>
      <c r="EU82">
        <v>0</v>
      </c>
      <c r="EV82">
        <v>16.2</v>
      </c>
      <c r="EW82">
        <v>-114.7</v>
      </c>
      <c r="EX82">
        <v>-46.7</v>
      </c>
      <c r="EY82">
        <v>0</v>
      </c>
      <c r="EZ82">
        <v>0</v>
      </c>
      <c r="FA82">
        <v>1.5</v>
      </c>
      <c r="FB82" t="s">
        <v>198</v>
      </c>
      <c r="FC82" t="s">
        <v>198</v>
      </c>
      <c r="FD82" t="s">
        <v>198</v>
      </c>
      <c r="FE82" t="s">
        <v>198</v>
      </c>
      <c r="FF82" t="s">
        <v>198</v>
      </c>
      <c r="FG82" t="s">
        <v>198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 t="s">
        <v>203</v>
      </c>
      <c r="FP82" t="s">
        <v>203</v>
      </c>
      <c r="FQ82" t="s">
        <v>203</v>
      </c>
      <c r="FR82" t="s">
        <v>203</v>
      </c>
      <c r="FS82" t="s">
        <v>203</v>
      </c>
      <c r="FT82" t="s">
        <v>203</v>
      </c>
      <c r="FU82" t="s">
        <v>198</v>
      </c>
      <c r="FV82" t="s">
        <v>198</v>
      </c>
      <c r="FW82" t="s">
        <v>198</v>
      </c>
      <c r="FX82" t="s">
        <v>198</v>
      </c>
      <c r="FY82" t="s">
        <v>198</v>
      </c>
      <c r="FZ82" t="s">
        <v>198</v>
      </c>
      <c r="GA82">
        <v>30.9</v>
      </c>
      <c r="GB82">
        <v>30.9</v>
      </c>
      <c r="GC82" t="s">
        <v>203</v>
      </c>
      <c r="GD82">
        <v>0</v>
      </c>
      <c r="GE82">
        <v>504</v>
      </c>
      <c r="GF82">
        <v>0</v>
      </c>
      <c r="GG82">
        <v>0.1</v>
      </c>
      <c r="GH82">
        <v>0.7</v>
      </c>
      <c r="GI82">
        <v>0</v>
      </c>
      <c r="GJ82">
        <v>0</v>
      </c>
      <c r="GK82">
        <v>0</v>
      </c>
      <c r="GL82" t="s">
        <v>198</v>
      </c>
      <c r="GM82" t="s">
        <v>198</v>
      </c>
      <c r="GN82" t="s">
        <v>198</v>
      </c>
    </row>
    <row r="83" spans="1:196">
      <c r="A83" s="19">
        <v>46316.90484193287</v>
      </c>
      <c r="B83">
        <v>0.5</v>
      </c>
      <c r="C83">
        <v>-0.1</v>
      </c>
      <c r="D83">
        <v>278</v>
      </c>
      <c r="E83">
        <v>0</v>
      </c>
      <c r="F83">
        <v>0</v>
      </c>
      <c r="G83">
        <v>0</v>
      </c>
      <c r="H83">
        <v>0</v>
      </c>
      <c r="I83">
        <v>0</v>
      </c>
      <c r="J83">
        <v>0.002</v>
      </c>
      <c r="K83">
        <v>-1.5</v>
      </c>
      <c r="L83">
        <v>45</v>
      </c>
      <c r="M83">
        <v>629.2</v>
      </c>
      <c r="N83">
        <v>44.9</v>
      </c>
      <c r="O83">
        <v>44.99</v>
      </c>
      <c r="P83">
        <v>44.991</v>
      </c>
      <c r="Q83">
        <v>0</v>
      </c>
      <c r="R83">
        <v>0</v>
      </c>
      <c r="S83">
        <v>115.6</v>
      </c>
      <c r="T83" t="s">
        <v>371</v>
      </c>
      <c r="U83">
        <v>115.7</v>
      </c>
      <c r="V83">
        <v>33188.4</v>
      </c>
      <c r="W83">
        <v>3</v>
      </c>
      <c r="X83" t="s">
        <v>197</v>
      </c>
      <c r="Y83">
        <v>0</v>
      </c>
      <c r="Z83">
        <v>98</v>
      </c>
      <c r="AA83">
        <v>278</v>
      </c>
      <c r="AB83" t="s">
        <v>197</v>
      </c>
      <c r="AC83" t="s">
        <v>198</v>
      </c>
      <c r="AD83" t="s">
        <v>199</v>
      </c>
      <c r="AE83">
        <v>32</v>
      </c>
      <c r="AF83">
        <v>44</v>
      </c>
      <c r="AG83">
        <v>255</v>
      </c>
      <c r="AH83">
        <v>0</v>
      </c>
      <c r="AI83">
        <v>0</v>
      </c>
      <c r="AJ83">
        <v>0</v>
      </c>
      <c r="AK83">
        <v>12.6</v>
      </c>
      <c r="AL83">
        <v>0</v>
      </c>
      <c r="AM83">
        <v>0</v>
      </c>
      <c r="AN83" t="s">
        <v>197</v>
      </c>
      <c r="AO83">
        <v>100</v>
      </c>
      <c r="AP83" t="s">
        <v>197</v>
      </c>
      <c r="AQ83" t="s">
        <v>200</v>
      </c>
      <c r="AR83">
        <v>1</v>
      </c>
      <c r="AS83">
        <v>0</v>
      </c>
      <c r="AT83" t="s">
        <v>372</v>
      </c>
      <c r="AU83" t="s">
        <v>372</v>
      </c>
      <c r="AV83" t="s">
        <v>202</v>
      </c>
      <c r="AW83" t="s">
        <v>203</v>
      </c>
      <c r="AX83" t="s">
        <v>203</v>
      </c>
      <c r="AY83" t="s">
        <v>203</v>
      </c>
      <c r="AZ83" t="s">
        <v>203</v>
      </c>
      <c r="BA83" t="s">
        <v>203</v>
      </c>
      <c r="BB83" t="s">
        <v>203</v>
      </c>
      <c r="BC83" t="s">
        <v>203</v>
      </c>
      <c r="BD83" t="s">
        <v>203</v>
      </c>
      <c r="BE83" t="s">
        <v>203</v>
      </c>
      <c r="BF83">
        <v>42.42</v>
      </c>
      <c r="BG83">
        <v>0.2</v>
      </c>
      <c r="BH83">
        <v>50</v>
      </c>
      <c r="BI83">
        <v>0</v>
      </c>
      <c r="BJ83" t="s">
        <v>198</v>
      </c>
      <c r="BK83" t="s">
        <v>198</v>
      </c>
      <c r="BL83" t="s">
        <v>198</v>
      </c>
      <c r="BM83" t="s">
        <v>198</v>
      </c>
      <c r="BN83" t="s">
        <v>198</v>
      </c>
      <c r="BO83" t="s">
        <v>198</v>
      </c>
      <c r="BP83" t="s">
        <v>198</v>
      </c>
      <c r="BQ83" t="s">
        <v>198</v>
      </c>
      <c r="BR83" t="s">
        <v>198</v>
      </c>
      <c r="BS83" t="s">
        <v>198</v>
      </c>
      <c r="BT83" t="s">
        <v>198</v>
      </c>
      <c r="BU83" t="s">
        <v>198</v>
      </c>
      <c r="BV83" t="s">
        <v>198</v>
      </c>
      <c r="BW83" t="s">
        <v>198</v>
      </c>
      <c r="BX83" t="s">
        <v>198</v>
      </c>
      <c r="BY83" t="s">
        <v>198</v>
      </c>
      <c r="BZ83" t="s">
        <v>198</v>
      </c>
      <c r="CA83" t="s">
        <v>198</v>
      </c>
      <c r="CB83" t="s">
        <v>204</v>
      </c>
      <c r="CC83" t="s">
        <v>204</v>
      </c>
      <c r="CD83" t="s">
        <v>204</v>
      </c>
      <c r="CE83" t="s">
        <v>204</v>
      </c>
      <c r="CF83" t="s">
        <v>204</v>
      </c>
      <c r="CG83" t="s">
        <v>204</v>
      </c>
      <c r="CH83" t="s">
        <v>204</v>
      </c>
      <c r="CI83" t="s">
        <v>204</v>
      </c>
      <c r="CJ83" t="s">
        <v>204</v>
      </c>
      <c r="CK83" t="s">
        <v>204</v>
      </c>
      <c r="CL83" t="s">
        <v>204</v>
      </c>
      <c r="CM83" t="s">
        <v>204</v>
      </c>
      <c r="CN83" t="s">
        <v>203</v>
      </c>
      <c r="CO83" t="s">
        <v>203</v>
      </c>
      <c r="CP83" t="s">
        <v>203</v>
      </c>
      <c r="CQ83" t="s">
        <v>203</v>
      </c>
      <c r="CR83" t="s">
        <v>203</v>
      </c>
      <c r="CS83" t="s">
        <v>203</v>
      </c>
      <c r="CT83" t="s">
        <v>203</v>
      </c>
      <c r="CU83" t="s">
        <v>203</v>
      </c>
      <c r="CV83">
        <v>0</v>
      </c>
      <c r="CW83">
        <v>0</v>
      </c>
      <c r="CX83" t="s">
        <v>198</v>
      </c>
      <c r="CY83" t="s">
        <v>198</v>
      </c>
      <c r="CZ83" t="s">
        <v>198</v>
      </c>
      <c r="DA83" t="s">
        <v>198</v>
      </c>
      <c r="DB83" t="s">
        <v>198</v>
      </c>
      <c r="DC83">
        <v>0</v>
      </c>
      <c r="DD83">
        <v>0</v>
      </c>
      <c r="DE83">
        <v>0</v>
      </c>
      <c r="DF83">
        <v>0</v>
      </c>
      <c r="DG83">
        <v>-35.3631166</v>
      </c>
      <c r="DH83">
        <v>149.1639735</v>
      </c>
      <c r="DI83" t="s">
        <v>360</v>
      </c>
      <c r="DJ83">
        <v>1.2</v>
      </c>
      <c r="DK83">
        <v>2</v>
      </c>
      <c r="DL83">
        <v>359.9</v>
      </c>
      <c r="DM83">
        <v>0</v>
      </c>
      <c r="DN83">
        <v>6</v>
      </c>
      <c r="DO83">
        <v>10</v>
      </c>
      <c r="DP83">
        <v>0</v>
      </c>
      <c r="DQ83">
        <v>255</v>
      </c>
      <c r="DR83">
        <v>255</v>
      </c>
      <c r="DS83">
        <v>255</v>
      </c>
      <c r="DT83">
        <v>255</v>
      </c>
      <c r="DU83">
        <v>255</v>
      </c>
      <c r="DV83">
        <v>255</v>
      </c>
      <c r="DW83">
        <v>255</v>
      </c>
      <c r="DX83" t="s">
        <v>206</v>
      </c>
      <c r="DY83" t="s">
        <v>206</v>
      </c>
      <c r="DZ83" t="s">
        <v>207</v>
      </c>
      <c r="EA83" t="s">
        <v>198</v>
      </c>
      <c r="EB83" t="s">
        <v>198</v>
      </c>
      <c r="EC83" t="s">
        <v>198</v>
      </c>
      <c r="ED83">
        <v>0</v>
      </c>
      <c r="EE83">
        <v>0</v>
      </c>
      <c r="EF83">
        <v>0</v>
      </c>
      <c r="EG83">
        <v>0</v>
      </c>
      <c r="EH83">
        <v>255</v>
      </c>
      <c r="EI83">
        <v>255</v>
      </c>
      <c r="EJ83">
        <v>255</v>
      </c>
      <c r="EK83">
        <v>255</v>
      </c>
      <c r="EL83">
        <v>255</v>
      </c>
      <c r="EM83">
        <v>255</v>
      </c>
      <c r="EN83">
        <v>255</v>
      </c>
      <c r="EO83">
        <v>255</v>
      </c>
      <c r="EP83">
        <v>255</v>
      </c>
      <c r="EQ83">
        <v>255</v>
      </c>
      <c r="ER83" t="s">
        <v>208</v>
      </c>
      <c r="ES83" t="s">
        <v>209</v>
      </c>
      <c r="ET83" t="s">
        <v>209</v>
      </c>
      <c r="EU83">
        <v>0</v>
      </c>
      <c r="EV83">
        <v>16.2</v>
      </c>
      <c r="EW83">
        <v>-114.7</v>
      </c>
      <c r="EX83">
        <v>-45.2</v>
      </c>
      <c r="EY83">
        <v>0</v>
      </c>
      <c r="EZ83">
        <v>0</v>
      </c>
      <c r="FA83">
        <v>1.5</v>
      </c>
      <c r="FB83" t="s">
        <v>198</v>
      </c>
      <c r="FC83" t="s">
        <v>198</v>
      </c>
      <c r="FD83" t="s">
        <v>198</v>
      </c>
      <c r="FE83" t="s">
        <v>198</v>
      </c>
      <c r="FF83" t="s">
        <v>198</v>
      </c>
      <c r="FG83" t="s">
        <v>198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 t="s">
        <v>203</v>
      </c>
      <c r="FP83" t="s">
        <v>203</v>
      </c>
      <c r="FQ83" t="s">
        <v>203</v>
      </c>
      <c r="FR83" t="s">
        <v>203</v>
      </c>
      <c r="FS83" t="s">
        <v>203</v>
      </c>
      <c r="FT83" t="s">
        <v>203</v>
      </c>
      <c r="FU83" t="s">
        <v>198</v>
      </c>
      <c r="FV83" t="s">
        <v>198</v>
      </c>
      <c r="FW83" t="s">
        <v>198</v>
      </c>
      <c r="FX83" t="s">
        <v>198</v>
      </c>
      <c r="FY83" t="s">
        <v>198</v>
      </c>
      <c r="FZ83" t="s">
        <v>198</v>
      </c>
      <c r="GA83">
        <v>30.91</v>
      </c>
      <c r="GB83">
        <v>30.91</v>
      </c>
      <c r="GC83" t="s">
        <v>203</v>
      </c>
      <c r="GD83">
        <v>0</v>
      </c>
      <c r="GE83">
        <v>504</v>
      </c>
      <c r="GF83">
        <v>0</v>
      </c>
      <c r="GG83">
        <v>0.1</v>
      </c>
      <c r="GH83">
        <v>0.7</v>
      </c>
      <c r="GI83">
        <v>0</v>
      </c>
      <c r="GJ83">
        <v>0</v>
      </c>
      <c r="GK83">
        <v>0</v>
      </c>
      <c r="GL83" t="s">
        <v>198</v>
      </c>
      <c r="GM83" t="s">
        <v>198</v>
      </c>
      <c r="GN83" t="s">
        <v>198</v>
      </c>
    </row>
    <row r="84" spans="1:196">
      <c r="A84" s="19">
        <v>46316.90485350695</v>
      </c>
      <c r="B84">
        <v>0</v>
      </c>
      <c r="C84">
        <v>0</v>
      </c>
      <c r="D84">
        <v>278</v>
      </c>
      <c r="E84">
        <v>0</v>
      </c>
      <c r="F84">
        <v>0</v>
      </c>
      <c r="G84">
        <v>0</v>
      </c>
      <c r="H84">
        <v>0</v>
      </c>
      <c r="I84">
        <v>0</v>
      </c>
      <c r="J84">
        <v>0.007</v>
      </c>
      <c r="K84">
        <v>-1.5</v>
      </c>
      <c r="L84">
        <v>43.5</v>
      </c>
      <c r="M84">
        <v>627.7</v>
      </c>
      <c r="N84">
        <v>43.4</v>
      </c>
      <c r="O84">
        <v>43.49</v>
      </c>
      <c r="P84">
        <v>43.491</v>
      </c>
      <c r="Q84">
        <v>0</v>
      </c>
      <c r="R84">
        <v>0</v>
      </c>
      <c r="S84">
        <v>115.6</v>
      </c>
      <c r="T84" t="s">
        <v>373</v>
      </c>
      <c r="U84">
        <v>115.7</v>
      </c>
      <c r="V84">
        <v>16424.7</v>
      </c>
      <c r="W84">
        <v>3</v>
      </c>
      <c r="X84" t="s">
        <v>197</v>
      </c>
      <c r="Y84">
        <v>0</v>
      </c>
      <c r="Z84">
        <v>98</v>
      </c>
      <c r="AA84">
        <v>278</v>
      </c>
      <c r="AB84" t="s">
        <v>197</v>
      </c>
      <c r="AC84" t="s">
        <v>198</v>
      </c>
      <c r="AD84" t="s">
        <v>199</v>
      </c>
      <c r="AE84">
        <v>32</v>
      </c>
      <c r="AF84">
        <v>44</v>
      </c>
      <c r="AG84">
        <v>255</v>
      </c>
      <c r="AH84">
        <v>0</v>
      </c>
      <c r="AI84">
        <v>0</v>
      </c>
      <c r="AJ84">
        <v>0</v>
      </c>
      <c r="AK84">
        <v>12.6</v>
      </c>
      <c r="AL84">
        <v>0</v>
      </c>
      <c r="AM84">
        <v>0</v>
      </c>
      <c r="AN84" t="s">
        <v>197</v>
      </c>
      <c r="AO84">
        <v>100</v>
      </c>
      <c r="AP84" t="s">
        <v>197</v>
      </c>
      <c r="AQ84" t="s">
        <v>200</v>
      </c>
      <c r="AR84">
        <v>1</v>
      </c>
      <c r="AS84">
        <v>0</v>
      </c>
      <c r="AT84" t="s">
        <v>374</v>
      </c>
      <c r="AU84" t="s">
        <v>374</v>
      </c>
      <c r="AV84" t="s">
        <v>202</v>
      </c>
      <c r="AW84" t="s">
        <v>203</v>
      </c>
      <c r="AX84" t="s">
        <v>203</v>
      </c>
      <c r="AY84" t="s">
        <v>203</v>
      </c>
      <c r="AZ84" t="s">
        <v>203</v>
      </c>
      <c r="BA84" t="s">
        <v>203</v>
      </c>
      <c r="BB84" t="s">
        <v>203</v>
      </c>
      <c r="BC84" t="s">
        <v>203</v>
      </c>
      <c r="BD84" t="s">
        <v>203</v>
      </c>
      <c r="BE84" t="s">
        <v>203</v>
      </c>
      <c r="BF84">
        <v>40.91</v>
      </c>
      <c r="BG84">
        <v>0.2</v>
      </c>
      <c r="BH84">
        <v>50</v>
      </c>
      <c r="BI84">
        <v>0</v>
      </c>
      <c r="BJ84" t="s">
        <v>198</v>
      </c>
      <c r="BK84" t="s">
        <v>198</v>
      </c>
      <c r="BL84" t="s">
        <v>198</v>
      </c>
      <c r="BM84" t="s">
        <v>198</v>
      </c>
      <c r="BN84" t="s">
        <v>198</v>
      </c>
      <c r="BO84" t="s">
        <v>198</v>
      </c>
      <c r="BP84" t="s">
        <v>198</v>
      </c>
      <c r="BQ84" t="s">
        <v>198</v>
      </c>
      <c r="BR84" t="s">
        <v>198</v>
      </c>
      <c r="BS84" t="s">
        <v>198</v>
      </c>
      <c r="BT84" t="s">
        <v>198</v>
      </c>
      <c r="BU84" t="s">
        <v>198</v>
      </c>
      <c r="BV84" t="s">
        <v>198</v>
      </c>
      <c r="BW84" t="s">
        <v>198</v>
      </c>
      <c r="BX84" t="s">
        <v>198</v>
      </c>
      <c r="BY84" t="s">
        <v>198</v>
      </c>
      <c r="BZ84" t="s">
        <v>198</v>
      </c>
      <c r="CA84" t="s">
        <v>198</v>
      </c>
      <c r="CB84" t="s">
        <v>204</v>
      </c>
      <c r="CC84" t="s">
        <v>204</v>
      </c>
      <c r="CD84" t="s">
        <v>204</v>
      </c>
      <c r="CE84" t="s">
        <v>204</v>
      </c>
      <c r="CF84" t="s">
        <v>204</v>
      </c>
      <c r="CG84" t="s">
        <v>204</v>
      </c>
      <c r="CH84" t="s">
        <v>204</v>
      </c>
      <c r="CI84" t="s">
        <v>204</v>
      </c>
      <c r="CJ84" t="s">
        <v>204</v>
      </c>
      <c r="CK84" t="s">
        <v>204</v>
      </c>
      <c r="CL84" t="s">
        <v>204</v>
      </c>
      <c r="CM84" t="s">
        <v>204</v>
      </c>
      <c r="CN84" t="s">
        <v>203</v>
      </c>
      <c r="CO84" t="s">
        <v>203</v>
      </c>
      <c r="CP84" t="s">
        <v>203</v>
      </c>
      <c r="CQ84" t="s">
        <v>203</v>
      </c>
      <c r="CR84" t="s">
        <v>203</v>
      </c>
      <c r="CS84" t="s">
        <v>203</v>
      </c>
      <c r="CT84" t="s">
        <v>203</v>
      </c>
      <c r="CU84" t="s">
        <v>203</v>
      </c>
      <c r="CV84">
        <v>0</v>
      </c>
      <c r="CW84">
        <v>0</v>
      </c>
      <c r="CX84" t="s">
        <v>198</v>
      </c>
      <c r="CY84" t="s">
        <v>198</v>
      </c>
      <c r="CZ84" t="s">
        <v>198</v>
      </c>
      <c r="DA84" t="s">
        <v>198</v>
      </c>
      <c r="DB84" t="s">
        <v>198</v>
      </c>
      <c r="DC84">
        <v>0</v>
      </c>
      <c r="DD84">
        <v>0</v>
      </c>
      <c r="DE84">
        <v>0</v>
      </c>
      <c r="DF84">
        <v>0</v>
      </c>
      <c r="DG84">
        <v>-35.3631166</v>
      </c>
      <c r="DH84">
        <v>149.1639735</v>
      </c>
      <c r="DI84" t="s">
        <v>360</v>
      </c>
      <c r="DJ84">
        <v>1.2</v>
      </c>
      <c r="DK84">
        <v>2</v>
      </c>
      <c r="DL84">
        <v>279.7</v>
      </c>
      <c r="DM84">
        <v>0</v>
      </c>
      <c r="DN84">
        <v>6</v>
      </c>
      <c r="DO84">
        <v>10</v>
      </c>
      <c r="DP84">
        <v>0</v>
      </c>
      <c r="DQ84">
        <v>255</v>
      </c>
      <c r="DR84">
        <v>255</v>
      </c>
      <c r="DS84">
        <v>255</v>
      </c>
      <c r="DT84">
        <v>255</v>
      </c>
      <c r="DU84">
        <v>255</v>
      </c>
      <c r="DV84">
        <v>255</v>
      </c>
      <c r="DW84">
        <v>255</v>
      </c>
      <c r="DX84" t="s">
        <v>206</v>
      </c>
      <c r="DY84" t="s">
        <v>206</v>
      </c>
      <c r="DZ84" t="s">
        <v>207</v>
      </c>
      <c r="EA84" t="s">
        <v>198</v>
      </c>
      <c r="EB84" t="s">
        <v>198</v>
      </c>
      <c r="EC84" t="s">
        <v>198</v>
      </c>
      <c r="ED84">
        <v>0</v>
      </c>
      <c r="EE84">
        <v>0</v>
      </c>
      <c r="EF84">
        <v>0</v>
      </c>
      <c r="EG84">
        <v>0</v>
      </c>
      <c r="EH84">
        <v>255</v>
      </c>
      <c r="EI84">
        <v>255</v>
      </c>
      <c r="EJ84">
        <v>255</v>
      </c>
      <c r="EK84">
        <v>255</v>
      </c>
      <c r="EL84">
        <v>255</v>
      </c>
      <c r="EM84">
        <v>255</v>
      </c>
      <c r="EN84">
        <v>255</v>
      </c>
      <c r="EO84">
        <v>255</v>
      </c>
      <c r="EP84">
        <v>255</v>
      </c>
      <c r="EQ84">
        <v>255</v>
      </c>
      <c r="ER84" t="s">
        <v>208</v>
      </c>
      <c r="ES84" t="s">
        <v>209</v>
      </c>
      <c r="ET84" t="s">
        <v>209</v>
      </c>
      <c r="EU84">
        <v>0</v>
      </c>
      <c r="EV84">
        <v>16.2</v>
      </c>
      <c r="EW84">
        <v>-114.7</v>
      </c>
      <c r="EX84">
        <v>-43.7</v>
      </c>
      <c r="EY84">
        <v>0</v>
      </c>
      <c r="EZ84">
        <v>0</v>
      </c>
      <c r="FA84">
        <v>1.5</v>
      </c>
      <c r="FB84" t="s">
        <v>198</v>
      </c>
      <c r="FC84" t="s">
        <v>198</v>
      </c>
      <c r="FD84" t="s">
        <v>198</v>
      </c>
      <c r="FE84" t="s">
        <v>198</v>
      </c>
      <c r="FF84" t="s">
        <v>198</v>
      </c>
      <c r="FG84" t="s">
        <v>198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 t="s">
        <v>203</v>
      </c>
      <c r="FP84" t="s">
        <v>203</v>
      </c>
      <c r="FQ84" t="s">
        <v>203</v>
      </c>
      <c r="FR84" t="s">
        <v>203</v>
      </c>
      <c r="FS84" t="s">
        <v>203</v>
      </c>
      <c r="FT84" t="s">
        <v>203</v>
      </c>
      <c r="FU84" t="s">
        <v>198</v>
      </c>
      <c r="FV84" t="s">
        <v>198</v>
      </c>
      <c r="FW84" t="s">
        <v>198</v>
      </c>
      <c r="FX84" t="s">
        <v>198</v>
      </c>
      <c r="FY84" t="s">
        <v>198</v>
      </c>
      <c r="FZ84" t="s">
        <v>198</v>
      </c>
      <c r="GA84">
        <v>30.91</v>
      </c>
      <c r="GB84">
        <v>30.91</v>
      </c>
      <c r="GC84" t="s">
        <v>203</v>
      </c>
      <c r="GD84">
        <v>0</v>
      </c>
      <c r="GE84">
        <v>504</v>
      </c>
      <c r="GF84">
        <v>0</v>
      </c>
      <c r="GG84">
        <v>0.1</v>
      </c>
      <c r="GH84">
        <v>0.7</v>
      </c>
      <c r="GI84">
        <v>0</v>
      </c>
      <c r="GJ84">
        <v>0</v>
      </c>
      <c r="GK84">
        <v>0</v>
      </c>
      <c r="GL84" t="s">
        <v>198</v>
      </c>
      <c r="GM84" t="s">
        <v>198</v>
      </c>
      <c r="GN84" t="s">
        <v>198</v>
      </c>
    </row>
    <row r="85" spans="1:196">
      <c r="A85" s="19">
        <v>46316.90486508102</v>
      </c>
      <c r="B85">
        <v>-0.5</v>
      </c>
      <c r="C85">
        <v>0</v>
      </c>
      <c r="D85">
        <v>278</v>
      </c>
      <c r="E85">
        <v>0</v>
      </c>
      <c r="F85">
        <v>0</v>
      </c>
      <c r="G85">
        <v>0</v>
      </c>
      <c r="H85">
        <v>0</v>
      </c>
      <c r="I85">
        <v>0</v>
      </c>
      <c r="J85">
        <v>0.004</v>
      </c>
      <c r="K85">
        <v>-1.5</v>
      </c>
      <c r="L85">
        <v>42</v>
      </c>
      <c r="M85">
        <v>626.2</v>
      </c>
      <c r="N85">
        <v>41.9</v>
      </c>
      <c r="O85">
        <v>41.99</v>
      </c>
      <c r="P85">
        <v>41.991</v>
      </c>
      <c r="Q85">
        <v>0</v>
      </c>
      <c r="R85">
        <v>0</v>
      </c>
      <c r="S85">
        <v>115.6</v>
      </c>
      <c r="T85" t="s">
        <v>375</v>
      </c>
      <c r="U85">
        <v>115.7</v>
      </c>
      <c r="V85">
        <v>26539</v>
      </c>
      <c r="W85">
        <v>3</v>
      </c>
      <c r="X85" t="s">
        <v>197</v>
      </c>
      <c r="Y85">
        <v>0</v>
      </c>
      <c r="Z85">
        <v>98</v>
      </c>
      <c r="AA85">
        <v>278</v>
      </c>
      <c r="AB85" t="s">
        <v>197</v>
      </c>
      <c r="AC85" t="s">
        <v>198</v>
      </c>
      <c r="AD85" t="s">
        <v>199</v>
      </c>
      <c r="AE85">
        <v>31</v>
      </c>
      <c r="AF85">
        <v>44</v>
      </c>
      <c r="AG85">
        <v>255</v>
      </c>
      <c r="AH85">
        <v>0</v>
      </c>
      <c r="AI85">
        <v>0</v>
      </c>
      <c r="AJ85">
        <v>0</v>
      </c>
      <c r="AK85">
        <v>12.6</v>
      </c>
      <c r="AL85">
        <v>0</v>
      </c>
      <c r="AM85">
        <v>0</v>
      </c>
      <c r="AN85" t="s">
        <v>197</v>
      </c>
      <c r="AO85">
        <v>100</v>
      </c>
      <c r="AP85" t="s">
        <v>197</v>
      </c>
      <c r="AQ85" t="s">
        <v>200</v>
      </c>
      <c r="AR85">
        <v>1</v>
      </c>
      <c r="AS85">
        <v>0</v>
      </c>
      <c r="AT85" t="s">
        <v>376</v>
      </c>
      <c r="AU85" t="s">
        <v>376</v>
      </c>
      <c r="AV85" t="s">
        <v>202</v>
      </c>
      <c r="AW85" t="s">
        <v>203</v>
      </c>
      <c r="AX85" t="s">
        <v>203</v>
      </c>
      <c r="AY85" t="s">
        <v>203</v>
      </c>
      <c r="AZ85" t="s">
        <v>203</v>
      </c>
      <c r="BA85" t="s">
        <v>203</v>
      </c>
      <c r="BB85" t="s">
        <v>203</v>
      </c>
      <c r="BC85" t="s">
        <v>203</v>
      </c>
      <c r="BD85" t="s">
        <v>203</v>
      </c>
      <c r="BE85" t="s">
        <v>203</v>
      </c>
      <c r="BF85">
        <v>39.43</v>
      </c>
      <c r="BG85">
        <v>0.2</v>
      </c>
      <c r="BH85">
        <v>50</v>
      </c>
      <c r="BI85">
        <v>0</v>
      </c>
      <c r="BJ85" t="s">
        <v>198</v>
      </c>
      <c r="BK85" t="s">
        <v>198</v>
      </c>
      <c r="BL85" t="s">
        <v>198</v>
      </c>
      <c r="BM85" t="s">
        <v>198</v>
      </c>
      <c r="BN85" t="s">
        <v>198</v>
      </c>
      <c r="BO85" t="s">
        <v>198</v>
      </c>
      <c r="BP85" t="s">
        <v>198</v>
      </c>
      <c r="BQ85" t="s">
        <v>198</v>
      </c>
      <c r="BR85" t="s">
        <v>198</v>
      </c>
      <c r="BS85" t="s">
        <v>198</v>
      </c>
      <c r="BT85" t="s">
        <v>198</v>
      </c>
      <c r="BU85" t="s">
        <v>198</v>
      </c>
      <c r="BV85" t="s">
        <v>198</v>
      </c>
      <c r="BW85" t="s">
        <v>198</v>
      </c>
      <c r="BX85" t="s">
        <v>198</v>
      </c>
      <c r="BY85" t="s">
        <v>198</v>
      </c>
      <c r="BZ85" t="s">
        <v>198</v>
      </c>
      <c r="CA85" t="s">
        <v>198</v>
      </c>
      <c r="CB85" t="s">
        <v>204</v>
      </c>
      <c r="CC85" t="s">
        <v>204</v>
      </c>
      <c r="CD85" t="s">
        <v>204</v>
      </c>
      <c r="CE85" t="s">
        <v>204</v>
      </c>
      <c r="CF85" t="s">
        <v>204</v>
      </c>
      <c r="CG85" t="s">
        <v>204</v>
      </c>
      <c r="CH85" t="s">
        <v>204</v>
      </c>
      <c r="CI85" t="s">
        <v>204</v>
      </c>
      <c r="CJ85" t="s">
        <v>204</v>
      </c>
      <c r="CK85" t="s">
        <v>204</v>
      </c>
      <c r="CL85" t="s">
        <v>204</v>
      </c>
      <c r="CM85" t="s">
        <v>204</v>
      </c>
      <c r="CN85" t="s">
        <v>203</v>
      </c>
      <c r="CO85" t="s">
        <v>203</v>
      </c>
      <c r="CP85" t="s">
        <v>203</v>
      </c>
      <c r="CQ85" t="s">
        <v>203</v>
      </c>
      <c r="CR85" t="s">
        <v>203</v>
      </c>
      <c r="CS85" t="s">
        <v>203</v>
      </c>
      <c r="CT85" t="s">
        <v>203</v>
      </c>
      <c r="CU85" t="s">
        <v>203</v>
      </c>
      <c r="CV85">
        <v>0</v>
      </c>
      <c r="CW85">
        <v>0</v>
      </c>
      <c r="CX85" t="s">
        <v>198</v>
      </c>
      <c r="CY85" t="s">
        <v>198</v>
      </c>
      <c r="CZ85" t="s">
        <v>198</v>
      </c>
      <c r="DA85" t="s">
        <v>198</v>
      </c>
      <c r="DB85" t="s">
        <v>198</v>
      </c>
      <c r="DC85">
        <v>0</v>
      </c>
      <c r="DD85">
        <v>0</v>
      </c>
      <c r="DE85">
        <v>0</v>
      </c>
      <c r="DF85">
        <v>0</v>
      </c>
      <c r="DG85">
        <v>-35.3631166</v>
      </c>
      <c r="DH85">
        <v>149.1639735</v>
      </c>
      <c r="DI85" t="s">
        <v>360</v>
      </c>
      <c r="DJ85">
        <v>1.2</v>
      </c>
      <c r="DK85">
        <v>2</v>
      </c>
      <c r="DL85">
        <v>266.1</v>
      </c>
      <c r="DM85">
        <v>0</v>
      </c>
      <c r="DN85">
        <v>6</v>
      </c>
      <c r="DO85">
        <v>10</v>
      </c>
      <c r="DP85">
        <v>0</v>
      </c>
      <c r="DQ85">
        <v>255</v>
      </c>
      <c r="DR85">
        <v>255</v>
      </c>
      <c r="DS85">
        <v>255</v>
      </c>
      <c r="DT85">
        <v>255</v>
      </c>
      <c r="DU85">
        <v>255</v>
      </c>
      <c r="DV85">
        <v>255</v>
      </c>
      <c r="DW85">
        <v>255</v>
      </c>
      <c r="DX85" t="s">
        <v>206</v>
      </c>
      <c r="DY85" t="s">
        <v>206</v>
      </c>
      <c r="DZ85" t="s">
        <v>207</v>
      </c>
      <c r="EA85" t="s">
        <v>198</v>
      </c>
      <c r="EB85" t="s">
        <v>198</v>
      </c>
      <c r="EC85" t="s">
        <v>198</v>
      </c>
      <c r="ED85">
        <v>0</v>
      </c>
      <c r="EE85">
        <v>0</v>
      </c>
      <c r="EF85">
        <v>0</v>
      </c>
      <c r="EG85">
        <v>0</v>
      </c>
      <c r="EH85">
        <v>255</v>
      </c>
      <c r="EI85">
        <v>255</v>
      </c>
      <c r="EJ85">
        <v>255</v>
      </c>
      <c r="EK85">
        <v>255</v>
      </c>
      <c r="EL85">
        <v>255</v>
      </c>
      <c r="EM85">
        <v>255</v>
      </c>
      <c r="EN85">
        <v>255</v>
      </c>
      <c r="EO85">
        <v>255</v>
      </c>
      <c r="EP85">
        <v>255</v>
      </c>
      <c r="EQ85">
        <v>255</v>
      </c>
      <c r="ER85" t="s">
        <v>208</v>
      </c>
      <c r="ES85" t="s">
        <v>209</v>
      </c>
      <c r="ET85" t="s">
        <v>209</v>
      </c>
      <c r="EU85">
        <v>0</v>
      </c>
      <c r="EV85">
        <v>16.2</v>
      </c>
      <c r="EW85">
        <v>-114.7</v>
      </c>
      <c r="EX85">
        <v>-42.2</v>
      </c>
      <c r="EY85">
        <v>0</v>
      </c>
      <c r="EZ85">
        <v>0</v>
      </c>
      <c r="FA85">
        <v>1.5</v>
      </c>
      <c r="FB85" t="s">
        <v>198</v>
      </c>
      <c r="FC85" t="s">
        <v>198</v>
      </c>
      <c r="FD85" t="s">
        <v>198</v>
      </c>
      <c r="FE85" t="s">
        <v>198</v>
      </c>
      <c r="FF85" t="s">
        <v>198</v>
      </c>
      <c r="FG85" t="s">
        <v>198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 t="s">
        <v>203</v>
      </c>
      <c r="FP85" t="s">
        <v>203</v>
      </c>
      <c r="FQ85" t="s">
        <v>203</v>
      </c>
      <c r="FR85" t="s">
        <v>203</v>
      </c>
      <c r="FS85" t="s">
        <v>203</v>
      </c>
      <c r="FT85" t="s">
        <v>203</v>
      </c>
      <c r="FU85" t="s">
        <v>198</v>
      </c>
      <c r="FV85" t="s">
        <v>198</v>
      </c>
      <c r="FW85" t="s">
        <v>198</v>
      </c>
      <c r="FX85" t="s">
        <v>198</v>
      </c>
      <c r="FY85" t="s">
        <v>198</v>
      </c>
      <c r="FZ85" t="s">
        <v>198</v>
      </c>
      <c r="GA85">
        <v>30.92</v>
      </c>
      <c r="GB85">
        <v>30.92</v>
      </c>
      <c r="GC85" t="s">
        <v>203</v>
      </c>
      <c r="GD85">
        <v>0</v>
      </c>
      <c r="GE85">
        <v>504</v>
      </c>
      <c r="GF85">
        <v>0</v>
      </c>
      <c r="GG85">
        <v>0.1</v>
      </c>
      <c r="GH85">
        <v>0.7</v>
      </c>
      <c r="GI85">
        <v>0</v>
      </c>
      <c r="GJ85">
        <v>0</v>
      </c>
      <c r="GK85">
        <v>0</v>
      </c>
      <c r="GL85" t="s">
        <v>198</v>
      </c>
      <c r="GM85" t="s">
        <v>198</v>
      </c>
      <c r="GN85" t="s">
        <v>198</v>
      </c>
    </row>
    <row r="86" spans="1:196">
      <c r="A86" s="19">
        <v>46316.90487665509</v>
      </c>
      <c r="B86">
        <v>-0.3</v>
      </c>
      <c r="C86">
        <v>0</v>
      </c>
      <c r="D86">
        <v>278</v>
      </c>
      <c r="E86">
        <v>0</v>
      </c>
      <c r="F86">
        <v>0</v>
      </c>
      <c r="G86">
        <v>0</v>
      </c>
      <c r="H86">
        <v>0</v>
      </c>
      <c r="I86">
        <v>0</v>
      </c>
      <c r="J86">
        <v>0.002</v>
      </c>
      <c r="K86">
        <v>-1.5</v>
      </c>
      <c r="L86">
        <v>40.5</v>
      </c>
      <c r="M86">
        <v>624.7</v>
      </c>
      <c r="N86">
        <v>39.7</v>
      </c>
      <c r="O86">
        <v>40.49</v>
      </c>
      <c r="P86">
        <v>40.491</v>
      </c>
      <c r="Q86">
        <v>0</v>
      </c>
      <c r="R86">
        <v>0</v>
      </c>
      <c r="S86">
        <v>115.6</v>
      </c>
      <c r="T86" t="s">
        <v>377</v>
      </c>
      <c r="U86">
        <v>115.7</v>
      </c>
      <c r="V86">
        <v>36024.1</v>
      </c>
      <c r="W86">
        <v>3</v>
      </c>
      <c r="X86" t="s">
        <v>197</v>
      </c>
      <c r="Y86">
        <v>0</v>
      </c>
      <c r="Z86">
        <v>98</v>
      </c>
      <c r="AA86">
        <v>278</v>
      </c>
      <c r="AB86" t="s">
        <v>197</v>
      </c>
      <c r="AC86" t="s">
        <v>198</v>
      </c>
      <c r="AD86" t="s">
        <v>199</v>
      </c>
      <c r="AE86">
        <v>31</v>
      </c>
      <c r="AF86">
        <v>44</v>
      </c>
      <c r="AG86">
        <v>255</v>
      </c>
      <c r="AH86">
        <v>0</v>
      </c>
      <c r="AI86">
        <v>0</v>
      </c>
      <c r="AJ86">
        <v>0</v>
      </c>
      <c r="AK86">
        <v>12.6</v>
      </c>
      <c r="AL86">
        <v>0</v>
      </c>
      <c r="AM86">
        <v>0</v>
      </c>
      <c r="AN86" t="s">
        <v>197</v>
      </c>
      <c r="AO86">
        <v>100</v>
      </c>
      <c r="AP86" t="s">
        <v>197</v>
      </c>
      <c r="AQ86" t="s">
        <v>200</v>
      </c>
      <c r="AR86">
        <v>1</v>
      </c>
      <c r="AS86">
        <v>0</v>
      </c>
      <c r="AT86" t="s">
        <v>378</v>
      </c>
      <c r="AU86" t="s">
        <v>378</v>
      </c>
      <c r="AV86" t="s">
        <v>202</v>
      </c>
      <c r="AW86" t="s">
        <v>203</v>
      </c>
      <c r="AX86" t="s">
        <v>203</v>
      </c>
      <c r="AY86" t="s">
        <v>203</v>
      </c>
      <c r="AZ86" t="s">
        <v>203</v>
      </c>
      <c r="BA86" t="s">
        <v>203</v>
      </c>
      <c r="BB86" t="s">
        <v>203</v>
      </c>
      <c r="BC86" t="s">
        <v>203</v>
      </c>
      <c r="BD86" t="s">
        <v>203</v>
      </c>
      <c r="BE86" t="s">
        <v>203</v>
      </c>
      <c r="BF86">
        <v>37.93</v>
      </c>
      <c r="BG86">
        <v>0.2</v>
      </c>
      <c r="BH86">
        <v>50</v>
      </c>
      <c r="BI86">
        <v>0</v>
      </c>
      <c r="BJ86" t="s">
        <v>198</v>
      </c>
      <c r="BK86" t="s">
        <v>198</v>
      </c>
      <c r="BL86" t="s">
        <v>198</v>
      </c>
      <c r="BM86" t="s">
        <v>198</v>
      </c>
      <c r="BN86" t="s">
        <v>198</v>
      </c>
      <c r="BO86" t="s">
        <v>198</v>
      </c>
      <c r="BP86" t="s">
        <v>198</v>
      </c>
      <c r="BQ86" t="s">
        <v>198</v>
      </c>
      <c r="BR86" t="s">
        <v>198</v>
      </c>
      <c r="BS86" t="s">
        <v>198</v>
      </c>
      <c r="BT86" t="s">
        <v>198</v>
      </c>
      <c r="BU86" t="s">
        <v>198</v>
      </c>
      <c r="BV86" t="s">
        <v>198</v>
      </c>
      <c r="BW86" t="s">
        <v>198</v>
      </c>
      <c r="BX86" t="s">
        <v>198</v>
      </c>
      <c r="BY86" t="s">
        <v>198</v>
      </c>
      <c r="BZ86" t="s">
        <v>198</v>
      </c>
      <c r="CA86" t="s">
        <v>198</v>
      </c>
      <c r="CB86" t="s">
        <v>204</v>
      </c>
      <c r="CC86" t="s">
        <v>204</v>
      </c>
      <c r="CD86" t="s">
        <v>204</v>
      </c>
      <c r="CE86" t="s">
        <v>204</v>
      </c>
      <c r="CF86" t="s">
        <v>204</v>
      </c>
      <c r="CG86" t="s">
        <v>204</v>
      </c>
      <c r="CH86" t="s">
        <v>204</v>
      </c>
      <c r="CI86" t="s">
        <v>204</v>
      </c>
      <c r="CJ86" t="s">
        <v>204</v>
      </c>
      <c r="CK86" t="s">
        <v>204</v>
      </c>
      <c r="CL86" t="s">
        <v>204</v>
      </c>
      <c r="CM86" t="s">
        <v>204</v>
      </c>
      <c r="CN86" t="s">
        <v>203</v>
      </c>
      <c r="CO86" t="s">
        <v>203</v>
      </c>
      <c r="CP86" t="s">
        <v>203</v>
      </c>
      <c r="CQ86" t="s">
        <v>203</v>
      </c>
      <c r="CR86" t="s">
        <v>203</v>
      </c>
      <c r="CS86" t="s">
        <v>203</v>
      </c>
      <c r="CT86" t="s">
        <v>203</v>
      </c>
      <c r="CU86" t="s">
        <v>203</v>
      </c>
      <c r="CV86">
        <v>0</v>
      </c>
      <c r="CW86">
        <v>0</v>
      </c>
      <c r="CX86" t="s">
        <v>198</v>
      </c>
      <c r="CY86" t="s">
        <v>198</v>
      </c>
      <c r="CZ86" t="s">
        <v>198</v>
      </c>
      <c r="DA86" t="s">
        <v>198</v>
      </c>
      <c r="DB86" t="s">
        <v>198</v>
      </c>
      <c r="DC86">
        <v>0</v>
      </c>
      <c r="DD86">
        <v>0</v>
      </c>
      <c r="DE86">
        <v>0</v>
      </c>
      <c r="DF86">
        <v>0</v>
      </c>
      <c r="DG86">
        <v>-35.3631166</v>
      </c>
      <c r="DH86">
        <v>149.1639735</v>
      </c>
      <c r="DI86" t="s">
        <v>360</v>
      </c>
      <c r="DJ86">
        <v>1.2</v>
      </c>
      <c r="DK86">
        <v>2</v>
      </c>
      <c r="DL86">
        <v>283.9</v>
      </c>
      <c r="DM86">
        <v>0</v>
      </c>
      <c r="DN86">
        <v>6</v>
      </c>
      <c r="DO86">
        <v>10</v>
      </c>
      <c r="DP86">
        <v>0</v>
      </c>
      <c r="DQ86">
        <v>255</v>
      </c>
      <c r="DR86">
        <v>255</v>
      </c>
      <c r="DS86">
        <v>255</v>
      </c>
      <c r="DT86">
        <v>255</v>
      </c>
      <c r="DU86">
        <v>255</v>
      </c>
      <c r="DV86">
        <v>255</v>
      </c>
      <c r="DW86">
        <v>255</v>
      </c>
      <c r="DX86" t="s">
        <v>206</v>
      </c>
      <c r="DY86" t="s">
        <v>206</v>
      </c>
      <c r="DZ86" t="s">
        <v>207</v>
      </c>
      <c r="EA86" t="s">
        <v>198</v>
      </c>
      <c r="EB86" t="s">
        <v>198</v>
      </c>
      <c r="EC86" t="s">
        <v>198</v>
      </c>
      <c r="ED86">
        <v>0</v>
      </c>
      <c r="EE86">
        <v>0</v>
      </c>
      <c r="EF86">
        <v>0</v>
      </c>
      <c r="EG86">
        <v>0</v>
      </c>
      <c r="EH86">
        <v>255</v>
      </c>
      <c r="EI86">
        <v>255</v>
      </c>
      <c r="EJ86">
        <v>255</v>
      </c>
      <c r="EK86">
        <v>255</v>
      </c>
      <c r="EL86">
        <v>255</v>
      </c>
      <c r="EM86">
        <v>255</v>
      </c>
      <c r="EN86">
        <v>255</v>
      </c>
      <c r="EO86">
        <v>255</v>
      </c>
      <c r="EP86">
        <v>255</v>
      </c>
      <c r="EQ86">
        <v>255</v>
      </c>
      <c r="ER86" t="s">
        <v>208</v>
      </c>
      <c r="ES86" t="s">
        <v>209</v>
      </c>
      <c r="ET86" t="s">
        <v>209</v>
      </c>
      <c r="EU86">
        <v>0</v>
      </c>
      <c r="EV86">
        <v>16.2</v>
      </c>
      <c r="EW86">
        <v>-114.7</v>
      </c>
      <c r="EX86">
        <v>-40.7</v>
      </c>
      <c r="EY86">
        <v>0</v>
      </c>
      <c r="EZ86">
        <v>0</v>
      </c>
      <c r="FA86">
        <v>1.5</v>
      </c>
      <c r="FB86" t="s">
        <v>198</v>
      </c>
      <c r="FC86" t="s">
        <v>198</v>
      </c>
      <c r="FD86" t="s">
        <v>198</v>
      </c>
      <c r="FE86" t="s">
        <v>198</v>
      </c>
      <c r="FF86" t="s">
        <v>198</v>
      </c>
      <c r="FG86" t="s">
        <v>198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 t="s">
        <v>203</v>
      </c>
      <c r="FP86" t="s">
        <v>203</v>
      </c>
      <c r="FQ86" t="s">
        <v>203</v>
      </c>
      <c r="FR86" t="s">
        <v>203</v>
      </c>
      <c r="FS86" t="s">
        <v>203</v>
      </c>
      <c r="FT86" t="s">
        <v>203</v>
      </c>
      <c r="FU86" t="s">
        <v>198</v>
      </c>
      <c r="FV86" t="s">
        <v>198</v>
      </c>
      <c r="FW86" t="s">
        <v>198</v>
      </c>
      <c r="FX86" t="s">
        <v>198</v>
      </c>
      <c r="FY86" t="s">
        <v>198</v>
      </c>
      <c r="FZ86" t="s">
        <v>198</v>
      </c>
      <c r="GA86">
        <v>30.93</v>
      </c>
      <c r="GB86">
        <v>30.93</v>
      </c>
      <c r="GC86" t="s">
        <v>203</v>
      </c>
      <c r="GD86">
        <v>0</v>
      </c>
      <c r="GE86">
        <v>504</v>
      </c>
      <c r="GF86">
        <v>0</v>
      </c>
      <c r="GG86">
        <v>0.1</v>
      </c>
      <c r="GH86">
        <v>0.7</v>
      </c>
      <c r="GI86">
        <v>0</v>
      </c>
      <c r="GJ86">
        <v>0</v>
      </c>
      <c r="GK86">
        <v>0</v>
      </c>
      <c r="GL86" t="s">
        <v>198</v>
      </c>
      <c r="GM86" t="s">
        <v>198</v>
      </c>
      <c r="GN86" t="s">
        <v>198</v>
      </c>
    </row>
    <row r="87" spans="1:196">
      <c r="A87" s="19">
        <v>46316.90488822917</v>
      </c>
      <c r="B87">
        <v>0.5</v>
      </c>
      <c r="C87">
        <v>0</v>
      </c>
      <c r="D87">
        <v>278</v>
      </c>
      <c r="E87">
        <v>0</v>
      </c>
      <c r="F87">
        <v>0</v>
      </c>
      <c r="G87">
        <v>0</v>
      </c>
      <c r="H87">
        <v>0</v>
      </c>
      <c r="I87">
        <v>0</v>
      </c>
      <c r="J87">
        <v>0.004</v>
      </c>
      <c r="K87">
        <v>-1.5</v>
      </c>
      <c r="L87">
        <v>39</v>
      </c>
      <c r="M87">
        <v>623.2</v>
      </c>
      <c r="N87">
        <v>38.9</v>
      </c>
      <c r="O87">
        <v>38.99</v>
      </c>
      <c r="P87">
        <v>38.991</v>
      </c>
      <c r="Q87">
        <v>0</v>
      </c>
      <c r="R87">
        <v>0</v>
      </c>
      <c r="S87">
        <v>115.6</v>
      </c>
      <c r="T87" t="s">
        <v>379</v>
      </c>
      <c r="U87">
        <v>115.7</v>
      </c>
      <c r="V87">
        <v>24891.2</v>
      </c>
      <c r="W87">
        <v>3</v>
      </c>
      <c r="X87" t="s">
        <v>197</v>
      </c>
      <c r="Y87">
        <v>0</v>
      </c>
      <c r="Z87">
        <v>98</v>
      </c>
      <c r="AA87">
        <v>278</v>
      </c>
      <c r="AB87" t="s">
        <v>197</v>
      </c>
      <c r="AC87" t="s">
        <v>198</v>
      </c>
      <c r="AD87" t="s">
        <v>199</v>
      </c>
      <c r="AE87">
        <v>32</v>
      </c>
      <c r="AF87">
        <v>44</v>
      </c>
      <c r="AG87">
        <v>255</v>
      </c>
      <c r="AH87">
        <v>0</v>
      </c>
      <c r="AI87">
        <v>0</v>
      </c>
      <c r="AJ87">
        <v>0</v>
      </c>
      <c r="AK87">
        <v>12.6</v>
      </c>
      <c r="AL87">
        <v>0</v>
      </c>
      <c r="AM87">
        <v>0</v>
      </c>
      <c r="AN87" t="s">
        <v>197</v>
      </c>
      <c r="AO87">
        <v>100</v>
      </c>
      <c r="AP87" t="s">
        <v>197</v>
      </c>
      <c r="AQ87" t="s">
        <v>200</v>
      </c>
      <c r="AR87">
        <v>1</v>
      </c>
      <c r="AS87">
        <v>0</v>
      </c>
      <c r="AT87" t="s">
        <v>380</v>
      </c>
      <c r="AU87" t="s">
        <v>380</v>
      </c>
      <c r="AV87" t="s">
        <v>202</v>
      </c>
      <c r="AW87" t="s">
        <v>203</v>
      </c>
      <c r="AX87" t="s">
        <v>203</v>
      </c>
      <c r="AY87" t="s">
        <v>203</v>
      </c>
      <c r="AZ87" t="s">
        <v>203</v>
      </c>
      <c r="BA87" t="s">
        <v>203</v>
      </c>
      <c r="BB87" t="s">
        <v>203</v>
      </c>
      <c r="BC87" t="s">
        <v>203</v>
      </c>
      <c r="BD87" t="s">
        <v>203</v>
      </c>
      <c r="BE87" t="s">
        <v>203</v>
      </c>
      <c r="BF87">
        <v>36.42</v>
      </c>
      <c r="BG87">
        <v>0.2</v>
      </c>
      <c r="BH87">
        <v>50</v>
      </c>
      <c r="BI87">
        <v>0</v>
      </c>
      <c r="BJ87" t="s">
        <v>198</v>
      </c>
      <c r="BK87" t="s">
        <v>198</v>
      </c>
      <c r="BL87" t="s">
        <v>198</v>
      </c>
      <c r="BM87" t="s">
        <v>198</v>
      </c>
      <c r="BN87" t="s">
        <v>198</v>
      </c>
      <c r="BO87" t="s">
        <v>198</v>
      </c>
      <c r="BP87" t="s">
        <v>198</v>
      </c>
      <c r="BQ87" t="s">
        <v>198</v>
      </c>
      <c r="BR87" t="s">
        <v>198</v>
      </c>
      <c r="BS87" t="s">
        <v>198</v>
      </c>
      <c r="BT87" t="s">
        <v>198</v>
      </c>
      <c r="BU87" t="s">
        <v>198</v>
      </c>
      <c r="BV87" t="s">
        <v>198</v>
      </c>
      <c r="BW87" t="s">
        <v>198</v>
      </c>
      <c r="BX87" t="s">
        <v>198</v>
      </c>
      <c r="BY87" t="s">
        <v>198</v>
      </c>
      <c r="BZ87" t="s">
        <v>198</v>
      </c>
      <c r="CA87" t="s">
        <v>198</v>
      </c>
      <c r="CB87" t="s">
        <v>204</v>
      </c>
      <c r="CC87" t="s">
        <v>204</v>
      </c>
      <c r="CD87" t="s">
        <v>204</v>
      </c>
      <c r="CE87" t="s">
        <v>204</v>
      </c>
      <c r="CF87" t="s">
        <v>204</v>
      </c>
      <c r="CG87" t="s">
        <v>204</v>
      </c>
      <c r="CH87" t="s">
        <v>204</v>
      </c>
      <c r="CI87" t="s">
        <v>204</v>
      </c>
      <c r="CJ87" t="s">
        <v>204</v>
      </c>
      <c r="CK87" t="s">
        <v>204</v>
      </c>
      <c r="CL87" t="s">
        <v>204</v>
      </c>
      <c r="CM87" t="s">
        <v>204</v>
      </c>
      <c r="CN87" t="s">
        <v>203</v>
      </c>
      <c r="CO87" t="s">
        <v>203</v>
      </c>
      <c r="CP87" t="s">
        <v>203</v>
      </c>
      <c r="CQ87" t="s">
        <v>203</v>
      </c>
      <c r="CR87" t="s">
        <v>203</v>
      </c>
      <c r="CS87" t="s">
        <v>203</v>
      </c>
      <c r="CT87" t="s">
        <v>203</v>
      </c>
      <c r="CU87" t="s">
        <v>203</v>
      </c>
      <c r="CV87">
        <v>0</v>
      </c>
      <c r="CW87">
        <v>0</v>
      </c>
      <c r="CX87" t="s">
        <v>198</v>
      </c>
      <c r="CY87" t="s">
        <v>198</v>
      </c>
      <c r="CZ87" t="s">
        <v>198</v>
      </c>
      <c r="DA87" t="s">
        <v>198</v>
      </c>
      <c r="DB87" t="s">
        <v>198</v>
      </c>
      <c r="DC87">
        <v>0</v>
      </c>
      <c r="DD87">
        <v>0</v>
      </c>
      <c r="DE87">
        <v>0</v>
      </c>
      <c r="DF87">
        <v>0</v>
      </c>
      <c r="DG87">
        <v>-35.3631166</v>
      </c>
      <c r="DH87">
        <v>149.1639735</v>
      </c>
      <c r="DI87" t="s">
        <v>360</v>
      </c>
      <c r="DJ87">
        <v>1.2</v>
      </c>
      <c r="DK87">
        <v>2</v>
      </c>
      <c r="DL87">
        <v>81</v>
      </c>
      <c r="DM87">
        <v>0</v>
      </c>
      <c r="DN87">
        <v>6</v>
      </c>
      <c r="DO87">
        <v>10</v>
      </c>
      <c r="DP87">
        <v>0</v>
      </c>
      <c r="DQ87">
        <v>255</v>
      </c>
      <c r="DR87">
        <v>255</v>
      </c>
      <c r="DS87">
        <v>255</v>
      </c>
      <c r="DT87">
        <v>255</v>
      </c>
      <c r="DU87">
        <v>255</v>
      </c>
      <c r="DV87">
        <v>255</v>
      </c>
      <c r="DW87">
        <v>255</v>
      </c>
      <c r="DX87" t="s">
        <v>206</v>
      </c>
      <c r="DY87" t="s">
        <v>206</v>
      </c>
      <c r="DZ87" t="s">
        <v>207</v>
      </c>
      <c r="EA87" t="s">
        <v>198</v>
      </c>
      <c r="EB87" t="s">
        <v>198</v>
      </c>
      <c r="EC87" t="s">
        <v>198</v>
      </c>
      <c r="ED87">
        <v>0</v>
      </c>
      <c r="EE87">
        <v>0</v>
      </c>
      <c r="EF87">
        <v>0</v>
      </c>
      <c r="EG87">
        <v>0</v>
      </c>
      <c r="EH87">
        <v>255</v>
      </c>
      <c r="EI87">
        <v>255</v>
      </c>
      <c r="EJ87">
        <v>255</v>
      </c>
      <c r="EK87">
        <v>255</v>
      </c>
      <c r="EL87">
        <v>255</v>
      </c>
      <c r="EM87">
        <v>255</v>
      </c>
      <c r="EN87">
        <v>255</v>
      </c>
      <c r="EO87">
        <v>255</v>
      </c>
      <c r="EP87">
        <v>255</v>
      </c>
      <c r="EQ87">
        <v>255</v>
      </c>
      <c r="ER87" t="s">
        <v>208</v>
      </c>
      <c r="ES87" t="s">
        <v>209</v>
      </c>
      <c r="ET87" t="s">
        <v>209</v>
      </c>
      <c r="EU87">
        <v>0</v>
      </c>
      <c r="EV87">
        <v>16.2</v>
      </c>
      <c r="EW87">
        <v>-114.7</v>
      </c>
      <c r="EX87">
        <v>-39.2</v>
      </c>
      <c r="EY87">
        <v>0</v>
      </c>
      <c r="EZ87">
        <v>0</v>
      </c>
      <c r="FA87">
        <v>1.5</v>
      </c>
      <c r="FB87" t="s">
        <v>198</v>
      </c>
      <c r="FC87" t="s">
        <v>198</v>
      </c>
      <c r="FD87" t="s">
        <v>198</v>
      </c>
      <c r="FE87" t="s">
        <v>198</v>
      </c>
      <c r="FF87" t="s">
        <v>198</v>
      </c>
      <c r="FG87" t="s">
        <v>198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 t="s">
        <v>203</v>
      </c>
      <c r="FP87" t="s">
        <v>203</v>
      </c>
      <c r="FQ87" t="s">
        <v>203</v>
      </c>
      <c r="FR87" t="s">
        <v>203</v>
      </c>
      <c r="FS87" t="s">
        <v>203</v>
      </c>
      <c r="FT87" t="s">
        <v>203</v>
      </c>
      <c r="FU87" t="s">
        <v>198</v>
      </c>
      <c r="FV87" t="s">
        <v>198</v>
      </c>
      <c r="FW87" t="s">
        <v>198</v>
      </c>
      <c r="FX87" t="s">
        <v>198</v>
      </c>
      <c r="FY87" t="s">
        <v>198</v>
      </c>
      <c r="FZ87" t="s">
        <v>198</v>
      </c>
      <c r="GA87">
        <v>30.94</v>
      </c>
      <c r="GB87">
        <v>30.94</v>
      </c>
      <c r="GC87" t="s">
        <v>203</v>
      </c>
      <c r="GD87">
        <v>0</v>
      </c>
      <c r="GE87">
        <v>504</v>
      </c>
      <c r="GF87">
        <v>0</v>
      </c>
      <c r="GG87">
        <v>0.1</v>
      </c>
      <c r="GH87">
        <v>0.7</v>
      </c>
      <c r="GI87">
        <v>0</v>
      </c>
      <c r="GJ87">
        <v>0</v>
      </c>
      <c r="GK87">
        <v>0</v>
      </c>
      <c r="GL87" t="s">
        <v>198</v>
      </c>
      <c r="GM87" t="s">
        <v>198</v>
      </c>
      <c r="GN87" t="s">
        <v>198</v>
      </c>
    </row>
    <row r="88" spans="1:196">
      <c r="A88" s="19">
        <v>46316.90489980324</v>
      </c>
      <c r="B88">
        <v>0</v>
      </c>
      <c r="C88">
        <v>0</v>
      </c>
      <c r="D88">
        <v>278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-1.5</v>
      </c>
      <c r="L88">
        <v>37.5</v>
      </c>
      <c r="M88">
        <v>621.7</v>
      </c>
      <c r="N88">
        <v>36.7</v>
      </c>
      <c r="O88">
        <v>37.49</v>
      </c>
      <c r="P88">
        <v>37.491</v>
      </c>
      <c r="Q88">
        <v>0</v>
      </c>
      <c r="R88">
        <v>0</v>
      </c>
      <c r="S88">
        <v>115.6</v>
      </c>
      <c r="T88" t="s">
        <v>381</v>
      </c>
      <c r="U88">
        <v>115.7</v>
      </c>
      <c r="V88">
        <v>59731.2</v>
      </c>
      <c r="W88">
        <v>3</v>
      </c>
      <c r="X88" t="s">
        <v>197</v>
      </c>
      <c r="Y88">
        <v>0</v>
      </c>
      <c r="Z88">
        <v>98</v>
      </c>
      <c r="AA88">
        <v>278</v>
      </c>
      <c r="AB88" t="s">
        <v>197</v>
      </c>
      <c r="AC88" t="s">
        <v>198</v>
      </c>
      <c r="AD88" t="s">
        <v>199</v>
      </c>
      <c r="AE88">
        <v>31</v>
      </c>
      <c r="AF88">
        <v>44</v>
      </c>
      <c r="AG88">
        <v>255</v>
      </c>
      <c r="AH88">
        <v>0</v>
      </c>
      <c r="AI88">
        <v>0</v>
      </c>
      <c r="AJ88">
        <v>0</v>
      </c>
      <c r="AK88">
        <v>12.6</v>
      </c>
      <c r="AL88">
        <v>0</v>
      </c>
      <c r="AM88">
        <v>0</v>
      </c>
      <c r="AN88" t="s">
        <v>197</v>
      </c>
      <c r="AO88">
        <v>100</v>
      </c>
      <c r="AP88" t="s">
        <v>197</v>
      </c>
      <c r="AQ88" t="s">
        <v>200</v>
      </c>
      <c r="AR88">
        <v>1</v>
      </c>
      <c r="AS88">
        <v>0</v>
      </c>
      <c r="AT88" t="s">
        <v>382</v>
      </c>
      <c r="AU88" t="s">
        <v>382</v>
      </c>
      <c r="AV88" t="s">
        <v>202</v>
      </c>
      <c r="AW88" t="s">
        <v>203</v>
      </c>
      <c r="AX88" t="s">
        <v>203</v>
      </c>
      <c r="AY88" t="s">
        <v>203</v>
      </c>
      <c r="AZ88" t="s">
        <v>203</v>
      </c>
      <c r="BA88" t="s">
        <v>203</v>
      </c>
      <c r="BB88" t="s">
        <v>203</v>
      </c>
      <c r="BC88" t="s">
        <v>203</v>
      </c>
      <c r="BD88" t="s">
        <v>203</v>
      </c>
      <c r="BE88" t="s">
        <v>203</v>
      </c>
      <c r="BF88">
        <v>34.93</v>
      </c>
      <c r="BG88">
        <v>0.2</v>
      </c>
      <c r="BH88">
        <v>50</v>
      </c>
      <c r="BI88">
        <v>0</v>
      </c>
      <c r="BJ88" t="s">
        <v>198</v>
      </c>
      <c r="BK88" t="s">
        <v>198</v>
      </c>
      <c r="BL88" t="s">
        <v>198</v>
      </c>
      <c r="BM88" t="s">
        <v>198</v>
      </c>
      <c r="BN88" t="s">
        <v>198</v>
      </c>
      <c r="BO88" t="s">
        <v>198</v>
      </c>
      <c r="BP88" t="s">
        <v>198</v>
      </c>
      <c r="BQ88" t="s">
        <v>198</v>
      </c>
      <c r="BR88" t="s">
        <v>198</v>
      </c>
      <c r="BS88" t="s">
        <v>198</v>
      </c>
      <c r="BT88" t="s">
        <v>198</v>
      </c>
      <c r="BU88" t="s">
        <v>198</v>
      </c>
      <c r="BV88" t="s">
        <v>198</v>
      </c>
      <c r="BW88" t="s">
        <v>198</v>
      </c>
      <c r="BX88" t="s">
        <v>198</v>
      </c>
      <c r="BY88" t="s">
        <v>198</v>
      </c>
      <c r="BZ88" t="s">
        <v>198</v>
      </c>
      <c r="CA88" t="s">
        <v>198</v>
      </c>
      <c r="CB88" t="s">
        <v>204</v>
      </c>
      <c r="CC88" t="s">
        <v>204</v>
      </c>
      <c r="CD88" t="s">
        <v>204</v>
      </c>
      <c r="CE88" t="s">
        <v>204</v>
      </c>
      <c r="CF88" t="s">
        <v>204</v>
      </c>
      <c r="CG88" t="s">
        <v>204</v>
      </c>
      <c r="CH88" t="s">
        <v>204</v>
      </c>
      <c r="CI88" t="s">
        <v>204</v>
      </c>
      <c r="CJ88" t="s">
        <v>204</v>
      </c>
      <c r="CK88" t="s">
        <v>204</v>
      </c>
      <c r="CL88" t="s">
        <v>204</v>
      </c>
      <c r="CM88" t="s">
        <v>204</v>
      </c>
      <c r="CN88" t="s">
        <v>203</v>
      </c>
      <c r="CO88" t="s">
        <v>203</v>
      </c>
      <c r="CP88" t="s">
        <v>203</v>
      </c>
      <c r="CQ88" t="s">
        <v>203</v>
      </c>
      <c r="CR88" t="s">
        <v>203</v>
      </c>
      <c r="CS88" t="s">
        <v>203</v>
      </c>
      <c r="CT88" t="s">
        <v>203</v>
      </c>
      <c r="CU88" t="s">
        <v>203</v>
      </c>
      <c r="CV88">
        <v>0</v>
      </c>
      <c r="CW88">
        <v>0</v>
      </c>
      <c r="CX88" t="s">
        <v>198</v>
      </c>
      <c r="CY88" t="s">
        <v>198</v>
      </c>
      <c r="CZ88" t="s">
        <v>198</v>
      </c>
      <c r="DA88" t="s">
        <v>198</v>
      </c>
      <c r="DB88" t="s">
        <v>198</v>
      </c>
      <c r="DC88">
        <v>0</v>
      </c>
      <c r="DD88">
        <v>0</v>
      </c>
      <c r="DE88">
        <v>0</v>
      </c>
      <c r="DF88">
        <v>0</v>
      </c>
      <c r="DG88">
        <v>-35.3631166</v>
      </c>
      <c r="DH88">
        <v>149.1639735</v>
      </c>
      <c r="DI88" t="s">
        <v>360</v>
      </c>
      <c r="DJ88">
        <v>1.2</v>
      </c>
      <c r="DK88">
        <v>2</v>
      </c>
      <c r="DL88">
        <v>91.2</v>
      </c>
      <c r="DM88">
        <v>0</v>
      </c>
      <c r="DN88">
        <v>6</v>
      </c>
      <c r="DO88">
        <v>10</v>
      </c>
      <c r="DP88">
        <v>0</v>
      </c>
      <c r="DQ88">
        <v>255</v>
      </c>
      <c r="DR88">
        <v>255</v>
      </c>
      <c r="DS88">
        <v>255</v>
      </c>
      <c r="DT88">
        <v>255</v>
      </c>
      <c r="DU88">
        <v>255</v>
      </c>
      <c r="DV88">
        <v>255</v>
      </c>
      <c r="DW88">
        <v>255</v>
      </c>
      <c r="DX88" t="s">
        <v>206</v>
      </c>
      <c r="DY88" t="s">
        <v>206</v>
      </c>
      <c r="DZ88" t="s">
        <v>207</v>
      </c>
      <c r="EA88" t="s">
        <v>198</v>
      </c>
      <c r="EB88" t="s">
        <v>198</v>
      </c>
      <c r="EC88" t="s">
        <v>198</v>
      </c>
      <c r="ED88">
        <v>0</v>
      </c>
      <c r="EE88">
        <v>0</v>
      </c>
      <c r="EF88">
        <v>0</v>
      </c>
      <c r="EG88">
        <v>0</v>
      </c>
      <c r="EH88">
        <v>255</v>
      </c>
      <c r="EI88">
        <v>255</v>
      </c>
      <c r="EJ88">
        <v>255</v>
      </c>
      <c r="EK88">
        <v>255</v>
      </c>
      <c r="EL88">
        <v>255</v>
      </c>
      <c r="EM88">
        <v>255</v>
      </c>
      <c r="EN88">
        <v>255</v>
      </c>
      <c r="EO88">
        <v>255</v>
      </c>
      <c r="EP88">
        <v>255</v>
      </c>
      <c r="EQ88">
        <v>255</v>
      </c>
      <c r="ER88" t="s">
        <v>208</v>
      </c>
      <c r="ES88" t="s">
        <v>209</v>
      </c>
      <c r="ET88" t="s">
        <v>209</v>
      </c>
      <c r="EU88">
        <v>0</v>
      </c>
      <c r="EV88">
        <v>16.2</v>
      </c>
      <c r="EW88">
        <v>-114.7</v>
      </c>
      <c r="EX88">
        <v>-37.7</v>
      </c>
      <c r="EY88">
        <v>0</v>
      </c>
      <c r="EZ88">
        <v>0</v>
      </c>
      <c r="FA88">
        <v>1.5</v>
      </c>
      <c r="FB88" t="s">
        <v>198</v>
      </c>
      <c r="FC88" t="s">
        <v>198</v>
      </c>
      <c r="FD88" t="s">
        <v>198</v>
      </c>
      <c r="FE88" t="s">
        <v>198</v>
      </c>
      <c r="FF88" t="s">
        <v>198</v>
      </c>
      <c r="FG88" t="s">
        <v>198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203</v>
      </c>
      <c r="FP88" t="s">
        <v>203</v>
      </c>
      <c r="FQ88" t="s">
        <v>203</v>
      </c>
      <c r="FR88" t="s">
        <v>203</v>
      </c>
      <c r="FS88" t="s">
        <v>203</v>
      </c>
      <c r="FT88" t="s">
        <v>203</v>
      </c>
      <c r="FU88" t="s">
        <v>198</v>
      </c>
      <c r="FV88" t="s">
        <v>198</v>
      </c>
      <c r="FW88" t="s">
        <v>198</v>
      </c>
      <c r="FX88" t="s">
        <v>198</v>
      </c>
      <c r="FY88" t="s">
        <v>198</v>
      </c>
      <c r="FZ88" t="s">
        <v>198</v>
      </c>
      <c r="GA88">
        <v>30.95</v>
      </c>
      <c r="GB88">
        <v>30.95</v>
      </c>
      <c r="GC88" t="s">
        <v>203</v>
      </c>
      <c r="GD88">
        <v>0</v>
      </c>
      <c r="GE88">
        <v>504</v>
      </c>
      <c r="GF88">
        <v>0</v>
      </c>
      <c r="GG88">
        <v>0.1</v>
      </c>
      <c r="GH88">
        <v>0.7</v>
      </c>
      <c r="GI88">
        <v>0</v>
      </c>
      <c r="GJ88">
        <v>0</v>
      </c>
      <c r="GK88">
        <v>0</v>
      </c>
      <c r="GL88" t="s">
        <v>198</v>
      </c>
      <c r="GM88" t="s">
        <v>198</v>
      </c>
      <c r="GN88" t="s">
        <v>198</v>
      </c>
    </row>
    <row r="89" spans="1:196">
      <c r="A89" s="19">
        <v>46316.90491137731</v>
      </c>
      <c r="B89">
        <v>-0.5</v>
      </c>
      <c r="C89">
        <v>0</v>
      </c>
      <c r="D89">
        <v>278</v>
      </c>
      <c r="E89">
        <v>0</v>
      </c>
      <c r="F89">
        <v>0</v>
      </c>
      <c r="G89">
        <v>0</v>
      </c>
      <c r="H89">
        <v>0</v>
      </c>
      <c r="I89">
        <v>0</v>
      </c>
      <c r="J89">
        <v>0.002</v>
      </c>
      <c r="K89">
        <v>-1.5</v>
      </c>
      <c r="L89">
        <v>36</v>
      </c>
      <c r="M89">
        <v>620.2</v>
      </c>
      <c r="N89">
        <v>35.9</v>
      </c>
      <c r="O89">
        <v>35.99</v>
      </c>
      <c r="P89">
        <v>35.991</v>
      </c>
      <c r="Q89">
        <v>0</v>
      </c>
      <c r="R89">
        <v>0</v>
      </c>
      <c r="S89">
        <v>115.6</v>
      </c>
      <c r="T89" t="s">
        <v>383</v>
      </c>
      <c r="U89">
        <v>115.7</v>
      </c>
      <c r="V89">
        <v>79775.3</v>
      </c>
      <c r="W89">
        <v>3</v>
      </c>
      <c r="X89" t="s">
        <v>197</v>
      </c>
      <c r="Y89">
        <v>0</v>
      </c>
      <c r="Z89">
        <v>98</v>
      </c>
      <c r="AA89">
        <v>278</v>
      </c>
      <c r="AB89" t="s">
        <v>197</v>
      </c>
      <c r="AC89" t="s">
        <v>198</v>
      </c>
      <c r="AD89" t="s">
        <v>199</v>
      </c>
      <c r="AE89">
        <v>31</v>
      </c>
      <c r="AF89">
        <v>44</v>
      </c>
      <c r="AG89">
        <v>255</v>
      </c>
      <c r="AH89">
        <v>0</v>
      </c>
      <c r="AI89">
        <v>0</v>
      </c>
      <c r="AJ89">
        <v>0</v>
      </c>
      <c r="AK89">
        <v>12.6</v>
      </c>
      <c r="AL89">
        <v>0</v>
      </c>
      <c r="AM89">
        <v>0</v>
      </c>
      <c r="AN89" t="s">
        <v>197</v>
      </c>
      <c r="AO89">
        <v>100</v>
      </c>
      <c r="AP89" t="s">
        <v>197</v>
      </c>
      <c r="AQ89" t="s">
        <v>200</v>
      </c>
      <c r="AR89">
        <v>1</v>
      </c>
      <c r="AS89">
        <v>0</v>
      </c>
      <c r="AT89" t="s">
        <v>384</v>
      </c>
      <c r="AU89" t="s">
        <v>384</v>
      </c>
      <c r="AV89" t="s">
        <v>202</v>
      </c>
      <c r="AW89" t="s">
        <v>203</v>
      </c>
      <c r="AX89" t="s">
        <v>203</v>
      </c>
      <c r="AY89" t="s">
        <v>203</v>
      </c>
      <c r="AZ89" t="s">
        <v>203</v>
      </c>
      <c r="BA89" t="s">
        <v>203</v>
      </c>
      <c r="BB89" t="s">
        <v>203</v>
      </c>
      <c r="BC89" t="s">
        <v>203</v>
      </c>
      <c r="BD89" t="s">
        <v>203</v>
      </c>
      <c r="BE89" t="s">
        <v>203</v>
      </c>
      <c r="BF89">
        <v>33.43</v>
      </c>
      <c r="BG89">
        <v>0.2</v>
      </c>
      <c r="BH89">
        <v>50</v>
      </c>
      <c r="BI89">
        <v>0</v>
      </c>
      <c r="BJ89" t="s">
        <v>198</v>
      </c>
      <c r="BK89" t="s">
        <v>198</v>
      </c>
      <c r="BL89" t="s">
        <v>198</v>
      </c>
      <c r="BM89" t="s">
        <v>198</v>
      </c>
      <c r="BN89" t="s">
        <v>198</v>
      </c>
      <c r="BO89" t="s">
        <v>198</v>
      </c>
      <c r="BP89" t="s">
        <v>198</v>
      </c>
      <c r="BQ89" t="s">
        <v>198</v>
      </c>
      <c r="BR89" t="s">
        <v>198</v>
      </c>
      <c r="BS89" t="s">
        <v>198</v>
      </c>
      <c r="BT89" t="s">
        <v>198</v>
      </c>
      <c r="BU89" t="s">
        <v>198</v>
      </c>
      <c r="BV89" t="s">
        <v>198</v>
      </c>
      <c r="BW89" t="s">
        <v>198</v>
      </c>
      <c r="BX89" t="s">
        <v>198</v>
      </c>
      <c r="BY89" t="s">
        <v>198</v>
      </c>
      <c r="BZ89" t="s">
        <v>198</v>
      </c>
      <c r="CA89" t="s">
        <v>198</v>
      </c>
      <c r="CB89" t="s">
        <v>204</v>
      </c>
      <c r="CC89" t="s">
        <v>204</v>
      </c>
      <c r="CD89" t="s">
        <v>204</v>
      </c>
      <c r="CE89" t="s">
        <v>204</v>
      </c>
      <c r="CF89" t="s">
        <v>204</v>
      </c>
      <c r="CG89" t="s">
        <v>204</v>
      </c>
      <c r="CH89" t="s">
        <v>204</v>
      </c>
      <c r="CI89" t="s">
        <v>204</v>
      </c>
      <c r="CJ89" t="s">
        <v>204</v>
      </c>
      <c r="CK89" t="s">
        <v>204</v>
      </c>
      <c r="CL89" t="s">
        <v>204</v>
      </c>
      <c r="CM89" t="s">
        <v>204</v>
      </c>
      <c r="CN89" t="s">
        <v>203</v>
      </c>
      <c r="CO89" t="s">
        <v>203</v>
      </c>
      <c r="CP89" t="s">
        <v>203</v>
      </c>
      <c r="CQ89" t="s">
        <v>203</v>
      </c>
      <c r="CR89" t="s">
        <v>203</v>
      </c>
      <c r="CS89" t="s">
        <v>203</v>
      </c>
      <c r="CT89" t="s">
        <v>203</v>
      </c>
      <c r="CU89" t="s">
        <v>203</v>
      </c>
      <c r="CV89">
        <v>0</v>
      </c>
      <c r="CW89">
        <v>0</v>
      </c>
      <c r="CX89" t="s">
        <v>198</v>
      </c>
      <c r="CY89" t="s">
        <v>198</v>
      </c>
      <c r="CZ89" t="s">
        <v>198</v>
      </c>
      <c r="DA89" t="s">
        <v>198</v>
      </c>
      <c r="DB89" t="s">
        <v>198</v>
      </c>
      <c r="DC89">
        <v>0</v>
      </c>
      <c r="DD89">
        <v>0</v>
      </c>
      <c r="DE89">
        <v>0</v>
      </c>
      <c r="DF89">
        <v>0</v>
      </c>
      <c r="DG89">
        <v>-35.3631166</v>
      </c>
      <c r="DH89">
        <v>149.1639735</v>
      </c>
      <c r="DI89" t="s">
        <v>360</v>
      </c>
      <c r="DJ89">
        <v>1.2</v>
      </c>
      <c r="DK89">
        <v>2</v>
      </c>
      <c r="DL89">
        <v>189.7</v>
      </c>
      <c r="DM89">
        <v>0</v>
      </c>
      <c r="DN89">
        <v>6</v>
      </c>
      <c r="DO89">
        <v>10</v>
      </c>
      <c r="DP89">
        <v>0</v>
      </c>
      <c r="DQ89">
        <v>255</v>
      </c>
      <c r="DR89">
        <v>255</v>
      </c>
      <c r="DS89">
        <v>255</v>
      </c>
      <c r="DT89">
        <v>255</v>
      </c>
      <c r="DU89">
        <v>255</v>
      </c>
      <c r="DV89">
        <v>255</v>
      </c>
      <c r="DW89">
        <v>255</v>
      </c>
      <c r="DX89" t="s">
        <v>206</v>
      </c>
      <c r="DY89" t="s">
        <v>206</v>
      </c>
      <c r="DZ89" t="s">
        <v>207</v>
      </c>
      <c r="EA89" t="s">
        <v>198</v>
      </c>
      <c r="EB89" t="s">
        <v>198</v>
      </c>
      <c r="EC89" t="s">
        <v>198</v>
      </c>
      <c r="ED89">
        <v>0</v>
      </c>
      <c r="EE89">
        <v>0</v>
      </c>
      <c r="EF89">
        <v>0</v>
      </c>
      <c r="EG89">
        <v>0</v>
      </c>
      <c r="EH89">
        <v>255</v>
      </c>
      <c r="EI89">
        <v>255</v>
      </c>
      <c r="EJ89">
        <v>255</v>
      </c>
      <c r="EK89">
        <v>255</v>
      </c>
      <c r="EL89">
        <v>255</v>
      </c>
      <c r="EM89">
        <v>255</v>
      </c>
      <c r="EN89">
        <v>255</v>
      </c>
      <c r="EO89">
        <v>255</v>
      </c>
      <c r="EP89">
        <v>255</v>
      </c>
      <c r="EQ89">
        <v>255</v>
      </c>
      <c r="ER89" t="s">
        <v>208</v>
      </c>
      <c r="ES89" t="s">
        <v>209</v>
      </c>
      <c r="ET89" t="s">
        <v>209</v>
      </c>
      <c r="EU89">
        <v>0</v>
      </c>
      <c r="EV89">
        <v>16.2</v>
      </c>
      <c r="EW89">
        <v>-114.7</v>
      </c>
      <c r="EX89">
        <v>-36.2</v>
      </c>
      <c r="EY89">
        <v>0</v>
      </c>
      <c r="EZ89">
        <v>0</v>
      </c>
      <c r="FA89">
        <v>1.5</v>
      </c>
      <c r="FB89" t="s">
        <v>198</v>
      </c>
      <c r="FC89" t="s">
        <v>198</v>
      </c>
      <c r="FD89" t="s">
        <v>198</v>
      </c>
      <c r="FE89" t="s">
        <v>198</v>
      </c>
      <c r="FF89" t="s">
        <v>198</v>
      </c>
      <c r="FG89" t="s">
        <v>198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 t="s">
        <v>203</v>
      </c>
      <c r="FP89" t="s">
        <v>203</v>
      </c>
      <c r="FQ89" t="s">
        <v>203</v>
      </c>
      <c r="FR89" t="s">
        <v>203</v>
      </c>
      <c r="FS89" t="s">
        <v>203</v>
      </c>
      <c r="FT89" t="s">
        <v>203</v>
      </c>
      <c r="FU89" t="s">
        <v>198</v>
      </c>
      <c r="FV89" t="s">
        <v>198</v>
      </c>
      <c r="FW89" t="s">
        <v>198</v>
      </c>
      <c r="FX89" t="s">
        <v>198</v>
      </c>
      <c r="FY89" t="s">
        <v>198</v>
      </c>
      <c r="FZ89" t="s">
        <v>198</v>
      </c>
      <c r="GA89">
        <v>30.96</v>
      </c>
      <c r="GB89">
        <v>30.96</v>
      </c>
      <c r="GC89" t="s">
        <v>203</v>
      </c>
      <c r="GD89">
        <v>0</v>
      </c>
      <c r="GE89">
        <v>504</v>
      </c>
      <c r="GF89">
        <v>0</v>
      </c>
      <c r="GG89">
        <v>0.1</v>
      </c>
      <c r="GH89">
        <v>0.7</v>
      </c>
      <c r="GI89">
        <v>0</v>
      </c>
      <c r="GJ89">
        <v>0</v>
      </c>
      <c r="GK89">
        <v>0</v>
      </c>
      <c r="GL89" t="s">
        <v>198</v>
      </c>
      <c r="GM89" t="s">
        <v>198</v>
      </c>
      <c r="GN89" t="s">
        <v>198</v>
      </c>
    </row>
    <row r="90" spans="1:196">
      <c r="A90" s="19">
        <v>46316.90492295139</v>
      </c>
      <c r="B90">
        <v>0</v>
      </c>
      <c r="C90">
        <v>0</v>
      </c>
      <c r="D90">
        <v>277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-1.5</v>
      </c>
      <c r="L90">
        <v>34.5</v>
      </c>
      <c r="M90">
        <v>618.7</v>
      </c>
      <c r="N90">
        <v>33.7</v>
      </c>
      <c r="O90">
        <v>34.49</v>
      </c>
      <c r="P90">
        <v>34.491</v>
      </c>
      <c r="Q90">
        <v>0</v>
      </c>
      <c r="R90">
        <v>0</v>
      </c>
      <c r="S90">
        <v>115.6</v>
      </c>
      <c r="T90" t="s">
        <v>385</v>
      </c>
      <c r="U90">
        <v>115.7</v>
      </c>
      <c r="V90">
        <v>36598.3</v>
      </c>
      <c r="W90">
        <v>3</v>
      </c>
      <c r="X90" t="s">
        <v>197</v>
      </c>
      <c r="Y90">
        <v>0</v>
      </c>
      <c r="Z90">
        <v>98</v>
      </c>
      <c r="AA90">
        <v>278</v>
      </c>
      <c r="AB90" t="s">
        <v>197</v>
      </c>
      <c r="AC90" t="s">
        <v>198</v>
      </c>
      <c r="AD90" t="s">
        <v>199</v>
      </c>
      <c r="AE90">
        <v>32</v>
      </c>
      <c r="AF90">
        <v>44</v>
      </c>
      <c r="AG90">
        <v>255</v>
      </c>
      <c r="AH90">
        <v>0</v>
      </c>
      <c r="AI90">
        <v>0</v>
      </c>
      <c r="AJ90">
        <v>0</v>
      </c>
      <c r="AK90">
        <v>12.6</v>
      </c>
      <c r="AL90">
        <v>0</v>
      </c>
      <c r="AM90">
        <v>0</v>
      </c>
      <c r="AN90" t="s">
        <v>197</v>
      </c>
      <c r="AO90">
        <v>100</v>
      </c>
      <c r="AP90" t="s">
        <v>197</v>
      </c>
      <c r="AQ90" t="s">
        <v>200</v>
      </c>
      <c r="AR90">
        <v>1</v>
      </c>
      <c r="AS90">
        <v>0</v>
      </c>
      <c r="AT90" t="s">
        <v>386</v>
      </c>
      <c r="AU90" t="s">
        <v>386</v>
      </c>
      <c r="AV90" t="s">
        <v>202</v>
      </c>
      <c r="AW90" t="s">
        <v>203</v>
      </c>
      <c r="AX90" t="s">
        <v>203</v>
      </c>
      <c r="AY90" t="s">
        <v>203</v>
      </c>
      <c r="AZ90" t="s">
        <v>203</v>
      </c>
      <c r="BA90" t="s">
        <v>203</v>
      </c>
      <c r="BB90" t="s">
        <v>203</v>
      </c>
      <c r="BC90" t="s">
        <v>203</v>
      </c>
      <c r="BD90" t="s">
        <v>203</v>
      </c>
      <c r="BE90" t="s">
        <v>203</v>
      </c>
      <c r="BF90">
        <v>31.92</v>
      </c>
      <c r="BG90">
        <v>0.2</v>
      </c>
      <c r="BH90">
        <v>50</v>
      </c>
      <c r="BI90">
        <v>0</v>
      </c>
      <c r="BJ90" t="s">
        <v>198</v>
      </c>
      <c r="BK90" t="s">
        <v>198</v>
      </c>
      <c r="BL90" t="s">
        <v>198</v>
      </c>
      <c r="BM90" t="s">
        <v>198</v>
      </c>
      <c r="BN90" t="s">
        <v>198</v>
      </c>
      <c r="BO90" t="s">
        <v>198</v>
      </c>
      <c r="BP90" t="s">
        <v>198</v>
      </c>
      <c r="BQ90" t="s">
        <v>198</v>
      </c>
      <c r="BR90" t="s">
        <v>198</v>
      </c>
      <c r="BS90" t="s">
        <v>198</v>
      </c>
      <c r="BT90" t="s">
        <v>198</v>
      </c>
      <c r="BU90" t="s">
        <v>198</v>
      </c>
      <c r="BV90" t="s">
        <v>198</v>
      </c>
      <c r="BW90" t="s">
        <v>198</v>
      </c>
      <c r="BX90" t="s">
        <v>198</v>
      </c>
      <c r="BY90" t="s">
        <v>198</v>
      </c>
      <c r="BZ90" t="s">
        <v>198</v>
      </c>
      <c r="CA90" t="s">
        <v>198</v>
      </c>
      <c r="CB90" t="s">
        <v>204</v>
      </c>
      <c r="CC90" t="s">
        <v>204</v>
      </c>
      <c r="CD90" t="s">
        <v>204</v>
      </c>
      <c r="CE90" t="s">
        <v>204</v>
      </c>
      <c r="CF90" t="s">
        <v>204</v>
      </c>
      <c r="CG90" t="s">
        <v>204</v>
      </c>
      <c r="CH90" t="s">
        <v>204</v>
      </c>
      <c r="CI90" t="s">
        <v>204</v>
      </c>
      <c r="CJ90" t="s">
        <v>204</v>
      </c>
      <c r="CK90" t="s">
        <v>204</v>
      </c>
      <c r="CL90" t="s">
        <v>204</v>
      </c>
      <c r="CM90" t="s">
        <v>204</v>
      </c>
      <c r="CN90" t="s">
        <v>203</v>
      </c>
      <c r="CO90" t="s">
        <v>203</v>
      </c>
      <c r="CP90" t="s">
        <v>203</v>
      </c>
      <c r="CQ90" t="s">
        <v>203</v>
      </c>
      <c r="CR90" t="s">
        <v>203</v>
      </c>
      <c r="CS90" t="s">
        <v>203</v>
      </c>
      <c r="CT90" t="s">
        <v>203</v>
      </c>
      <c r="CU90" t="s">
        <v>203</v>
      </c>
      <c r="CV90">
        <v>0</v>
      </c>
      <c r="CW90">
        <v>0</v>
      </c>
      <c r="CX90" t="s">
        <v>198</v>
      </c>
      <c r="CY90" t="s">
        <v>198</v>
      </c>
      <c r="CZ90" t="s">
        <v>198</v>
      </c>
      <c r="DA90" t="s">
        <v>198</v>
      </c>
      <c r="DB90" t="s">
        <v>198</v>
      </c>
      <c r="DC90">
        <v>0</v>
      </c>
      <c r="DD90">
        <v>0</v>
      </c>
      <c r="DE90">
        <v>0</v>
      </c>
      <c r="DF90">
        <v>0</v>
      </c>
      <c r="DG90">
        <v>-35.3631166</v>
      </c>
      <c r="DH90">
        <v>149.1639735</v>
      </c>
      <c r="DI90" t="s">
        <v>360</v>
      </c>
      <c r="DJ90">
        <v>1.2</v>
      </c>
      <c r="DK90">
        <v>2</v>
      </c>
      <c r="DL90">
        <v>342.6</v>
      </c>
      <c r="DM90">
        <v>0</v>
      </c>
      <c r="DN90">
        <v>6</v>
      </c>
      <c r="DO90">
        <v>10</v>
      </c>
      <c r="DP90">
        <v>0</v>
      </c>
      <c r="DQ90">
        <v>255</v>
      </c>
      <c r="DR90">
        <v>255</v>
      </c>
      <c r="DS90">
        <v>255</v>
      </c>
      <c r="DT90">
        <v>255</v>
      </c>
      <c r="DU90">
        <v>255</v>
      </c>
      <c r="DV90">
        <v>255</v>
      </c>
      <c r="DW90">
        <v>255</v>
      </c>
      <c r="DX90" t="s">
        <v>206</v>
      </c>
      <c r="DY90" t="s">
        <v>206</v>
      </c>
      <c r="DZ90" t="s">
        <v>207</v>
      </c>
      <c r="EA90" t="s">
        <v>198</v>
      </c>
      <c r="EB90" t="s">
        <v>198</v>
      </c>
      <c r="EC90" t="s">
        <v>198</v>
      </c>
      <c r="ED90">
        <v>0</v>
      </c>
      <c r="EE90">
        <v>0</v>
      </c>
      <c r="EF90">
        <v>0</v>
      </c>
      <c r="EG90">
        <v>0</v>
      </c>
      <c r="EH90">
        <v>255</v>
      </c>
      <c r="EI90">
        <v>255</v>
      </c>
      <c r="EJ90">
        <v>255</v>
      </c>
      <c r="EK90">
        <v>255</v>
      </c>
      <c r="EL90">
        <v>255</v>
      </c>
      <c r="EM90">
        <v>255</v>
      </c>
      <c r="EN90">
        <v>255</v>
      </c>
      <c r="EO90">
        <v>255</v>
      </c>
      <c r="EP90">
        <v>255</v>
      </c>
      <c r="EQ90">
        <v>255</v>
      </c>
      <c r="ER90" t="s">
        <v>208</v>
      </c>
      <c r="ES90" t="s">
        <v>209</v>
      </c>
      <c r="ET90" t="s">
        <v>209</v>
      </c>
      <c r="EU90">
        <v>0</v>
      </c>
      <c r="EV90">
        <v>16.2</v>
      </c>
      <c r="EW90">
        <v>-114.7</v>
      </c>
      <c r="EX90">
        <v>-34.7</v>
      </c>
      <c r="EY90">
        <v>0</v>
      </c>
      <c r="EZ90">
        <v>0</v>
      </c>
      <c r="FA90">
        <v>1.5</v>
      </c>
      <c r="FB90" t="s">
        <v>198</v>
      </c>
      <c r="FC90" t="s">
        <v>198</v>
      </c>
      <c r="FD90" t="s">
        <v>198</v>
      </c>
      <c r="FE90" t="s">
        <v>198</v>
      </c>
      <c r="FF90" t="s">
        <v>198</v>
      </c>
      <c r="FG90" t="s">
        <v>198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 t="s">
        <v>203</v>
      </c>
      <c r="FP90" t="s">
        <v>203</v>
      </c>
      <c r="FQ90" t="s">
        <v>203</v>
      </c>
      <c r="FR90" t="s">
        <v>203</v>
      </c>
      <c r="FS90" t="s">
        <v>203</v>
      </c>
      <c r="FT90" t="s">
        <v>203</v>
      </c>
      <c r="FU90" t="s">
        <v>198</v>
      </c>
      <c r="FV90" t="s">
        <v>198</v>
      </c>
      <c r="FW90" t="s">
        <v>198</v>
      </c>
      <c r="FX90" t="s">
        <v>198</v>
      </c>
      <c r="FY90" t="s">
        <v>198</v>
      </c>
      <c r="FZ90" t="s">
        <v>198</v>
      </c>
      <c r="GA90">
        <v>30.97</v>
      </c>
      <c r="GB90">
        <v>30.97</v>
      </c>
      <c r="GC90" t="s">
        <v>203</v>
      </c>
      <c r="GD90">
        <v>0</v>
      </c>
      <c r="GE90">
        <v>504</v>
      </c>
      <c r="GF90">
        <v>0</v>
      </c>
      <c r="GG90">
        <v>0.1</v>
      </c>
      <c r="GH90">
        <v>0.8</v>
      </c>
      <c r="GI90">
        <v>0</v>
      </c>
      <c r="GJ90">
        <v>0</v>
      </c>
      <c r="GK90">
        <v>0</v>
      </c>
      <c r="GL90" t="s">
        <v>198</v>
      </c>
      <c r="GM90" t="s">
        <v>198</v>
      </c>
      <c r="GN90" t="s">
        <v>198</v>
      </c>
    </row>
    <row r="91" spans="1:196">
      <c r="A91" s="19">
        <v>46316.90493452546</v>
      </c>
      <c r="B91">
        <v>0.4</v>
      </c>
      <c r="C91">
        <v>0</v>
      </c>
      <c r="D91">
        <v>278</v>
      </c>
      <c r="E91">
        <v>0</v>
      </c>
      <c r="F91">
        <v>0</v>
      </c>
      <c r="G91">
        <v>0</v>
      </c>
      <c r="H91">
        <v>0</v>
      </c>
      <c r="I91">
        <v>0</v>
      </c>
      <c r="J91">
        <v>0.001</v>
      </c>
      <c r="K91">
        <v>-1.5</v>
      </c>
      <c r="L91">
        <v>33</v>
      </c>
      <c r="M91">
        <v>617.2</v>
      </c>
      <c r="N91">
        <v>32.2</v>
      </c>
      <c r="O91">
        <v>32.99</v>
      </c>
      <c r="P91">
        <v>32.991</v>
      </c>
      <c r="Q91">
        <v>0</v>
      </c>
      <c r="R91">
        <v>0</v>
      </c>
      <c r="S91">
        <v>115.6</v>
      </c>
      <c r="T91" t="s">
        <v>387</v>
      </c>
      <c r="U91">
        <v>115.7</v>
      </c>
      <c r="V91">
        <v>208356.6</v>
      </c>
      <c r="W91">
        <v>3</v>
      </c>
      <c r="X91" t="s">
        <v>197</v>
      </c>
      <c r="Y91">
        <v>0</v>
      </c>
      <c r="Z91">
        <v>98</v>
      </c>
      <c r="AA91">
        <v>278</v>
      </c>
      <c r="AB91" t="s">
        <v>197</v>
      </c>
      <c r="AC91" t="s">
        <v>198</v>
      </c>
      <c r="AD91" t="s">
        <v>199</v>
      </c>
      <c r="AE91">
        <v>32</v>
      </c>
      <c r="AF91">
        <v>44</v>
      </c>
      <c r="AG91">
        <v>255</v>
      </c>
      <c r="AH91">
        <v>0</v>
      </c>
      <c r="AI91">
        <v>0</v>
      </c>
      <c r="AJ91">
        <v>0</v>
      </c>
      <c r="AK91">
        <v>12.6</v>
      </c>
      <c r="AL91">
        <v>0</v>
      </c>
      <c r="AM91">
        <v>0</v>
      </c>
      <c r="AN91" t="s">
        <v>197</v>
      </c>
      <c r="AO91">
        <v>100</v>
      </c>
      <c r="AP91" t="s">
        <v>197</v>
      </c>
      <c r="AQ91" t="s">
        <v>200</v>
      </c>
      <c r="AR91">
        <v>1</v>
      </c>
      <c r="AS91">
        <v>0</v>
      </c>
      <c r="AT91" t="s">
        <v>388</v>
      </c>
      <c r="AU91" t="s">
        <v>388</v>
      </c>
      <c r="AV91" t="s">
        <v>202</v>
      </c>
      <c r="AW91" t="s">
        <v>203</v>
      </c>
      <c r="AX91" t="s">
        <v>203</v>
      </c>
      <c r="AY91" t="s">
        <v>203</v>
      </c>
      <c r="AZ91" t="s">
        <v>203</v>
      </c>
      <c r="BA91" t="s">
        <v>203</v>
      </c>
      <c r="BB91" t="s">
        <v>203</v>
      </c>
      <c r="BC91" t="s">
        <v>203</v>
      </c>
      <c r="BD91" t="s">
        <v>203</v>
      </c>
      <c r="BE91" t="s">
        <v>203</v>
      </c>
      <c r="BF91">
        <v>30.43</v>
      </c>
      <c r="BG91">
        <v>0.2</v>
      </c>
      <c r="BH91">
        <v>50</v>
      </c>
      <c r="BI91">
        <v>0</v>
      </c>
      <c r="BJ91" t="s">
        <v>198</v>
      </c>
      <c r="BK91" t="s">
        <v>198</v>
      </c>
      <c r="BL91" t="s">
        <v>198</v>
      </c>
      <c r="BM91" t="s">
        <v>198</v>
      </c>
      <c r="BN91" t="s">
        <v>198</v>
      </c>
      <c r="BO91" t="s">
        <v>198</v>
      </c>
      <c r="BP91" t="s">
        <v>198</v>
      </c>
      <c r="BQ91" t="s">
        <v>198</v>
      </c>
      <c r="BR91" t="s">
        <v>198</v>
      </c>
      <c r="BS91" t="s">
        <v>198</v>
      </c>
      <c r="BT91" t="s">
        <v>198</v>
      </c>
      <c r="BU91" t="s">
        <v>198</v>
      </c>
      <c r="BV91" t="s">
        <v>198</v>
      </c>
      <c r="BW91" t="s">
        <v>198</v>
      </c>
      <c r="BX91" t="s">
        <v>198</v>
      </c>
      <c r="BY91" t="s">
        <v>198</v>
      </c>
      <c r="BZ91" t="s">
        <v>198</v>
      </c>
      <c r="CA91" t="s">
        <v>198</v>
      </c>
      <c r="CB91" t="s">
        <v>204</v>
      </c>
      <c r="CC91" t="s">
        <v>204</v>
      </c>
      <c r="CD91" t="s">
        <v>204</v>
      </c>
      <c r="CE91" t="s">
        <v>204</v>
      </c>
      <c r="CF91" t="s">
        <v>204</v>
      </c>
      <c r="CG91" t="s">
        <v>204</v>
      </c>
      <c r="CH91" t="s">
        <v>204</v>
      </c>
      <c r="CI91" t="s">
        <v>204</v>
      </c>
      <c r="CJ91" t="s">
        <v>204</v>
      </c>
      <c r="CK91" t="s">
        <v>204</v>
      </c>
      <c r="CL91" t="s">
        <v>204</v>
      </c>
      <c r="CM91" t="s">
        <v>204</v>
      </c>
      <c r="CN91" t="s">
        <v>203</v>
      </c>
      <c r="CO91" t="s">
        <v>203</v>
      </c>
      <c r="CP91" t="s">
        <v>203</v>
      </c>
      <c r="CQ91" t="s">
        <v>203</v>
      </c>
      <c r="CR91" t="s">
        <v>203</v>
      </c>
      <c r="CS91" t="s">
        <v>203</v>
      </c>
      <c r="CT91" t="s">
        <v>203</v>
      </c>
      <c r="CU91" t="s">
        <v>203</v>
      </c>
      <c r="CV91">
        <v>0</v>
      </c>
      <c r="CW91">
        <v>0</v>
      </c>
      <c r="CX91" t="s">
        <v>198</v>
      </c>
      <c r="CY91" t="s">
        <v>198</v>
      </c>
      <c r="CZ91" t="s">
        <v>198</v>
      </c>
      <c r="DA91" t="s">
        <v>198</v>
      </c>
      <c r="DB91" t="s">
        <v>198</v>
      </c>
      <c r="DC91">
        <v>0</v>
      </c>
      <c r="DD91">
        <v>0</v>
      </c>
      <c r="DE91">
        <v>0</v>
      </c>
      <c r="DF91">
        <v>0</v>
      </c>
      <c r="DG91">
        <v>-35.3631166</v>
      </c>
      <c r="DH91">
        <v>149.1639735</v>
      </c>
      <c r="DI91" t="s">
        <v>360</v>
      </c>
      <c r="DJ91">
        <v>1.2</v>
      </c>
      <c r="DK91">
        <v>2</v>
      </c>
      <c r="DL91">
        <v>350.1</v>
      </c>
      <c r="DM91">
        <v>0</v>
      </c>
      <c r="DN91">
        <v>6</v>
      </c>
      <c r="DO91">
        <v>10</v>
      </c>
      <c r="DP91">
        <v>0</v>
      </c>
      <c r="DQ91">
        <v>255</v>
      </c>
      <c r="DR91">
        <v>255</v>
      </c>
      <c r="DS91">
        <v>255</v>
      </c>
      <c r="DT91">
        <v>255</v>
      </c>
      <c r="DU91">
        <v>255</v>
      </c>
      <c r="DV91">
        <v>255</v>
      </c>
      <c r="DW91">
        <v>255</v>
      </c>
      <c r="DX91" t="s">
        <v>206</v>
      </c>
      <c r="DY91" t="s">
        <v>206</v>
      </c>
      <c r="DZ91" t="s">
        <v>207</v>
      </c>
      <c r="EA91" t="s">
        <v>198</v>
      </c>
      <c r="EB91" t="s">
        <v>198</v>
      </c>
      <c r="EC91" t="s">
        <v>198</v>
      </c>
      <c r="ED91">
        <v>0</v>
      </c>
      <c r="EE91">
        <v>0</v>
      </c>
      <c r="EF91">
        <v>0</v>
      </c>
      <c r="EG91">
        <v>0</v>
      </c>
      <c r="EH91">
        <v>255</v>
      </c>
      <c r="EI91">
        <v>255</v>
      </c>
      <c r="EJ91">
        <v>255</v>
      </c>
      <c r="EK91">
        <v>255</v>
      </c>
      <c r="EL91">
        <v>255</v>
      </c>
      <c r="EM91">
        <v>255</v>
      </c>
      <c r="EN91">
        <v>255</v>
      </c>
      <c r="EO91">
        <v>255</v>
      </c>
      <c r="EP91">
        <v>255</v>
      </c>
      <c r="EQ91">
        <v>255</v>
      </c>
      <c r="ER91" t="s">
        <v>208</v>
      </c>
      <c r="ES91" t="s">
        <v>209</v>
      </c>
      <c r="ET91" t="s">
        <v>209</v>
      </c>
      <c r="EU91">
        <v>0</v>
      </c>
      <c r="EV91">
        <v>16.2</v>
      </c>
      <c r="EW91">
        <v>-114.7</v>
      </c>
      <c r="EX91">
        <v>-33.2</v>
      </c>
      <c r="EY91">
        <v>0</v>
      </c>
      <c r="EZ91">
        <v>0</v>
      </c>
      <c r="FA91">
        <v>1.5</v>
      </c>
      <c r="FB91" t="s">
        <v>198</v>
      </c>
      <c r="FC91" t="s">
        <v>198</v>
      </c>
      <c r="FD91" t="s">
        <v>198</v>
      </c>
      <c r="FE91" t="s">
        <v>198</v>
      </c>
      <c r="FF91" t="s">
        <v>198</v>
      </c>
      <c r="FG91" t="s">
        <v>198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 t="s">
        <v>203</v>
      </c>
      <c r="FP91" t="s">
        <v>203</v>
      </c>
      <c r="FQ91" t="s">
        <v>203</v>
      </c>
      <c r="FR91" t="s">
        <v>203</v>
      </c>
      <c r="FS91" t="s">
        <v>203</v>
      </c>
      <c r="FT91" t="s">
        <v>203</v>
      </c>
      <c r="FU91" t="s">
        <v>198</v>
      </c>
      <c r="FV91" t="s">
        <v>198</v>
      </c>
      <c r="FW91" t="s">
        <v>198</v>
      </c>
      <c r="FX91" t="s">
        <v>198</v>
      </c>
      <c r="FY91" t="s">
        <v>198</v>
      </c>
      <c r="FZ91" t="s">
        <v>198</v>
      </c>
      <c r="GA91">
        <v>30.98</v>
      </c>
      <c r="GB91">
        <v>30.98</v>
      </c>
      <c r="GC91" t="s">
        <v>203</v>
      </c>
      <c r="GD91">
        <v>0</v>
      </c>
      <c r="GE91">
        <v>504</v>
      </c>
      <c r="GF91">
        <v>0</v>
      </c>
      <c r="GG91">
        <v>0.1</v>
      </c>
      <c r="GH91">
        <v>0.7</v>
      </c>
      <c r="GI91">
        <v>0</v>
      </c>
      <c r="GJ91">
        <v>0</v>
      </c>
      <c r="GK91">
        <v>0</v>
      </c>
      <c r="GL91" t="s">
        <v>198</v>
      </c>
      <c r="GM91" t="s">
        <v>198</v>
      </c>
      <c r="GN91" t="s">
        <v>198</v>
      </c>
    </row>
    <row r="92" spans="1:196">
      <c r="A92" s="19">
        <v>46316.90494609954</v>
      </c>
      <c r="B92">
        <v>-0.4</v>
      </c>
      <c r="C92">
        <v>0</v>
      </c>
      <c r="D92">
        <v>278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-1.5</v>
      </c>
      <c r="L92">
        <v>31.5</v>
      </c>
      <c r="M92">
        <v>615.7</v>
      </c>
      <c r="N92">
        <v>31.4</v>
      </c>
      <c r="O92">
        <v>31.49</v>
      </c>
      <c r="P92">
        <v>31.491</v>
      </c>
      <c r="Q92">
        <v>0</v>
      </c>
      <c r="R92">
        <v>0</v>
      </c>
      <c r="S92">
        <v>115.6</v>
      </c>
      <c r="T92" t="s">
        <v>389</v>
      </c>
      <c r="U92">
        <v>115.7</v>
      </c>
      <c r="V92">
        <v>81158.8</v>
      </c>
      <c r="W92">
        <v>3</v>
      </c>
      <c r="X92" t="s">
        <v>197</v>
      </c>
      <c r="Y92">
        <v>0</v>
      </c>
      <c r="Z92">
        <v>98</v>
      </c>
      <c r="AA92">
        <v>278</v>
      </c>
      <c r="AB92" t="s">
        <v>197</v>
      </c>
      <c r="AC92" t="s">
        <v>198</v>
      </c>
      <c r="AD92" t="s">
        <v>199</v>
      </c>
      <c r="AE92">
        <v>31</v>
      </c>
      <c r="AF92">
        <v>44</v>
      </c>
      <c r="AG92">
        <v>255</v>
      </c>
      <c r="AH92">
        <v>0</v>
      </c>
      <c r="AI92">
        <v>0</v>
      </c>
      <c r="AJ92">
        <v>0</v>
      </c>
      <c r="AK92">
        <v>12.6</v>
      </c>
      <c r="AL92">
        <v>0</v>
      </c>
      <c r="AM92">
        <v>0</v>
      </c>
      <c r="AN92" t="s">
        <v>197</v>
      </c>
      <c r="AO92">
        <v>100</v>
      </c>
      <c r="AP92" t="s">
        <v>197</v>
      </c>
      <c r="AQ92" t="s">
        <v>200</v>
      </c>
      <c r="AR92">
        <v>1</v>
      </c>
      <c r="AS92">
        <v>0</v>
      </c>
      <c r="AT92" t="s">
        <v>390</v>
      </c>
      <c r="AU92" t="s">
        <v>390</v>
      </c>
      <c r="AV92" t="s">
        <v>202</v>
      </c>
      <c r="AW92" t="s">
        <v>203</v>
      </c>
      <c r="AX92" t="s">
        <v>203</v>
      </c>
      <c r="AY92" t="s">
        <v>203</v>
      </c>
      <c r="AZ92" t="s">
        <v>203</v>
      </c>
      <c r="BA92" t="s">
        <v>203</v>
      </c>
      <c r="BB92" t="s">
        <v>203</v>
      </c>
      <c r="BC92" t="s">
        <v>203</v>
      </c>
      <c r="BD92" t="s">
        <v>203</v>
      </c>
      <c r="BE92" t="s">
        <v>203</v>
      </c>
      <c r="BF92">
        <v>28.93</v>
      </c>
      <c r="BG92">
        <v>0.2</v>
      </c>
      <c r="BH92">
        <v>50</v>
      </c>
      <c r="BI92">
        <v>0</v>
      </c>
      <c r="BJ92" t="s">
        <v>198</v>
      </c>
      <c r="BK92" t="s">
        <v>198</v>
      </c>
      <c r="BL92" t="s">
        <v>198</v>
      </c>
      <c r="BM92" t="s">
        <v>198</v>
      </c>
      <c r="BN92" t="s">
        <v>198</v>
      </c>
      <c r="BO92" t="s">
        <v>198</v>
      </c>
      <c r="BP92" t="s">
        <v>198</v>
      </c>
      <c r="BQ92" t="s">
        <v>198</v>
      </c>
      <c r="BR92" t="s">
        <v>198</v>
      </c>
      <c r="BS92" t="s">
        <v>198</v>
      </c>
      <c r="BT92" t="s">
        <v>198</v>
      </c>
      <c r="BU92" t="s">
        <v>198</v>
      </c>
      <c r="BV92" t="s">
        <v>198</v>
      </c>
      <c r="BW92" t="s">
        <v>198</v>
      </c>
      <c r="BX92" t="s">
        <v>198</v>
      </c>
      <c r="BY92" t="s">
        <v>198</v>
      </c>
      <c r="BZ92" t="s">
        <v>198</v>
      </c>
      <c r="CA92" t="s">
        <v>198</v>
      </c>
      <c r="CB92" t="s">
        <v>204</v>
      </c>
      <c r="CC92" t="s">
        <v>204</v>
      </c>
      <c r="CD92" t="s">
        <v>204</v>
      </c>
      <c r="CE92" t="s">
        <v>204</v>
      </c>
      <c r="CF92" t="s">
        <v>204</v>
      </c>
      <c r="CG92" t="s">
        <v>204</v>
      </c>
      <c r="CH92" t="s">
        <v>204</v>
      </c>
      <c r="CI92" t="s">
        <v>204</v>
      </c>
      <c r="CJ92" t="s">
        <v>204</v>
      </c>
      <c r="CK92" t="s">
        <v>204</v>
      </c>
      <c r="CL92" t="s">
        <v>204</v>
      </c>
      <c r="CM92" t="s">
        <v>204</v>
      </c>
      <c r="CN92" t="s">
        <v>203</v>
      </c>
      <c r="CO92" t="s">
        <v>203</v>
      </c>
      <c r="CP92" t="s">
        <v>203</v>
      </c>
      <c r="CQ92" t="s">
        <v>203</v>
      </c>
      <c r="CR92" t="s">
        <v>203</v>
      </c>
      <c r="CS92" t="s">
        <v>203</v>
      </c>
      <c r="CT92" t="s">
        <v>203</v>
      </c>
      <c r="CU92" t="s">
        <v>203</v>
      </c>
      <c r="CV92">
        <v>0</v>
      </c>
      <c r="CW92">
        <v>0</v>
      </c>
      <c r="CX92" t="s">
        <v>198</v>
      </c>
      <c r="CY92" t="s">
        <v>198</v>
      </c>
      <c r="CZ92" t="s">
        <v>198</v>
      </c>
      <c r="DA92" t="s">
        <v>198</v>
      </c>
      <c r="DB92" t="s">
        <v>198</v>
      </c>
      <c r="DC92">
        <v>0</v>
      </c>
      <c r="DD92">
        <v>0</v>
      </c>
      <c r="DE92">
        <v>0</v>
      </c>
      <c r="DF92">
        <v>0</v>
      </c>
      <c r="DG92">
        <v>-35.3631166</v>
      </c>
      <c r="DH92">
        <v>149.1639735</v>
      </c>
      <c r="DI92" t="s">
        <v>360</v>
      </c>
      <c r="DJ92">
        <v>1.2</v>
      </c>
      <c r="DK92">
        <v>2</v>
      </c>
      <c r="DL92">
        <v>188</v>
      </c>
      <c r="DM92">
        <v>0</v>
      </c>
      <c r="DN92">
        <v>6</v>
      </c>
      <c r="DO92">
        <v>10</v>
      </c>
      <c r="DP92">
        <v>0</v>
      </c>
      <c r="DQ92">
        <v>255</v>
      </c>
      <c r="DR92">
        <v>255</v>
      </c>
      <c r="DS92">
        <v>255</v>
      </c>
      <c r="DT92">
        <v>255</v>
      </c>
      <c r="DU92">
        <v>255</v>
      </c>
      <c r="DV92">
        <v>255</v>
      </c>
      <c r="DW92">
        <v>255</v>
      </c>
      <c r="DX92" t="s">
        <v>206</v>
      </c>
      <c r="DY92" t="s">
        <v>206</v>
      </c>
      <c r="DZ92" t="s">
        <v>207</v>
      </c>
      <c r="EA92" t="s">
        <v>198</v>
      </c>
      <c r="EB92" t="s">
        <v>198</v>
      </c>
      <c r="EC92" t="s">
        <v>198</v>
      </c>
      <c r="ED92">
        <v>0</v>
      </c>
      <c r="EE92">
        <v>0</v>
      </c>
      <c r="EF92">
        <v>0</v>
      </c>
      <c r="EG92">
        <v>0</v>
      </c>
      <c r="EH92">
        <v>255</v>
      </c>
      <c r="EI92">
        <v>255</v>
      </c>
      <c r="EJ92">
        <v>255</v>
      </c>
      <c r="EK92">
        <v>255</v>
      </c>
      <c r="EL92">
        <v>255</v>
      </c>
      <c r="EM92">
        <v>255</v>
      </c>
      <c r="EN92">
        <v>255</v>
      </c>
      <c r="EO92">
        <v>255</v>
      </c>
      <c r="EP92">
        <v>255</v>
      </c>
      <c r="EQ92">
        <v>255</v>
      </c>
      <c r="ER92" t="s">
        <v>208</v>
      </c>
      <c r="ES92" t="s">
        <v>209</v>
      </c>
      <c r="ET92" t="s">
        <v>209</v>
      </c>
      <c r="EU92">
        <v>0</v>
      </c>
      <c r="EV92">
        <v>16.2</v>
      </c>
      <c r="EW92">
        <v>-114.7</v>
      </c>
      <c r="EX92">
        <v>-31.7</v>
      </c>
      <c r="EY92">
        <v>0</v>
      </c>
      <c r="EZ92">
        <v>0</v>
      </c>
      <c r="FA92">
        <v>1.5</v>
      </c>
      <c r="FB92" t="s">
        <v>198</v>
      </c>
      <c r="FC92" t="s">
        <v>198</v>
      </c>
      <c r="FD92" t="s">
        <v>198</v>
      </c>
      <c r="FE92" t="s">
        <v>198</v>
      </c>
      <c r="FF92" t="s">
        <v>198</v>
      </c>
      <c r="FG92" t="s">
        <v>198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 t="s">
        <v>203</v>
      </c>
      <c r="FP92" t="s">
        <v>203</v>
      </c>
      <c r="FQ92" t="s">
        <v>203</v>
      </c>
      <c r="FR92" t="s">
        <v>203</v>
      </c>
      <c r="FS92" t="s">
        <v>203</v>
      </c>
      <c r="FT92" t="s">
        <v>203</v>
      </c>
      <c r="FU92" t="s">
        <v>198</v>
      </c>
      <c r="FV92" t="s">
        <v>198</v>
      </c>
      <c r="FW92" t="s">
        <v>198</v>
      </c>
      <c r="FX92" t="s">
        <v>198</v>
      </c>
      <c r="FY92" t="s">
        <v>198</v>
      </c>
      <c r="FZ92" t="s">
        <v>198</v>
      </c>
      <c r="GA92">
        <v>30.99</v>
      </c>
      <c r="GB92">
        <v>30.99</v>
      </c>
      <c r="GC92" t="s">
        <v>203</v>
      </c>
      <c r="GD92">
        <v>0</v>
      </c>
      <c r="GE92">
        <v>504</v>
      </c>
      <c r="GF92">
        <v>0</v>
      </c>
      <c r="GG92">
        <v>0.1</v>
      </c>
      <c r="GH92">
        <v>0.7</v>
      </c>
      <c r="GI92">
        <v>0</v>
      </c>
      <c r="GJ92">
        <v>0</v>
      </c>
      <c r="GK92">
        <v>0</v>
      </c>
      <c r="GL92" t="s">
        <v>198</v>
      </c>
      <c r="GM92" t="s">
        <v>198</v>
      </c>
      <c r="GN92" t="s">
        <v>198</v>
      </c>
    </row>
    <row r="93" spans="1:196">
      <c r="A93" s="19">
        <v>46316.90495767361</v>
      </c>
      <c r="B93">
        <v>-0.5</v>
      </c>
      <c r="C93">
        <v>0</v>
      </c>
      <c r="D93">
        <v>278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-1.5</v>
      </c>
      <c r="L93">
        <v>30</v>
      </c>
      <c r="M93">
        <v>614.2</v>
      </c>
      <c r="N93">
        <v>29.2</v>
      </c>
      <c r="O93">
        <v>29.99</v>
      </c>
      <c r="P93">
        <v>29.991</v>
      </c>
      <c r="Q93">
        <v>0</v>
      </c>
      <c r="R93">
        <v>0</v>
      </c>
      <c r="S93">
        <v>115.6</v>
      </c>
      <c r="T93" t="s">
        <v>391</v>
      </c>
      <c r="U93">
        <v>115.7</v>
      </c>
      <c r="V93">
        <v>176243.7</v>
      </c>
      <c r="W93">
        <v>3</v>
      </c>
      <c r="X93" t="s">
        <v>197</v>
      </c>
      <c r="Y93">
        <v>0</v>
      </c>
      <c r="Z93">
        <v>98</v>
      </c>
      <c r="AA93">
        <v>278</v>
      </c>
      <c r="AB93" t="s">
        <v>197</v>
      </c>
      <c r="AC93" t="s">
        <v>198</v>
      </c>
      <c r="AD93" t="s">
        <v>199</v>
      </c>
      <c r="AE93">
        <v>32</v>
      </c>
      <c r="AF93">
        <v>44</v>
      </c>
      <c r="AG93">
        <v>255</v>
      </c>
      <c r="AH93">
        <v>0</v>
      </c>
      <c r="AI93">
        <v>0</v>
      </c>
      <c r="AJ93">
        <v>0</v>
      </c>
      <c r="AK93">
        <v>12.6</v>
      </c>
      <c r="AL93">
        <v>0</v>
      </c>
      <c r="AM93">
        <v>0</v>
      </c>
      <c r="AN93" t="s">
        <v>197</v>
      </c>
      <c r="AO93">
        <v>100</v>
      </c>
      <c r="AP93" t="s">
        <v>197</v>
      </c>
      <c r="AQ93" t="s">
        <v>200</v>
      </c>
      <c r="AR93">
        <v>1</v>
      </c>
      <c r="AS93">
        <v>0</v>
      </c>
      <c r="AT93" t="s">
        <v>392</v>
      </c>
      <c r="AU93" t="s">
        <v>392</v>
      </c>
      <c r="AV93" t="s">
        <v>202</v>
      </c>
      <c r="AW93" t="s">
        <v>203</v>
      </c>
      <c r="AX93" t="s">
        <v>203</v>
      </c>
      <c r="AY93" t="s">
        <v>203</v>
      </c>
      <c r="AZ93" t="s">
        <v>203</v>
      </c>
      <c r="BA93" t="s">
        <v>203</v>
      </c>
      <c r="BB93" t="s">
        <v>203</v>
      </c>
      <c r="BC93" t="s">
        <v>203</v>
      </c>
      <c r="BD93" t="s">
        <v>203</v>
      </c>
      <c r="BE93" t="s">
        <v>203</v>
      </c>
      <c r="BF93">
        <v>27.43</v>
      </c>
      <c r="BG93">
        <v>0.2</v>
      </c>
      <c r="BH93">
        <v>50</v>
      </c>
      <c r="BI93">
        <v>0</v>
      </c>
      <c r="BJ93" t="s">
        <v>198</v>
      </c>
      <c r="BK93" t="s">
        <v>198</v>
      </c>
      <c r="BL93" t="s">
        <v>198</v>
      </c>
      <c r="BM93" t="s">
        <v>198</v>
      </c>
      <c r="BN93" t="s">
        <v>198</v>
      </c>
      <c r="BO93" t="s">
        <v>198</v>
      </c>
      <c r="BP93" t="s">
        <v>198</v>
      </c>
      <c r="BQ93" t="s">
        <v>198</v>
      </c>
      <c r="BR93" t="s">
        <v>198</v>
      </c>
      <c r="BS93" t="s">
        <v>198</v>
      </c>
      <c r="BT93" t="s">
        <v>198</v>
      </c>
      <c r="BU93" t="s">
        <v>198</v>
      </c>
      <c r="BV93" t="s">
        <v>198</v>
      </c>
      <c r="BW93" t="s">
        <v>198</v>
      </c>
      <c r="BX93" t="s">
        <v>198</v>
      </c>
      <c r="BY93" t="s">
        <v>198</v>
      </c>
      <c r="BZ93" t="s">
        <v>198</v>
      </c>
      <c r="CA93" t="s">
        <v>198</v>
      </c>
      <c r="CB93" t="s">
        <v>204</v>
      </c>
      <c r="CC93" t="s">
        <v>204</v>
      </c>
      <c r="CD93" t="s">
        <v>204</v>
      </c>
      <c r="CE93" t="s">
        <v>204</v>
      </c>
      <c r="CF93" t="s">
        <v>204</v>
      </c>
      <c r="CG93" t="s">
        <v>204</v>
      </c>
      <c r="CH93" t="s">
        <v>204</v>
      </c>
      <c r="CI93" t="s">
        <v>204</v>
      </c>
      <c r="CJ93" t="s">
        <v>204</v>
      </c>
      <c r="CK93" t="s">
        <v>204</v>
      </c>
      <c r="CL93" t="s">
        <v>204</v>
      </c>
      <c r="CM93" t="s">
        <v>204</v>
      </c>
      <c r="CN93" t="s">
        <v>203</v>
      </c>
      <c r="CO93" t="s">
        <v>203</v>
      </c>
      <c r="CP93" t="s">
        <v>203</v>
      </c>
      <c r="CQ93" t="s">
        <v>203</v>
      </c>
      <c r="CR93" t="s">
        <v>203</v>
      </c>
      <c r="CS93" t="s">
        <v>203</v>
      </c>
      <c r="CT93" t="s">
        <v>203</v>
      </c>
      <c r="CU93" t="s">
        <v>203</v>
      </c>
      <c r="CV93">
        <v>0</v>
      </c>
      <c r="CW93">
        <v>0</v>
      </c>
      <c r="CX93" t="s">
        <v>198</v>
      </c>
      <c r="CY93" t="s">
        <v>198</v>
      </c>
      <c r="CZ93" t="s">
        <v>198</v>
      </c>
      <c r="DA93" t="s">
        <v>198</v>
      </c>
      <c r="DB93" t="s">
        <v>198</v>
      </c>
      <c r="DC93">
        <v>0</v>
      </c>
      <c r="DD93">
        <v>0</v>
      </c>
      <c r="DE93">
        <v>0</v>
      </c>
      <c r="DF93">
        <v>0</v>
      </c>
      <c r="DG93">
        <v>-35.3631166</v>
      </c>
      <c r="DH93">
        <v>149.1639735</v>
      </c>
      <c r="DI93" t="s">
        <v>360</v>
      </c>
      <c r="DJ93">
        <v>1.2</v>
      </c>
      <c r="DK93">
        <v>2</v>
      </c>
      <c r="DL93">
        <v>180.8</v>
      </c>
      <c r="DM93">
        <v>0</v>
      </c>
      <c r="DN93">
        <v>6</v>
      </c>
      <c r="DO93">
        <v>10</v>
      </c>
      <c r="DP93">
        <v>0</v>
      </c>
      <c r="DQ93">
        <v>255</v>
      </c>
      <c r="DR93">
        <v>255</v>
      </c>
      <c r="DS93">
        <v>255</v>
      </c>
      <c r="DT93">
        <v>255</v>
      </c>
      <c r="DU93">
        <v>255</v>
      </c>
      <c r="DV93">
        <v>255</v>
      </c>
      <c r="DW93">
        <v>255</v>
      </c>
      <c r="DX93" t="s">
        <v>206</v>
      </c>
      <c r="DY93" t="s">
        <v>206</v>
      </c>
      <c r="DZ93" t="s">
        <v>207</v>
      </c>
      <c r="EA93" t="s">
        <v>198</v>
      </c>
      <c r="EB93" t="s">
        <v>198</v>
      </c>
      <c r="EC93" t="s">
        <v>198</v>
      </c>
      <c r="ED93">
        <v>0</v>
      </c>
      <c r="EE93">
        <v>0</v>
      </c>
      <c r="EF93">
        <v>0</v>
      </c>
      <c r="EG93">
        <v>0</v>
      </c>
      <c r="EH93">
        <v>255</v>
      </c>
      <c r="EI93">
        <v>255</v>
      </c>
      <c r="EJ93">
        <v>255</v>
      </c>
      <c r="EK93">
        <v>255</v>
      </c>
      <c r="EL93">
        <v>255</v>
      </c>
      <c r="EM93">
        <v>255</v>
      </c>
      <c r="EN93">
        <v>255</v>
      </c>
      <c r="EO93">
        <v>255</v>
      </c>
      <c r="EP93">
        <v>255</v>
      </c>
      <c r="EQ93">
        <v>255</v>
      </c>
      <c r="ER93" t="s">
        <v>208</v>
      </c>
      <c r="ES93" t="s">
        <v>209</v>
      </c>
      <c r="ET93" t="s">
        <v>209</v>
      </c>
      <c r="EU93">
        <v>0</v>
      </c>
      <c r="EV93">
        <v>16.2</v>
      </c>
      <c r="EW93">
        <v>-114.7</v>
      </c>
      <c r="EX93">
        <v>-30.2</v>
      </c>
      <c r="EY93">
        <v>0</v>
      </c>
      <c r="EZ93">
        <v>0</v>
      </c>
      <c r="FA93">
        <v>1.5</v>
      </c>
      <c r="FB93" t="s">
        <v>198</v>
      </c>
      <c r="FC93" t="s">
        <v>198</v>
      </c>
      <c r="FD93" t="s">
        <v>198</v>
      </c>
      <c r="FE93" t="s">
        <v>198</v>
      </c>
      <c r="FF93" t="s">
        <v>198</v>
      </c>
      <c r="FG93" t="s">
        <v>198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 t="s">
        <v>203</v>
      </c>
      <c r="FP93" t="s">
        <v>203</v>
      </c>
      <c r="FQ93" t="s">
        <v>203</v>
      </c>
      <c r="FR93" t="s">
        <v>203</v>
      </c>
      <c r="FS93" t="s">
        <v>203</v>
      </c>
      <c r="FT93" t="s">
        <v>203</v>
      </c>
      <c r="FU93" t="s">
        <v>198</v>
      </c>
      <c r="FV93" t="s">
        <v>198</v>
      </c>
      <c r="FW93" t="s">
        <v>198</v>
      </c>
      <c r="FX93" t="s">
        <v>198</v>
      </c>
      <c r="FY93" t="s">
        <v>198</v>
      </c>
      <c r="FZ93" t="s">
        <v>198</v>
      </c>
      <c r="GA93">
        <v>31</v>
      </c>
      <c r="GB93">
        <v>31</v>
      </c>
      <c r="GC93" t="s">
        <v>203</v>
      </c>
      <c r="GD93">
        <v>0</v>
      </c>
      <c r="GE93">
        <v>504</v>
      </c>
      <c r="GF93">
        <v>0</v>
      </c>
      <c r="GG93">
        <v>0.1</v>
      </c>
      <c r="GH93">
        <v>0.7</v>
      </c>
      <c r="GI93">
        <v>0</v>
      </c>
      <c r="GJ93">
        <v>0</v>
      </c>
      <c r="GK93">
        <v>0</v>
      </c>
      <c r="GL93" t="s">
        <v>198</v>
      </c>
      <c r="GM93" t="s">
        <v>198</v>
      </c>
      <c r="GN93" t="s">
        <v>198</v>
      </c>
    </row>
    <row r="94" spans="1:196">
      <c r="A94" s="19">
        <v>46316.90496923611</v>
      </c>
      <c r="B94">
        <v>0.4</v>
      </c>
      <c r="C94">
        <v>0</v>
      </c>
      <c r="D94">
        <v>278</v>
      </c>
      <c r="E94">
        <v>0</v>
      </c>
      <c r="F94">
        <v>0</v>
      </c>
      <c r="G94">
        <v>0</v>
      </c>
      <c r="H94">
        <v>0</v>
      </c>
      <c r="I94">
        <v>0</v>
      </c>
      <c r="J94">
        <v>0.001</v>
      </c>
      <c r="K94">
        <v>-1.5</v>
      </c>
      <c r="L94">
        <v>28.5</v>
      </c>
      <c r="M94">
        <v>612.7</v>
      </c>
      <c r="N94">
        <v>27.7</v>
      </c>
      <c r="O94">
        <v>28.49</v>
      </c>
      <c r="P94">
        <v>28.491</v>
      </c>
      <c r="Q94">
        <v>0</v>
      </c>
      <c r="R94">
        <v>0</v>
      </c>
      <c r="S94">
        <v>115.6</v>
      </c>
      <c r="T94" t="s">
        <v>393</v>
      </c>
      <c r="U94">
        <v>115.7</v>
      </c>
      <c r="V94">
        <v>70987.89999999999</v>
      </c>
      <c r="W94">
        <v>3</v>
      </c>
      <c r="X94" t="s">
        <v>197</v>
      </c>
      <c r="Y94">
        <v>0</v>
      </c>
      <c r="Z94">
        <v>98</v>
      </c>
      <c r="AA94">
        <v>278</v>
      </c>
      <c r="AB94" t="s">
        <v>197</v>
      </c>
      <c r="AC94" t="s">
        <v>198</v>
      </c>
      <c r="AD94" t="s">
        <v>199</v>
      </c>
      <c r="AE94">
        <v>31</v>
      </c>
      <c r="AF94">
        <v>44</v>
      </c>
      <c r="AG94">
        <v>255</v>
      </c>
      <c r="AH94">
        <v>0</v>
      </c>
      <c r="AI94">
        <v>0</v>
      </c>
      <c r="AJ94">
        <v>0</v>
      </c>
      <c r="AK94">
        <v>12.6</v>
      </c>
      <c r="AL94">
        <v>0</v>
      </c>
      <c r="AM94">
        <v>0</v>
      </c>
      <c r="AN94" t="s">
        <v>197</v>
      </c>
      <c r="AO94">
        <v>100</v>
      </c>
      <c r="AP94" t="s">
        <v>197</v>
      </c>
      <c r="AQ94" t="s">
        <v>200</v>
      </c>
      <c r="AR94">
        <v>1</v>
      </c>
      <c r="AS94">
        <v>0</v>
      </c>
      <c r="AT94" t="s">
        <v>394</v>
      </c>
      <c r="AU94" t="s">
        <v>394</v>
      </c>
      <c r="AV94" t="s">
        <v>202</v>
      </c>
      <c r="AW94" t="s">
        <v>203</v>
      </c>
      <c r="AX94" t="s">
        <v>203</v>
      </c>
      <c r="AY94" t="s">
        <v>203</v>
      </c>
      <c r="AZ94" t="s">
        <v>203</v>
      </c>
      <c r="BA94" t="s">
        <v>203</v>
      </c>
      <c r="BB94" t="s">
        <v>203</v>
      </c>
      <c r="BC94" t="s">
        <v>203</v>
      </c>
      <c r="BD94" t="s">
        <v>203</v>
      </c>
      <c r="BE94" t="s">
        <v>203</v>
      </c>
      <c r="BF94">
        <v>25.93</v>
      </c>
      <c r="BG94">
        <v>0.2</v>
      </c>
      <c r="BH94">
        <v>50</v>
      </c>
      <c r="BI94">
        <v>0</v>
      </c>
      <c r="BJ94" t="s">
        <v>198</v>
      </c>
      <c r="BK94" t="s">
        <v>198</v>
      </c>
      <c r="BL94" t="s">
        <v>198</v>
      </c>
      <c r="BM94" t="s">
        <v>198</v>
      </c>
      <c r="BN94" t="s">
        <v>198</v>
      </c>
      <c r="BO94" t="s">
        <v>198</v>
      </c>
      <c r="BP94" t="s">
        <v>198</v>
      </c>
      <c r="BQ94" t="s">
        <v>198</v>
      </c>
      <c r="BR94" t="s">
        <v>198</v>
      </c>
      <c r="BS94" t="s">
        <v>198</v>
      </c>
      <c r="BT94" t="s">
        <v>198</v>
      </c>
      <c r="BU94" t="s">
        <v>198</v>
      </c>
      <c r="BV94" t="s">
        <v>198</v>
      </c>
      <c r="BW94" t="s">
        <v>198</v>
      </c>
      <c r="BX94" t="s">
        <v>198</v>
      </c>
      <c r="BY94" t="s">
        <v>198</v>
      </c>
      <c r="BZ94" t="s">
        <v>198</v>
      </c>
      <c r="CA94" t="s">
        <v>198</v>
      </c>
      <c r="CB94" t="s">
        <v>204</v>
      </c>
      <c r="CC94" t="s">
        <v>204</v>
      </c>
      <c r="CD94" t="s">
        <v>204</v>
      </c>
      <c r="CE94" t="s">
        <v>204</v>
      </c>
      <c r="CF94" t="s">
        <v>204</v>
      </c>
      <c r="CG94" t="s">
        <v>204</v>
      </c>
      <c r="CH94" t="s">
        <v>204</v>
      </c>
      <c r="CI94" t="s">
        <v>204</v>
      </c>
      <c r="CJ94" t="s">
        <v>204</v>
      </c>
      <c r="CK94" t="s">
        <v>204</v>
      </c>
      <c r="CL94" t="s">
        <v>204</v>
      </c>
      <c r="CM94" t="s">
        <v>204</v>
      </c>
      <c r="CN94" t="s">
        <v>203</v>
      </c>
      <c r="CO94" t="s">
        <v>203</v>
      </c>
      <c r="CP94" t="s">
        <v>203</v>
      </c>
      <c r="CQ94" t="s">
        <v>203</v>
      </c>
      <c r="CR94" t="s">
        <v>203</v>
      </c>
      <c r="CS94" t="s">
        <v>203</v>
      </c>
      <c r="CT94" t="s">
        <v>203</v>
      </c>
      <c r="CU94" t="s">
        <v>203</v>
      </c>
      <c r="CV94">
        <v>0</v>
      </c>
      <c r="CW94">
        <v>0</v>
      </c>
      <c r="CX94" t="s">
        <v>198</v>
      </c>
      <c r="CY94" t="s">
        <v>198</v>
      </c>
      <c r="CZ94" t="s">
        <v>198</v>
      </c>
      <c r="DA94" t="s">
        <v>198</v>
      </c>
      <c r="DB94" t="s">
        <v>198</v>
      </c>
      <c r="DC94">
        <v>0</v>
      </c>
      <c r="DD94">
        <v>0</v>
      </c>
      <c r="DE94">
        <v>0</v>
      </c>
      <c r="DF94">
        <v>0</v>
      </c>
      <c r="DG94">
        <v>-35.3631166</v>
      </c>
      <c r="DH94">
        <v>149.1639735</v>
      </c>
      <c r="DI94" t="s">
        <v>360</v>
      </c>
      <c r="DJ94">
        <v>1.2</v>
      </c>
      <c r="DK94">
        <v>2</v>
      </c>
      <c r="DL94">
        <v>22.5</v>
      </c>
      <c r="DM94">
        <v>0</v>
      </c>
      <c r="DN94">
        <v>6</v>
      </c>
      <c r="DO94">
        <v>10</v>
      </c>
      <c r="DP94">
        <v>0</v>
      </c>
      <c r="DQ94">
        <v>255</v>
      </c>
      <c r="DR94">
        <v>255</v>
      </c>
      <c r="DS94">
        <v>255</v>
      </c>
      <c r="DT94">
        <v>255</v>
      </c>
      <c r="DU94">
        <v>255</v>
      </c>
      <c r="DV94">
        <v>255</v>
      </c>
      <c r="DW94">
        <v>255</v>
      </c>
      <c r="DX94" t="s">
        <v>206</v>
      </c>
      <c r="DY94" t="s">
        <v>206</v>
      </c>
      <c r="DZ94" t="s">
        <v>207</v>
      </c>
      <c r="EA94" t="s">
        <v>198</v>
      </c>
      <c r="EB94" t="s">
        <v>198</v>
      </c>
      <c r="EC94" t="s">
        <v>198</v>
      </c>
      <c r="ED94">
        <v>0</v>
      </c>
      <c r="EE94">
        <v>0</v>
      </c>
      <c r="EF94">
        <v>0</v>
      </c>
      <c r="EG94">
        <v>0</v>
      </c>
      <c r="EH94">
        <v>255</v>
      </c>
      <c r="EI94">
        <v>255</v>
      </c>
      <c r="EJ94">
        <v>255</v>
      </c>
      <c r="EK94">
        <v>255</v>
      </c>
      <c r="EL94">
        <v>255</v>
      </c>
      <c r="EM94">
        <v>255</v>
      </c>
      <c r="EN94">
        <v>255</v>
      </c>
      <c r="EO94">
        <v>255</v>
      </c>
      <c r="EP94">
        <v>255</v>
      </c>
      <c r="EQ94">
        <v>255</v>
      </c>
      <c r="ER94" t="s">
        <v>208</v>
      </c>
      <c r="ES94" t="s">
        <v>209</v>
      </c>
      <c r="ET94" t="s">
        <v>209</v>
      </c>
      <c r="EU94">
        <v>0</v>
      </c>
      <c r="EV94">
        <v>16.2</v>
      </c>
      <c r="EW94">
        <v>-114.7</v>
      </c>
      <c r="EX94">
        <v>-28.7</v>
      </c>
      <c r="EY94">
        <v>0</v>
      </c>
      <c r="EZ94">
        <v>0</v>
      </c>
      <c r="FA94">
        <v>1.5</v>
      </c>
      <c r="FB94" t="s">
        <v>198</v>
      </c>
      <c r="FC94" t="s">
        <v>198</v>
      </c>
      <c r="FD94" t="s">
        <v>198</v>
      </c>
      <c r="FE94" t="s">
        <v>198</v>
      </c>
      <c r="FF94" t="s">
        <v>198</v>
      </c>
      <c r="FG94" t="s">
        <v>198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 t="s">
        <v>203</v>
      </c>
      <c r="FP94" t="s">
        <v>203</v>
      </c>
      <c r="FQ94" t="s">
        <v>203</v>
      </c>
      <c r="FR94" t="s">
        <v>203</v>
      </c>
      <c r="FS94" t="s">
        <v>203</v>
      </c>
      <c r="FT94" t="s">
        <v>203</v>
      </c>
      <c r="FU94" t="s">
        <v>198</v>
      </c>
      <c r="FV94" t="s">
        <v>198</v>
      </c>
      <c r="FW94" t="s">
        <v>198</v>
      </c>
      <c r="FX94" t="s">
        <v>198</v>
      </c>
      <c r="FY94" t="s">
        <v>198</v>
      </c>
      <c r="FZ94" t="s">
        <v>198</v>
      </c>
      <c r="GA94">
        <v>31.01</v>
      </c>
      <c r="GB94">
        <v>31.01</v>
      </c>
      <c r="GC94" t="s">
        <v>203</v>
      </c>
      <c r="GD94">
        <v>0</v>
      </c>
      <c r="GE94">
        <v>504</v>
      </c>
      <c r="GF94">
        <v>0</v>
      </c>
      <c r="GG94">
        <v>0.1</v>
      </c>
      <c r="GH94">
        <v>0.7</v>
      </c>
      <c r="GI94">
        <v>0</v>
      </c>
      <c r="GJ94">
        <v>0</v>
      </c>
      <c r="GK94">
        <v>0</v>
      </c>
      <c r="GL94" t="s">
        <v>198</v>
      </c>
      <c r="GM94" t="s">
        <v>198</v>
      </c>
      <c r="GN94" t="s">
        <v>198</v>
      </c>
    </row>
    <row r="95" spans="1:196">
      <c r="A95" s="19">
        <v>46316.90498082176</v>
      </c>
      <c r="B95">
        <v>0.3</v>
      </c>
      <c r="C95">
        <v>0</v>
      </c>
      <c r="D95">
        <v>278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-1.5</v>
      </c>
      <c r="L95">
        <v>27</v>
      </c>
      <c r="M95">
        <v>611.2</v>
      </c>
      <c r="N95">
        <v>26.9</v>
      </c>
      <c r="O95">
        <v>26.99</v>
      </c>
      <c r="P95">
        <v>26.991</v>
      </c>
      <c r="Q95">
        <v>0</v>
      </c>
      <c r="R95">
        <v>0</v>
      </c>
      <c r="S95">
        <v>115.6</v>
      </c>
      <c r="T95" t="s">
        <v>395</v>
      </c>
      <c r="U95">
        <v>115.7</v>
      </c>
      <c r="V95">
        <v>54363.5</v>
      </c>
      <c r="W95">
        <v>3</v>
      </c>
      <c r="X95" t="s">
        <v>197</v>
      </c>
      <c r="Y95">
        <v>0</v>
      </c>
      <c r="Z95">
        <v>98</v>
      </c>
      <c r="AA95">
        <v>278</v>
      </c>
      <c r="AB95" t="s">
        <v>197</v>
      </c>
      <c r="AC95" t="s">
        <v>198</v>
      </c>
      <c r="AD95" t="s">
        <v>199</v>
      </c>
      <c r="AE95">
        <v>31</v>
      </c>
      <c r="AF95">
        <v>44</v>
      </c>
      <c r="AG95">
        <v>255</v>
      </c>
      <c r="AH95">
        <v>0</v>
      </c>
      <c r="AI95">
        <v>0</v>
      </c>
      <c r="AJ95">
        <v>0</v>
      </c>
      <c r="AK95">
        <v>12.6</v>
      </c>
      <c r="AL95">
        <v>0</v>
      </c>
      <c r="AM95">
        <v>0</v>
      </c>
      <c r="AN95" t="s">
        <v>197</v>
      </c>
      <c r="AO95">
        <v>100</v>
      </c>
      <c r="AP95" t="s">
        <v>197</v>
      </c>
      <c r="AQ95" t="s">
        <v>200</v>
      </c>
      <c r="AR95">
        <v>1</v>
      </c>
      <c r="AS95">
        <v>0</v>
      </c>
      <c r="AT95" t="s">
        <v>396</v>
      </c>
      <c r="AU95" t="s">
        <v>396</v>
      </c>
      <c r="AV95" t="s">
        <v>202</v>
      </c>
      <c r="AW95" t="s">
        <v>203</v>
      </c>
      <c r="AX95" t="s">
        <v>203</v>
      </c>
      <c r="AY95" t="s">
        <v>203</v>
      </c>
      <c r="AZ95" t="s">
        <v>203</v>
      </c>
      <c r="BA95" t="s">
        <v>203</v>
      </c>
      <c r="BB95" t="s">
        <v>203</v>
      </c>
      <c r="BC95" t="s">
        <v>203</v>
      </c>
      <c r="BD95" t="s">
        <v>203</v>
      </c>
      <c r="BE95" t="s">
        <v>203</v>
      </c>
      <c r="BF95">
        <v>24.43</v>
      </c>
      <c r="BG95">
        <v>0.2</v>
      </c>
      <c r="BH95">
        <v>50</v>
      </c>
      <c r="BI95">
        <v>0</v>
      </c>
      <c r="BJ95" t="s">
        <v>198</v>
      </c>
      <c r="BK95" t="s">
        <v>198</v>
      </c>
      <c r="BL95" t="s">
        <v>198</v>
      </c>
      <c r="BM95" t="s">
        <v>198</v>
      </c>
      <c r="BN95" t="s">
        <v>198</v>
      </c>
      <c r="BO95" t="s">
        <v>198</v>
      </c>
      <c r="BP95" t="s">
        <v>198</v>
      </c>
      <c r="BQ95" t="s">
        <v>198</v>
      </c>
      <c r="BR95" t="s">
        <v>198</v>
      </c>
      <c r="BS95" t="s">
        <v>198</v>
      </c>
      <c r="BT95" t="s">
        <v>198</v>
      </c>
      <c r="BU95" t="s">
        <v>198</v>
      </c>
      <c r="BV95" t="s">
        <v>198</v>
      </c>
      <c r="BW95" t="s">
        <v>198</v>
      </c>
      <c r="BX95" t="s">
        <v>198</v>
      </c>
      <c r="BY95" t="s">
        <v>198</v>
      </c>
      <c r="BZ95" t="s">
        <v>198</v>
      </c>
      <c r="CA95" t="s">
        <v>198</v>
      </c>
      <c r="CB95" t="s">
        <v>204</v>
      </c>
      <c r="CC95" t="s">
        <v>204</v>
      </c>
      <c r="CD95" t="s">
        <v>204</v>
      </c>
      <c r="CE95" t="s">
        <v>204</v>
      </c>
      <c r="CF95" t="s">
        <v>204</v>
      </c>
      <c r="CG95" t="s">
        <v>204</v>
      </c>
      <c r="CH95" t="s">
        <v>204</v>
      </c>
      <c r="CI95" t="s">
        <v>204</v>
      </c>
      <c r="CJ95" t="s">
        <v>204</v>
      </c>
      <c r="CK95" t="s">
        <v>204</v>
      </c>
      <c r="CL95" t="s">
        <v>204</v>
      </c>
      <c r="CM95" t="s">
        <v>204</v>
      </c>
      <c r="CN95" t="s">
        <v>203</v>
      </c>
      <c r="CO95" t="s">
        <v>203</v>
      </c>
      <c r="CP95" t="s">
        <v>203</v>
      </c>
      <c r="CQ95" t="s">
        <v>203</v>
      </c>
      <c r="CR95" t="s">
        <v>203</v>
      </c>
      <c r="CS95" t="s">
        <v>203</v>
      </c>
      <c r="CT95" t="s">
        <v>203</v>
      </c>
      <c r="CU95" t="s">
        <v>203</v>
      </c>
      <c r="CV95">
        <v>0</v>
      </c>
      <c r="CW95">
        <v>0</v>
      </c>
      <c r="CX95" t="s">
        <v>198</v>
      </c>
      <c r="CY95" t="s">
        <v>198</v>
      </c>
      <c r="CZ95" t="s">
        <v>198</v>
      </c>
      <c r="DA95" t="s">
        <v>198</v>
      </c>
      <c r="DB95" t="s">
        <v>198</v>
      </c>
      <c r="DC95">
        <v>0</v>
      </c>
      <c r="DD95">
        <v>0</v>
      </c>
      <c r="DE95">
        <v>0</v>
      </c>
      <c r="DF95">
        <v>0</v>
      </c>
      <c r="DG95">
        <v>-35.3631166</v>
      </c>
      <c r="DH95">
        <v>149.1639735</v>
      </c>
      <c r="DI95" t="s">
        <v>360</v>
      </c>
      <c r="DJ95">
        <v>1.2</v>
      </c>
      <c r="DK95">
        <v>2</v>
      </c>
      <c r="DL95">
        <v>131.6</v>
      </c>
      <c r="DM95">
        <v>0</v>
      </c>
      <c r="DN95">
        <v>6</v>
      </c>
      <c r="DO95">
        <v>10</v>
      </c>
      <c r="DP95">
        <v>0</v>
      </c>
      <c r="DQ95">
        <v>255</v>
      </c>
      <c r="DR95">
        <v>255</v>
      </c>
      <c r="DS95">
        <v>255</v>
      </c>
      <c r="DT95">
        <v>255</v>
      </c>
      <c r="DU95">
        <v>255</v>
      </c>
      <c r="DV95">
        <v>255</v>
      </c>
      <c r="DW95">
        <v>255</v>
      </c>
      <c r="DX95" t="s">
        <v>206</v>
      </c>
      <c r="DY95" t="s">
        <v>206</v>
      </c>
      <c r="DZ95" t="s">
        <v>207</v>
      </c>
      <c r="EA95" t="s">
        <v>198</v>
      </c>
      <c r="EB95" t="s">
        <v>198</v>
      </c>
      <c r="EC95" t="s">
        <v>198</v>
      </c>
      <c r="ED95">
        <v>0</v>
      </c>
      <c r="EE95">
        <v>0</v>
      </c>
      <c r="EF95">
        <v>0</v>
      </c>
      <c r="EG95">
        <v>0</v>
      </c>
      <c r="EH95">
        <v>255</v>
      </c>
      <c r="EI95">
        <v>255</v>
      </c>
      <c r="EJ95">
        <v>255</v>
      </c>
      <c r="EK95">
        <v>255</v>
      </c>
      <c r="EL95">
        <v>255</v>
      </c>
      <c r="EM95">
        <v>255</v>
      </c>
      <c r="EN95">
        <v>255</v>
      </c>
      <c r="EO95">
        <v>255</v>
      </c>
      <c r="EP95">
        <v>255</v>
      </c>
      <c r="EQ95">
        <v>255</v>
      </c>
      <c r="ER95" t="s">
        <v>208</v>
      </c>
      <c r="ES95" t="s">
        <v>209</v>
      </c>
      <c r="ET95" t="s">
        <v>209</v>
      </c>
      <c r="EU95">
        <v>0</v>
      </c>
      <c r="EV95">
        <v>16.2</v>
      </c>
      <c r="EW95">
        <v>-114.7</v>
      </c>
      <c r="EX95">
        <v>-27.2</v>
      </c>
      <c r="EY95">
        <v>0</v>
      </c>
      <c r="EZ95">
        <v>0</v>
      </c>
      <c r="FA95">
        <v>1.5</v>
      </c>
      <c r="FB95" t="s">
        <v>198</v>
      </c>
      <c r="FC95" t="s">
        <v>198</v>
      </c>
      <c r="FD95" t="s">
        <v>198</v>
      </c>
      <c r="FE95" t="s">
        <v>198</v>
      </c>
      <c r="FF95" t="s">
        <v>198</v>
      </c>
      <c r="FG95" t="s">
        <v>198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 t="s">
        <v>203</v>
      </c>
      <c r="FP95" t="s">
        <v>203</v>
      </c>
      <c r="FQ95" t="s">
        <v>203</v>
      </c>
      <c r="FR95" t="s">
        <v>203</v>
      </c>
      <c r="FS95" t="s">
        <v>203</v>
      </c>
      <c r="FT95" t="s">
        <v>203</v>
      </c>
      <c r="FU95" t="s">
        <v>198</v>
      </c>
      <c r="FV95" t="s">
        <v>198</v>
      </c>
      <c r="FW95" t="s">
        <v>198</v>
      </c>
      <c r="FX95" t="s">
        <v>198</v>
      </c>
      <c r="FY95" t="s">
        <v>198</v>
      </c>
      <c r="FZ95" t="s">
        <v>198</v>
      </c>
      <c r="GA95">
        <v>31.02</v>
      </c>
      <c r="GB95">
        <v>31.02</v>
      </c>
      <c r="GC95" t="s">
        <v>203</v>
      </c>
      <c r="GD95">
        <v>0</v>
      </c>
      <c r="GE95">
        <v>504</v>
      </c>
      <c r="GF95">
        <v>0</v>
      </c>
      <c r="GG95">
        <v>0.1</v>
      </c>
      <c r="GH95">
        <v>0.7</v>
      </c>
      <c r="GI95">
        <v>0</v>
      </c>
      <c r="GJ95">
        <v>0</v>
      </c>
      <c r="GK95">
        <v>0</v>
      </c>
      <c r="GL95" t="s">
        <v>198</v>
      </c>
      <c r="GM95" t="s">
        <v>198</v>
      </c>
      <c r="GN95" t="s">
        <v>198</v>
      </c>
    </row>
    <row r="96" spans="1:196">
      <c r="A96" s="19">
        <v>46316.90499239583</v>
      </c>
      <c r="B96">
        <v>0</v>
      </c>
      <c r="C96">
        <v>0</v>
      </c>
      <c r="D96">
        <v>278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-1.5</v>
      </c>
      <c r="L96">
        <v>25.5</v>
      </c>
      <c r="M96">
        <v>609.7</v>
      </c>
      <c r="N96">
        <v>25.4</v>
      </c>
      <c r="O96">
        <v>25.49</v>
      </c>
      <c r="P96">
        <v>25.491</v>
      </c>
      <c r="Q96">
        <v>0</v>
      </c>
      <c r="R96">
        <v>0</v>
      </c>
      <c r="S96">
        <v>115.6</v>
      </c>
      <c r="T96" t="s">
        <v>397</v>
      </c>
      <c r="U96">
        <v>115.7</v>
      </c>
      <c r="V96">
        <v>49878.7</v>
      </c>
      <c r="W96">
        <v>3</v>
      </c>
      <c r="X96" t="s">
        <v>197</v>
      </c>
      <c r="Y96">
        <v>0</v>
      </c>
      <c r="Z96">
        <v>98</v>
      </c>
      <c r="AA96">
        <v>278</v>
      </c>
      <c r="AB96" t="s">
        <v>197</v>
      </c>
      <c r="AC96" t="s">
        <v>198</v>
      </c>
      <c r="AD96" t="s">
        <v>199</v>
      </c>
      <c r="AE96">
        <v>32</v>
      </c>
      <c r="AF96">
        <v>44</v>
      </c>
      <c r="AG96">
        <v>255</v>
      </c>
      <c r="AH96">
        <v>0</v>
      </c>
      <c r="AI96">
        <v>0</v>
      </c>
      <c r="AJ96">
        <v>0</v>
      </c>
      <c r="AK96">
        <v>12.6</v>
      </c>
      <c r="AL96">
        <v>0</v>
      </c>
      <c r="AM96">
        <v>0</v>
      </c>
      <c r="AN96" t="s">
        <v>197</v>
      </c>
      <c r="AO96">
        <v>100</v>
      </c>
      <c r="AP96" t="s">
        <v>197</v>
      </c>
      <c r="AQ96" t="s">
        <v>200</v>
      </c>
      <c r="AR96">
        <v>1</v>
      </c>
      <c r="AS96">
        <v>0</v>
      </c>
      <c r="AT96" t="s">
        <v>398</v>
      </c>
      <c r="AU96" t="s">
        <v>398</v>
      </c>
      <c r="AV96" t="s">
        <v>202</v>
      </c>
      <c r="AW96" t="s">
        <v>203</v>
      </c>
      <c r="AX96" t="s">
        <v>203</v>
      </c>
      <c r="AY96" t="s">
        <v>203</v>
      </c>
      <c r="AZ96" t="s">
        <v>203</v>
      </c>
      <c r="BA96" t="s">
        <v>203</v>
      </c>
      <c r="BB96" t="s">
        <v>203</v>
      </c>
      <c r="BC96" t="s">
        <v>203</v>
      </c>
      <c r="BD96" t="s">
        <v>203</v>
      </c>
      <c r="BE96" t="s">
        <v>203</v>
      </c>
      <c r="BF96">
        <v>22.93</v>
      </c>
      <c r="BG96">
        <v>0.2</v>
      </c>
      <c r="BH96">
        <v>50</v>
      </c>
      <c r="BI96">
        <v>0</v>
      </c>
      <c r="BJ96" t="s">
        <v>198</v>
      </c>
      <c r="BK96" t="s">
        <v>198</v>
      </c>
      <c r="BL96" t="s">
        <v>198</v>
      </c>
      <c r="BM96" t="s">
        <v>198</v>
      </c>
      <c r="BN96" t="s">
        <v>198</v>
      </c>
      <c r="BO96" t="s">
        <v>198</v>
      </c>
      <c r="BP96" t="s">
        <v>198</v>
      </c>
      <c r="BQ96" t="s">
        <v>198</v>
      </c>
      <c r="BR96" t="s">
        <v>198</v>
      </c>
      <c r="BS96" t="s">
        <v>198</v>
      </c>
      <c r="BT96" t="s">
        <v>198</v>
      </c>
      <c r="BU96" t="s">
        <v>198</v>
      </c>
      <c r="BV96" t="s">
        <v>198</v>
      </c>
      <c r="BW96" t="s">
        <v>198</v>
      </c>
      <c r="BX96" t="s">
        <v>198</v>
      </c>
      <c r="BY96" t="s">
        <v>198</v>
      </c>
      <c r="BZ96" t="s">
        <v>198</v>
      </c>
      <c r="CA96" t="s">
        <v>198</v>
      </c>
      <c r="CB96" t="s">
        <v>204</v>
      </c>
      <c r="CC96" t="s">
        <v>204</v>
      </c>
      <c r="CD96" t="s">
        <v>204</v>
      </c>
      <c r="CE96" t="s">
        <v>204</v>
      </c>
      <c r="CF96" t="s">
        <v>204</v>
      </c>
      <c r="CG96" t="s">
        <v>204</v>
      </c>
      <c r="CH96" t="s">
        <v>204</v>
      </c>
      <c r="CI96" t="s">
        <v>204</v>
      </c>
      <c r="CJ96" t="s">
        <v>204</v>
      </c>
      <c r="CK96" t="s">
        <v>204</v>
      </c>
      <c r="CL96" t="s">
        <v>204</v>
      </c>
      <c r="CM96" t="s">
        <v>204</v>
      </c>
      <c r="CN96" t="s">
        <v>203</v>
      </c>
      <c r="CO96" t="s">
        <v>203</v>
      </c>
      <c r="CP96" t="s">
        <v>203</v>
      </c>
      <c r="CQ96" t="s">
        <v>203</v>
      </c>
      <c r="CR96" t="s">
        <v>203</v>
      </c>
      <c r="CS96" t="s">
        <v>203</v>
      </c>
      <c r="CT96" t="s">
        <v>203</v>
      </c>
      <c r="CU96" t="s">
        <v>203</v>
      </c>
      <c r="CV96">
        <v>0</v>
      </c>
      <c r="CW96">
        <v>0</v>
      </c>
      <c r="CX96" t="s">
        <v>198</v>
      </c>
      <c r="CY96" t="s">
        <v>198</v>
      </c>
      <c r="CZ96" t="s">
        <v>198</v>
      </c>
      <c r="DA96" t="s">
        <v>198</v>
      </c>
      <c r="DB96" t="s">
        <v>198</v>
      </c>
      <c r="DC96">
        <v>0</v>
      </c>
      <c r="DD96">
        <v>0</v>
      </c>
      <c r="DE96">
        <v>0</v>
      </c>
      <c r="DF96">
        <v>0</v>
      </c>
      <c r="DG96">
        <v>-35.3631166</v>
      </c>
      <c r="DH96">
        <v>149.1639735</v>
      </c>
      <c r="DI96" t="s">
        <v>360</v>
      </c>
      <c r="DJ96">
        <v>1.2</v>
      </c>
      <c r="DK96">
        <v>2</v>
      </c>
      <c r="DL96">
        <v>195.1</v>
      </c>
      <c r="DM96">
        <v>0</v>
      </c>
      <c r="DN96">
        <v>6</v>
      </c>
      <c r="DO96">
        <v>10</v>
      </c>
      <c r="DP96">
        <v>0</v>
      </c>
      <c r="DQ96">
        <v>255</v>
      </c>
      <c r="DR96">
        <v>255</v>
      </c>
      <c r="DS96">
        <v>255</v>
      </c>
      <c r="DT96">
        <v>255</v>
      </c>
      <c r="DU96">
        <v>255</v>
      </c>
      <c r="DV96">
        <v>255</v>
      </c>
      <c r="DW96">
        <v>255</v>
      </c>
      <c r="DX96" t="s">
        <v>206</v>
      </c>
      <c r="DY96" t="s">
        <v>206</v>
      </c>
      <c r="DZ96" t="s">
        <v>207</v>
      </c>
      <c r="EA96" t="s">
        <v>198</v>
      </c>
      <c r="EB96" t="s">
        <v>198</v>
      </c>
      <c r="EC96" t="s">
        <v>198</v>
      </c>
      <c r="ED96">
        <v>0</v>
      </c>
      <c r="EE96">
        <v>0</v>
      </c>
      <c r="EF96">
        <v>0</v>
      </c>
      <c r="EG96">
        <v>0</v>
      </c>
      <c r="EH96">
        <v>255</v>
      </c>
      <c r="EI96">
        <v>255</v>
      </c>
      <c r="EJ96">
        <v>255</v>
      </c>
      <c r="EK96">
        <v>255</v>
      </c>
      <c r="EL96">
        <v>255</v>
      </c>
      <c r="EM96">
        <v>255</v>
      </c>
      <c r="EN96">
        <v>255</v>
      </c>
      <c r="EO96">
        <v>255</v>
      </c>
      <c r="EP96">
        <v>255</v>
      </c>
      <c r="EQ96">
        <v>255</v>
      </c>
      <c r="ER96" t="s">
        <v>208</v>
      </c>
      <c r="ES96" t="s">
        <v>209</v>
      </c>
      <c r="ET96" t="s">
        <v>209</v>
      </c>
      <c r="EU96">
        <v>0</v>
      </c>
      <c r="EV96">
        <v>16.2</v>
      </c>
      <c r="EW96">
        <v>-114.7</v>
      </c>
      <c r="EX96">
        <v>-25.7</v>
      </c>
      <c r="EY96">
        <v>0</v>
      </c>
      <c r="EZ96">
        <v>0</v>
      </c>
      <c r="FA96">
        <v>1.5</v>
      </c>
      <c r="FB96" t="s">
        <v>198</v>
      </c>
      <c r="FC96" t="s">
        <v>198</v>
      </c>
      <c r="FD96" t="s">
        <v>198</v>
      </c>
      <c r="FE96" t="s">
        <v>198</v>
      </c>
      <c r="FF96" t="s">
        <v>198</v>
      </c>
      <c r="FG96" t="s">
        <v>198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 t="s">
        <v>203</v>
      </c>
      <c r="FP96" t="s">
        <v>203</v>
      </c>
      <c r="FQ96" t="s">
        <v>203</v>
      </c>
      <c r="FR96" t="s">
        <v>203</v>
      </c>
      <c r="FS96" t="s">
        <v>203</v>
      </c>
      <c r="FT96" t="s">
        <v>203</v>
      </c>
      <c r="FU96" t="s">
        <v>198</v>
      </c>
      <c r="FV96" t="s">
        <v>198</v>
      </c>
      <c r="FW96" t="s">
        <v>198</v>
      </c>
      <c r="FX96" t="s">
        <v>198</v>
      </c>
      <c r="FY96" t="s">
        <v>198</v>
      </c>
      <c r="FZ96" t="s">
        <v>198</v>
      </c>
      <c r="GA96">
        <v>31.03</v>
      </c>
      <c r="GB96">
        <v>31.03</v>
      </c>
      <c r="GC96" t="s">
        <v>203</v>
      </c>
      <c r="GD96">
        <v>0</v>
      </c>
      <c r="GE96">
        <v>504</v>
      </c>
      <c r="GF96">
        <v>0</v>
      </c>
      <c r="GG96">
        <v>0.1</v>
      </c>
      <c r="GH96">
        <v>0.7</v>
      </c>
      <c r="GI96">
        <v>0</v>
      </c>
      <c r="GJ96">
        <v>0</v>
      </c>
      <c r="GK96">
        <v>0</v>
      </c>
      <c r="GL96" t="s">
        <v>198</v>
      </c>
      <c r="GM96" t="s">
        <v>198</v>
      </c>
      <c r="GN96" t="s">
        <v>198</v>
      </c>
    </row>
    <row r="97" spans="1:196">
      <c r="A97" s="19">
        <v>46316.90500396991</v>
      </c>
      <c r="B97">
        <v>-0.5</v>
      </c>
      <c r="C97">
        <v>0</v>
      </c>
      <c r="D97">
        <v>278</v>
      </c>
      <c r="E97">
        <v>0</v>
      </c>
      <c r="F97">
        <v>0</v>
      </c>
      <c r="G97">
        <v>0</v>
      </c>
      <c r="H97">
        <v>0</v>
      </c>
      <c r="I97">
        <v>0</v>
      </c>
      <c r="J97">
        <v>0.001</v>
      </c>
      <c r="K97">
        <v>-1.5</v>
      </c>
      <c r="L97">
        <v>24</v>
      </c>
      <c r="M97">
        <v>608.2</v>
      </c>
      <c r="N97">
        <v>23.9</v>
      </c>
      <c r="O97">
        <v>23.99</v>
      </c>
      <c r="P97">
        <v>23.991</v>
      </c>
      <c r="Q97">
        <v>0</v>
      </c>
      <c r="R97">
        <v>0</v>
      </c>
      <c r="S97">
        <v>115.6</v>
      </c>
      <c r="T97" t="s">
        <v>399</v>
      </c>
      <c r="U97">
        <v>115.7</v>
      </c>
      <c r="V97">
        <v>401834.1</v>
      </c>
      <c r="W97">
        <v>3</v>
      </c>
      <c r="X97" t="s">
        <v>197</v>
      </c>
      <c r="Y97">
        <v>0</v>
      </c>
      <c r="Z97">
        <v>98</v>
      </c>
      <c r="AA97">
        <v>278</v>
      </c>
      <c r="AB97" t="s">
        <v>197</v>
      </c>
      <c r="AC97" t="s">
        <v>198</v>
      </c>
      <c r="AD97" t="s">
        <v>199</v>
      </c>
      <c r="AE97">
        <v>32</v>
      </c>
      <c r="AF97">
        <v>44</v>
      </c>
      <c r="AG97">
        <v>255</v>
      </c>
      <c r="AH97">
        <v>0</v>
      </c>
      <c r="AI97">
        <v>0</v>
      </c>
      <c r="AJ97">
        <v>0</v>
      </c>
      <c r="AK97">
        <v>12.6</v>
      </c>
      <c r="AL97">
        <v>0</v>
      </c>
      <c r="AM97">
        <v>0</v>
      </c>
      <c r="AN97" t="s">
        <v>197</v>
      </c>
      <c r="AO97">
        <v>100</v>
      </c>
      <c r="AP97" t="s">
        <v>197</v>
      </c>
      <c r="AQ97" t="s">
        <v>200</v>
      </c>
      <c r="AR97">
        <v>1</v>
      </c>
      <c r="AS97">
        <v>0</v>
      </c>
      <c r="AT97" t="s">
        <v>400</v>
      </c>
      <c r="AU97" t="s">
        <v>400</v>
      </c>
      <c r="AV97" t="s">
        <v>202</v>
      </c>
      <c r="AW97" t="s">
        <v>203</v>
      </c>
      <c r="AX97" t="s">
        <v>203</v>
      </c>
      <c r="AY97" t="s">
        <v>203</v>
      </c>
      <c r="AZ97" t="s">
        <v>203</v>
      </c>
      <c r="BA97" t="s">
        <v>203</v>
      </c>
      <c r="BB97" t="s">
        <v>203</v>
      </c>
      <c r="BC97" t="s">
        <v>203</v>
      </c>
      <c r="BD97" t="s">
        <v>203</v>
      </c>
      <c r="BE97" t="s">
        <v>203</v>
      </c>
      <c r="BF97">
        <v>21.43</v>
      </c>
      <c r="BG97">
        <v>0.2</v>
      </c>
      <c r="BH97">
        <v>50</v>
      </c>
      <c r="BI97">
        <v>0</v>
      </c>
      <c r="BJ97" t="s">
        <v>198</v>
      </c>
      <c r="BK97" t="s">
        <v>198</v>
      </c>
      <c r="BL97" t="s">
        <v>198</v>
      </c>
      <c r="BM97" t="s">
        <v>198</v>
      </c>
      <c r="BN97" t="s">
        <v>198</v>
      </c>
      <c r="BO97" t="s">
        <v>198</v>
      </c>
      <c r="BP97" t="s">
        <v>198</v>
      </c>
      <c r="BQ97" t="s">
        <v>198</v>
      </c>
      <c r="BR97" t="s">
        <v>198</v>
      </c>
      <c r="BS97" t="s">
        <v>198</v>
      </c>
      <c r="BT97" t="s">
        <v>198</v>
      </c>
      <c r="BU97" t="s">
        <v>198</v>
      </c>
      <c r="BV97" t="s">
        <v>198</v>
      </c>
      <c r="BW97" t="s">
        <v>198</v>
      </c>
      <c r="BX97" t="s">
        <v>198</v>
      </c>
      <c r="BY97" t="s">
        <v>198</v>
      </c>
      <c r="BZ97" t="s">
        <v>198</v>
      </c>
      <c r="CA97" t="s">
        <v>198</v>
      </c>
      <c r="CB97" t="s">
        <v>204</v>
      </c>
      <c r="CC97" t="s">
        <v>204</v>
      </c>
      <c r="CD97" t="s">
        <v>204</v>
      </c>
      <c r="CE97" t="s">
        <v>204</v>
      </c>
      <c r="CF97" t="s">
        <v>204</v>
      </c>
      <c r="CG97" t="s">
        <v>204</v>
      </c>
      <c r="CH97" t="s">
        <v>204</v>
      </c>
      <c r="CI97" t="s">
        <v>204</v>
      </c>
      <c r="CJ97" t="s">
        <v>204</v>
      </c>
      <c r="CK97" t="s">
        <v>204</v>
      </c>
      <c r="CL97" t="s">
        <v>204</v>
      </c>
      <c r="CM97" t="s">
        <v>204</v>
      </c>
      <c r="CN97" t="s">
        <v>203</v>
      </c>
      <c r="CO97" t="s">
        <v>203</v>
      </c>
      <c r="CP97" t="s">
        <v>203</v>
      </c>
      <c r="CQ97" t="s">
        <v>203</v>
      </c>
      <c r="CR97" t="s">
        <v>203</v>
      </c>
      <c r="CS97" t="s">
        <v>203</v>
      </c>
      <c r="CT97" t="s">
        <v>203</v>
      </c>
      <c r="CU97" t="s">
        <v>203</v>
      </c>
      <c r="CV97">
        <v>0</v>
      </c>
      <c r="CW97">
        <v>0</v>
      </c>
      <c r="CX97" t="s">
        <v>198</v>
      </c>
      <c r="CY97" t="s">
        <v>198</v>
      </c>
      <c r="CZ97" t="s">
        <v>198</v>
      </c>
      <c r="DA97" t="s">
        <v>198</v>
      </c>
      <c r="DB97" t="s">
        <v>198</v>
      </c>
      <c r="DC97">
        <v>0</v>
      </c>
      <c r="DD97">
        <v>0</v>
      </c>
      <c r="DE97">
        <v>0</v>
      </c>
      <c r="DF97">
        <v>0</v>
      </c>
      <c r="DG97">
        <v>-35.3631166</v>
      </c>
      <c r="DH97">
        <v>149.1639735</v>
      </c>
      <c r="DI97" t="s">
        <v>360</v>
      </c>
      <c r="DJ97">
        <v>1.2</v>
      </c>
      <c r="DK97">
        <v>2</v>
      </c>
      <c r="DL97">
        <v>183.7</v>
      </c>
      <c r="DM97">
        <v>0</v>
      </c>
      <c r="DN97">
        <v>6</v>
      </c>
      <c r="DO97">
        <v>10</v>
      </c>
      <c r="DP97">
        <v>0</v>
      </c>
      <c r="DQ97">
        <v>255</v>
      </c>
      <c r="DR97">
        <v>255</v>
      </c>
      <c r="DS97">
        <v>255</v>
      </c>
      <c r="DT97">
        <v>255</v>
      </c>
      <c r="DU97">
        <v>255</v>
      </c>
      <c r="DV97">
        <v>255</v>
      </c>
      <c r="DW97">
        <v>255</v>
      </c>
      <c r="DX97" t="s">
        <v>206</v>
      </c>
      <c r="DY97" t="s">
        <v>206</v>
      </c>
      <c r="DZ97" t="s">
        <v>207</v>
      </c>
      <c r="EA97" t="s">
        <v>198</v>
      </c>
      <c r="EB97" t="s">
        <v>198</v>
      </c>
      <c r="EC97" t="s">
        <v>198</v>
      </c>
      <c r="ED97">
        <v>0</v>
      </c>
      <c r="EE97">
        <v>0</v>
      </c>
      <c r="EF97">
        <v>0</v>
      </c>
      <c r="EG97">
        <v>0</v>
      </c>
      <c r="EH97">
        <v>255</v>
      </c>
      <c r="EI97">
        <v>255</v>
      </c>
      <c r="EJ97">
        <v>255</v>
      </c>
      <c r="EK97">
        <v>255</v>
      </c>
      <c r="EL97">
        <v>255</v>
      </c>
      <c r="EM97">
        <v>255</v>
      </c>
      <c r="EN97">
        <v>255</v>
      </c>
      <c r="EO97">
        <v>255</v>
      </c>
      <c r="EP97">
        <v>255</v>
      </c>
      <c r="EQ97">
        <v>255</v>
      </c>
      <c r="ER97" t="s">
        <v>208</v>
      </c>
      <c r="ES97" t="s">
        <v>209</v>
      </c>
      <c r="ET97" t="s">
        <v>209</v>
      </c>
      <c r="EU97">
        <v>0</v>
      </c>
      <c r="EV97">
        <v>16.2</v>
      </c>
      <c r="EW97">
        <v>-114.7</v>
      </c>
      <c r="EX97">
        <v>-24.2</v>
      </c>
      <c r="EY97">
        <v>0</v>
      </c>
      <c r="EZ97">
        <v>0</v>
      </c>
      <c r="FA97">
        <v>1.5</v>
      </c>
      <c r="FB97" t="s">
        <v>198</v>
      </c>
      <c r="FC97" t="s">
        <v>198</v>
      </c>
      <c r="FD97" t="s">
        <v>198</v>
      </c>
      <c r="FE97" t="s">
        <v>198</v>
      </c>
      <c r="FF97" t="s">
        <v>198</v>
      </c>
      <c r="FG97" t="s">
        <v>198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 t="s">
        <v>203</v>
      </c>
      <c r="FP97" t="s">
        <v>203</v>
      </c>
      <c r="FQ97" t="s">
        <v>203</v>
      </c>
      <c r="FR97" t="s">
        <v>203</v>
      </c>
      <c r="FS97" t="s">
        <v>203</v>
      </c>
      <c r="FT97" t="s">
        <v>203</v>
      </c>
      <c r="FU97" t="s">
        <v>198</v>
      </c>
      <c r="FV97" t="s">
        <v>198</v>
      </c>
      <c r="FW97" t="s">
        <v>198</v>
      </c>
      <c r="FX97" t="s">
        <v>198</v>
      </c>
      <c r="FY97" t="s">
        <v>198</v>
      </c>
      <c r="FZ97" t="s">
        <v>198</v>
      </c>
      <c r="GA97">
        <v>31.04</v>
      </c>
      <c r="GB97">
        <v>31.04</v>
      </c>
      <c r="GC97" t="s">
        <v>203</v>
      </c>
      <c r="GD97">
        <v>0</v>
      </c>
      <c r="GE97">
        <v>504</v>
      </c>
      <c r="GF97">
        <v>0</v>
      </c>
      <c r="GG97">
        <v>0.1</v>
      </c>
      <c r="GH97">
        <v>0.7</v>
      </c>
      <c r="GI97">
        <v>0</v>
      </c>
      <c r="GJ97">
        <v>0</v>
      </c>
      <c r="GK97">
        <v>0</v>
      </c>
      <c r="GL97" t="s">
        <v>198</v>
      </c>
      <c r="GM97" t="s">
        <v>198</v>
      </c>
      <c r="GN97" t="s">
        <v>198</v>
      </c>
    </row>
    <row r="98" spans="1:196">
      <c r="A98" s="19">
        <v>46316.90501554398</v>
      </c>
      <c r="B98">
        <v>0.2</v>
      </c>
      <c r="C98">
        <v>0</v>
      </c>
      <c r="D98">
        <v>278</v>
      </c>
      <c r="E98">
        <v>0</v>
      </c>
      <c r="F98">
        <v>0</v>
      </c>
      <c r="G98">
        <v>0</v>
      </c>
      <c r="H98">
        <v>0</v>
      </c>
      <c r="I98">
        <v>0</v>
      </c>
      <c r="J98">
        <v>0.001</v>
      </c>
      <c r="K98">
        <v>-1.5</v>
      </c>
      <c r="L98">
        <v>22.5</v>
      </c>
      <c r="M98">
        <v>606.7</v>
      </c>
      <c r="N98">
        <v>22.4</v>
      </c>
      <c r="O98">
        <v>22.49</v>
      </c>
      <c r="P98">
        <v>22.491</v>
      </c>
      <c r="Q98">
        <v>0</v>
      </c>
      <c r="R98">
        <v>0</v>
      </c>
      <c r="S98">
        <v>115.6</v>
      </c>
      <c r="T98" t="s">
        <v>401</v>
      </c>
      <c r="U98">
        <v>115.7</v>
      </c>
      <c r="V98">
        <v>47890.8</v>
      </c>
      <c r="W98">
        <v>3</v>
      </c>
      <c r="X98" t="s">
        <v>197</v>
      </c>
      <c r="Y98">
        <v>0</v>
      </c>
      <c r="Z98">
        <v>98</v>
      </c>
      <c r="AA98">
        <v>278</v>
      </c>
      <c r="AB98" t="s">
        <v>197</v>
      </c>
      <c r="AC98" t="s">
        <v>198</v>
      </c>
      <c r="AD98" t="s">
        <v>199</v>
      </c>
      <c r="AE98">
        <v>31</v>
      </c>
      <c r="AF98">
        <v>44</v>
      </c>
      <c r="AG98">
        <v>255</v>
      </c>
      <c r="AH98">
        <v>0</v>
      </c>
      <c r="AI98">
        <v>0</v>
      </c>
      <c r="AJ98">
        <v>0</v>
      </c>
      <c r="AK98">
        <v>12.6</v>
      </c>
      <c r="AL98">
        <v>0</v>
      </c>
      <c r="AM98">
        <v>0</v>
      </c>
      <c r="AN98" t="s">
        <v>197</v>
      </c>
      <c r="AO98">
        <v>100</v>
      </c>
      <c r="AP98" t="s">
        <v>197</v>
      </c>
      <c r="AQ98" t="s">
        <v>200</v>
      </c>
      <c r="AR98">
        <v>1</v>
      </c>
      <c r="AS98">
        <v>0</v>
      </c>
      <c r="AT98" t="s">
        <v>402</v>
      </c>
      <c r="AU98" t="s">
        <v>402</v>
      </c>
      <c r="AV98" t="s">
        <v>202</v>
      </c>
      <c r="AW98" t="s">
        <v>203</v>
      </c>
      <c r="AX98" t="s">
        <v>203</v>
      </c>
      <c r="AY98" t="s">
        <v>203</v>
      </c>
      <c r="AZ98" t="s">
        <v>203</v>
      </c>
      <c r="BA98" t="s">
        <v>203</v>
      </c>
      <c r="BB98" t="s">
        <v>203</v>
      </c>
      <c r="BC98" t="s">
        <v>203</v>
      </c>
      <c r="BD98" t="s">
        <v>203</v>
      </c>
      <c r="BE98" t="s">
        <v>203</v>
      </c>
      <c r="BF98">
        <v>19.93</v>
      </c>
      <c r="BG98">
        <v>0.2</v>
      </c>
      <c r="BH98">
        <v>50</v>
      </c>
      <c r="BI98">
        <v>0</v>
      </c>
      <c r="BJ98" t="s">
        <v>198</v>
      </c>
      <c r="BK98" t="s">
        <v>198</v>
      </c>
      <c r="BL98" t="s">
        <v>198</v>
      </c>
      <c r="BM98" t="s">
        <v>198</v>
      </c>
      <c r="BN98" t="s">
        <v>198</v>
      </c>
      <c r="BO98" t="s">
        <v>198</v>
      </c>
      <c r="BP98" t="s">
        <v>198</v>
      </c>
      <c r="BQ98" t="s">
        <v>198</v>
      </c>
      <c r="BR98" t="s">
        <v>198</v>
      </c>
      <c r="BS98" t="s">
        <v>198</v>
      </c>
      <c r="BT98" t="s">
        <v>198</v>
      </c>
      <c r="BU98" t="s">
        <v>198</v>
      </c>
      <c r="BV98" t="s">
        <v>198</v>
      </c>
      <c r="BW98" t="s">
        <v>198</v>
      </c>
      <c r="BX98" t="s">
        <v>198</v>
      </c>
      <c r="BY98" t="s">
        <v>198</v>
      </c>
      <c r="BZ98" t="s">
        <v>198</v>
      </c>
      <c r="CA98" t="s">
        <v>198</v>
      </c>
      <c r="CB98" t="s">
        <v>204</v>
      </c>
      <c r="CC98" t="s">
        <v>204</v>
      </c>
      <c r="CD98" t="s">
        <v>204</v>
      </c>
      <c r="CE98" t="s">
        <v>204</v>
      </c>
      <c r="CF98" t="s">
        <v>204</v>
      </c>
      <c r="CG98" t="s">
        <v>204</v>
      </c>
      <c r="CH98" t="s">
        <v>204</v>
      </c>
      <c r="CI98" t="s">
        <v>204</v>
      </c>
      <c r="CJ98" t="s">
        <v>204</v>
      </c>
      <c r="CK98" t="s">
        <v>204</v>
      </c>
      <c r="CL98" t="s">
        <v>204</v>
      </c>
      <c r="CM98" t="s">
        <v>204</v>
      </c>
      <c r="CN98" t="s">
        <v>203</v>
      </c>
      <c r="CO98" t="s">
        <v>203</v>
      </c>
      <c r="CP98" t="s">
        <v>203</v>
      </c>
      <c r="CQ98" t="s">
        <v>203</v>
      </c>
      <c r="CR98" t="s">
        <v>203</v>
      </c>
      <c r="CS98" t="s">
        <v>203</v>
      </c>
      <c r="CT98" t="s">
        <v>203</v>
      </c>
      <c r="CU98" t="s">
        <v>203</v>
      </c>
      <c r="CV98">
        <v>0</v>
      </c>
      <c r="CW98">
        <v>0</v>
      </c>
      <c r="CX98" t="s">
        <v>198</v>
      </c>
      <c r="CY98" t="s">
        <v>198</v>
      </c>
      <c r="CZ98" t="s">
        <v>198</v>
      </c>
      <c r="DA98" t="s">
        <v>198</v>
      </c>
      <c r="DB98" t="s">
        <v>198</v>
      </c>
      <c r="DC98">
        <v>0</v>
      </c>
      <c r="DD98">
        <v>0</v>
      </c>
      <c r="DE98">
        <v>0</v>
      </c>
      <c r="DF98">
        <v>0</v>
      </c>
      <c r="DG98">
        <v>-35.3631166</v>
      </c>
      <c r="DH98">
        <v>149.1639735</v>
      </c>
      <c r="DI98" t="s">
        <v>360</v>
      </c>
      <c r="DJ98">
        <v>1.2</v>
      </c>
      <c r="DK98">
        <v>2</v>
      </c>
      <c r="DL98">
        <v>14.7</v>
      </c>
      <c r="DM98">
        <v>0</v>
      </c>
      <c r="DN98">
        <v>6</v>
      </c>
      <c r="DO98">
        <v>10</v>
      </c>
      <c r="DP98">
        <v>0</v>
      </c>
      <c r="DQ98">
        <v>255</v>
      </c>
      <c r="DR98">
        <v>255</v>
      </c>
      <c r="DS98">
        <v>255</v>
      </c>
      <c r="DT98">
        <v>255</v>
      </c>
      <c r="DU98">
        <v>255</v>
      </c>
      <c r="DV98">
        <v>255</v>
      </c>
      <c r="DW98">
        <v>255</v>
      </c>
      <c r="DX98" t="s">
        <v>206</v>
      </c>
      <c r="DY98" t="s">
        <v>206</v>
      </c>
      <c r="DZ98" t="s">
        <v>207</v>
      </c>
      <c r="EA98" t="s">
        <v>198</v>
      </c>
      <c r="EB98" t="s">
        <v>198</v>
      </c>
      <c r="EC98" t="s">
        <v>198</v>
      </c>
      <c r="ED98">
        <v>0</v>
      </c>
      <c r="EE98">
        <v>0</v>
      </c>
      <c r="EF98">
        <v>0</v>
      </c>
      <c r="EG98">
        <v>0</v>
      </c>
      <c r="EH98">
        <v>255</v>
      </c>
      <c r="EI98">
        <v>255</v>
      </c>
      <c r="EJ98">
        <v>255</v>
      </c>
      <c r="EK98">
        <v>255</v>
      </c>
      <c r="EL98">
        <v>255</v>
      </c>
      <c r="EM98">
        <v>255</v>
      </c>
      <c r="EN98">
        <v>255</v>
      </c>
      <c r="EO98">
        <v>255</v>
      </c>
      <c r="EP98">
        <v>255</v>
      </c>
      <c r="EQ98">
        <v>255</v>
      </c>
      <c r="ER98" t="s">
        <v>208</v>
      </c>
      <c r="ES98" t="s">
        <v>209</v>
      </c>
      <c r="ET98" t="s">
        <v>209</v>
      </c>
      <c r="EU98">
        <v>0</v>
      </c>
      <c r="EV98">
        <v>16.2</v>
      </c>
      <c r="EW98">
        <v>-114.7</v>
      </c>
      <c r="EX98">
        <v>-22.7</v>
      </c>
      <c r="EY98">
        <v>0</v>
      </c>
      <c r="EZ98">
        <v>0</v>
      </c>
      <c r="FA98">
        <v>1.5</v>
      </c>
      <c r="FB98" t="s">
        <v>198</v>
      </c>
      <c r="FC98" t="s">
        <v>198</v>
      </c>
      <c r="FD98" t="s">
        <v>198</v>
      </c>
      <c r="FE98" t="s">
        <v>198</v>
      </c>
      <c r="FF98" t="s">
        <v>198</v>
      </c>
      <c r="FG98" t="s">
        <v>198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203</v>
      </c>
      <c r="FP98" t="s">
        <v>203</v>
      </c>
      <c r="FQ98" t="s">
        <v>203</v>
      </c>
      <c r="FR98" t="s">
        <v>203</v>
      </c>
      <c r="FS98" t="s">
        <v>203</v>
      </c>
      <c r="FT98" t="s">
        <v>203</v>
      </c>
      <c r="FU98" t="s">
        <v>198</v>
      </c>
      <c r="FV98" t="s">
        <v>198</v>
      </c>
      <c r="FW98" t="s">
        <v>198</v>
      </c>
      <c r="FX98" t="s">
        <v>198</v>
      </c>
      <c r="FY98" t="s">
        <v>198</v>
      </c>
      <c r="FZ98" t="s">
        <v>198</v>
      </c>
      <c r="GA98">
        <v>31.05</v>
      </c>
      <c r="GB98">
        <v>31.05</v>
      </c>
      <c r="GC98" t="s">
        <v>203</v>
      </c>
      <c r="GD98">
        <v>0</v>
      </c>
      <c r="GE98">
        <v>504</v>
      </c>
      <c r="GF98">
        <v>0</v>
      </c>
      <c r="GG98">
        <v>0.1</v>
      </c>
      <c r="GH98">
        <v>0.7</v>
      </c>
      <c r="GI98">
        <v>0</v>
      </c>
      <c r="GJ98">
        <v>0</v>
      </c>
      <c r="GK98">
        <v>0</v>
      </c>
      <c r="GL98" t="s">
        <v>198</v>
      </c>
      <c r="GM98" t="s">
        <v>198</v>
      </c>
      <c r="GN98" t="s">
        <v>198</v>
      </c>
    </row>
    <row r="99" spans="1:196">
      <c r="A99" s="19">
        <v>46316.90502711805</v>
      </c>
      <c r="B99">
        <v>0.5</v>
      </c>
      <c r="C99">
        <v>0</v>
      </c>
      <c r="D99">
        <v>278</v>
      </c>
      <c r="E99">
        <v>0</v>
      </c>
      <c r="F99">
        <v>0</v>
      </c>
      <c r="G99">
        <v>0</v>
      </c>
      <c r="H99">
        <v>0</v>
      </c>
      <c r="I99">
        <v>0</v>
      </c>
      <c r="J99">
        <v>0.001</v>
      </c>
      <c r="K99">
        <v>-1.5</v>
      </c>
      <c r="L99">
        <v>21</v>
      </c>
      <c r="M99">
        <v>605.2</v>
      </c>
      <c r="N99">
        <v>20.9</v>
      </c>
      <c r="O99">
        <v>20.99</v>
      </c>
      <c r="P99">
        <v>20.991</v>
      </c>
      <c r="Q99">
        <v>0</v>
      </c>
      <c r="R99">
        <v>0</v>
      </c>
      <c r="S99">
        <v>115.6</v>
      </c>
      <c r="T99" t="s">
        <v>403</v>
      </c>
      <c r="U99">
        <v>115.7</v>
      </c>
      <c r="V99">
        <v>202460.8</v>
      </c>
      <c r="W99">
        <v>3</v>
      </c>
      <c r="X99" t="s">
        <v>197</v>
      </c>
      <c r="Y99">
        <v>0</v>
      </c>
      <c r="Z99">
        <v>98</v>
      </c>
      <c r="AA99">
        <v>278</v>
      </c>
      <c r="AB99" t="s">
        <v>197</v>
      </c>
      <c r="AC99" t="s">
        <v>198</v>
      </c>
      <c r="AD99" t="s">
        <v>199</v>
      </c>
      <c r="AE99">
        <v>31</v>
      </c>
      <c r="AF99">
        <v>44</v>
      </c>
      <c r="AG99">
        <v>255</v>
      </c>
      <c r="AH99">
        <v>0</v>
      </c>
      <c r="AI99">
        <v>0</v>
      </c>
      <c r="AJ99">
        <v>0</v>
      </c>
      <c r="AK99">
        <v>12.6</v>
      </c>
      <c r="AL99">
        <v>0</v>
      </c>
      <c r="AM99">
        <v>0</v>
      </c>
      <c r="AN99" t="s">
        <v>197</v>
      </c>
      <c r="AO99">
        <v>100</v>
      </c>
      <c r="AP99" t="s">
        <v>197</v>
      </c>
      <c r="AQ99" t="s">
        <v>200</v>
      </c>
      <c r="AR99">
        <v>1</v>
      </c>
      <c r="AS99">
        <v>0</v>
      </c>
      <c r="AT99" t="s">
        <v>404</v>
      </c>
      <c r="AU99" t="s">
        <v>404</v>
      </c>
      <c r="AV99" t="s">
        <v>202</v>
      </c>
      <c r="AW99" t="s">
        <v>203</v>
      </c>
      <c r="AX99" t="s">
        <v>203</v>
      </c>
      <c r="AY99" t="s">
        <v>203</v>
      </c>
      <c r="AZ99" t="s">
        <v>203</v>
      </c>
      <c r="BA99" t="s">
        <v>203</v>
      </c>
      <c r="BB99" t="s">
        <v>203</v>
      </c>
      <c r="BC99" t="s">
        <v>203</v>
      </c>
      <c r="BD99" t="s">
        <v>203</v>
      </c>
      <c r="BE99" t="s">
        <v>203</v>
      </c>
      <c r="BF99">
        <v>18.43</v>
      </c>
      <c r="BG99">
        <v>0.2</v>
      </c>
      <c r="BH99">
        <v>50</v>
      </c>
      <c r="BI99">
        <v>0</v>
      </c>
      <c r="BJ99" t="s">
        <v>198</v>
      </c>
      <c r="BK99" t="s">
        <v>198</v>
      </c>
      <c r="BL99" t="s">
        <v>198</v>
      </c>
      <c r="BM99" t="s">
        <v>198</v>
      </c>
      <c r="BN99" t="s">
        <v>198</v>
      </c>
      <c r="BO99" t="s">
        <v>198</v>
      </c>
      <c r="BP99" t="s">
        <v>198</v>
      </c>
      <c r="BQ99" t="s">
        <v>198</v>
      </c>
      <c r="BR99" t="s">
        <v>198</v>
      </c>
      <c r="BS99" t="s">
        <v>198</v>
      </c>
      <c r="BT99" t="s">
        <v>198</v>
      </c>
      <c r="BU99" t="s">
        <v>198</v>
      </c>
      <c r="BV99" t="s">
        <v>198</v>
      </c>
      <c r="BW99" t="s">
        <v>198</v>
      </c>
      <c r="BX99" t="s">
        <v>198</v>
      </c>
      <c r="BY99" t="s">
        <v>198</v>
      </c>
      <c r="BZ99" t="s">
        <v>198</v>
      </c>
      <c r="CA99" t="s">
        <v>198</v>
      </c>
      <c r="CB99" t="s">
        <v>204</v>
      </c>
      <c r="CC99" t="s">
        <v>204</v>
      </c>
      <c r="CD99" t="s">
        <v>204</v>
      </c>
      <c r="CE99" t="s">
        <v>204</v>
      </c>
      <c r="CF99" t="s">
        <v>204</v>
      </c>
      <c r="CG99" t="s">
        <v>204</v>
      </c>
      <c r="CH99" t="s">
        <v>204</v>
      </c>
      <c r="CI99" t="s">
        <v>204</v>
      </c>
      <c r="CJ99" t="s">
        <v>204</v>
      </c>
      <c r="CK99" t="s">
        <v>204</v>
      </c>
      <c r="CL99" t="s">
        <v>204</v>
      </c>
      <c r="CM99" t="s">
        <v>204</v>
      </c>
      <c r="CN99" t="s">
        <v>203</v>
      </c>
      <c r="CO99" t="s">
        <v>203</v>
      </c>
      <c r="CP99" t="s">
        <v>203</v>
      </c>
      <c r="CQ99" t="s">
        <v>203</v>
      </c>
      <c r="CR99" t="s">
        <v>203</v>
      </c>
      <c r="CS99" t="s">
        <v>203</v>
      </c>
      <c r="CT99" t="s">
        <v>203</v>
      </c>
      <c r="CU99" t="s">
        <v>203</v>
      </c>
      <c r="CV99">
        <v>0</v>
      </c>
      <c r="CW99">
        <v>0</v>
      </c>
      <c r="CX99" t="s">
        <v>198</v>
      </c>
      <c r="CY99" t="s">
        <v>198</v>
      </c>
      <c r="CZ99" t="s">
        <v>198</v>
      </c>
      <c r="DA99" t="s">
        <v>198</v>
      </c>
      <c r="DB99" t="s">
        <v>198</v>
      </c>
      <c r="DC99">
        <v>0</v>
      </c>
      <c r="DD99">
        <v>0</v>
      </c>
      <c r="DE99">
        <v>0</v>
      </c>
      <c r="DF99">
        <v>0</v>
      </c>
      <c r="DG99">
        <v>-35.3631166</v>
      </c>
      <c r="DH99">
        <v>149.1639735</v>
      </c>
      <c r="DI99" t="s">
        <v>360</v>
      </c>
      <c r="DJ99">
        <v>1.2</v>
      </c>
      <c r="DK99">
        <v>2</v>
      </c>
      <c r="DL99">
        <v>356</v>
      </c>
      <c r="DM99">
        <v>0</v>
      </c>
      <c r="DN99">
        <v>6</v>
      </c>
      <c r="DO99">
        <v>10</v>
      </c>
      <c r="DP99">
        <v>0</v>
      </c>
      <c r="DQ99">
        <v>255</v>
      </c>
      <c r="DR99">
        <v>255</v>
      </c>
      <c r="DS99">
        <v>255</v>
      </c>
      <c r="DT99">
        <v>255</v>
      </c>
      <c r="DU99">
        <v>255</v>
      </c>
      <c r="DV99">
        <v>255</v>
      </c>
      <c r="DW99">
        <v>255</v>
      </c>
      <c r="DX99" t="s">
        <v>206</v>
      </c>
      <c r="DY99" t="s">
        <v>206</v>
      </c>
      <c r="DZ99" t="s">
        <v>207</v>
      </c>
      <c r="EA99" t="s">
        <v>198</v>
      </c>
      <c r="EB99" t="s">
        <v>198</v>
      </c>
      <c r="EC99" t="s">
        <v>198</v>
      </c>
      <c r="ED99">
        <v>0</v>
      </c>
      <c r="EE99">
        <v>0</v>
      </c>
      <c r="EF99">
        <v>0</v>
      </c>
      <c r="EG99">
        <v>0</v>
      </c>
      <c r="EH99">
        <v>255</v>
      </c>
      <c r="EI99">
        <v>255</v>
      </c>
      <c r="EJ99">
        <v>255</v>
      </c>
      <c r="EK99">
        <v>255</v>
      </c>
      <c r="EL99">
        <v>255</v>
      </c>
      <c r="EM99">
        <v>255</v>
      </c>
      <c r="EN99">
        <v>255</v>
      </c>
      <c r="EO99">
        <v>255</v>
      </c>
      <c r="EP99">
        <v>255</v>
      </c>
      <c r="EQ99">
        <v>255</v>
      </c>
      <c r="ER99" t="s">
        <v>208</v>
      </c>
      <c r="ES99" t="s">
        <v>209</v>
      </c>
      <c r="ET99" t="s">
        <v>209</v>
      </c>
      <c r="EU99">
        <v>0</v>
      </c>
      <c r="EV99">
        <v>16.2</v>
      </c>
      <c r="EW99">
        <v>-114.7</v>
      </c>
      <c r="EX99">
        <v>-21.2</v>
      </c>
      <c r="EY99">
        <v>0</v>
      </c>
      <c r="EZ99">
        <v>0</v>
      </c>
      <c r="FA99">
        <v>1.5</v>
      </c>
      <c r="FB99" t="s">
        <v>198</v>
      </c>
      <c r="FC99" t="s">
        <v>198</v>
      </c>
      <c r="FD99" t="s">
        <v>198</v>
      </c>
      <c r="FE99" t="s">
        <v>198</v>
      </c>
      <c r="FF99" t="s">
        <v>198</v>
      </c>
      <c r="FG99" t="s">
        <v>198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203</v>
      </c>
      <c r="FP99" t="s">
        <v>203</v>
      </c>
      <c r="FQ99" t="s">
        <v>203</v>
      </c>
      <c r="FR99" t="s">
        <v>203</v>
      </c>
      <c r="FS99" t="s">
        <v>203</v>
      </c>
      <c r="FT99" t="s">
        <v>203</v>
      </c>
      <c r="FU99" t="s">
        <v>198</v>
      </c>
      <c r="FV99" t="s">
        <v>198</v>
      </c>
      <c r="FW99" t="s">
        <v>198</v>
      </c>
      <c r="FX99" t="s">
        <v>198</v>
      </c>
      <c r="FY99" t="s">
        <v>198</v>
      </c>
      <c r="FZ99" t="s">
        <v>198</v>
      </c>
      <c r="GA99">
        <v>31.06</v>
      </c>
      <c r="GB99">
        <v>31.06</v>
      </c>
      <c r="GC99" t="s">
        <v>203</v>
      </c>
      <c r="GD99">
        <v>0</v>
      </c>
      <c r="GE99">
        <v>504</v>
      </c>
      <c r="GF99">
        <v>0</v>
      </c>
      <c r="GG99">
        <v>0.1</v>
      </c>
      <c r="GH99">
        <v>0.7</v>
      </c>
      <c r="GI99">
        <v>0</v>
      </c>
      <c r="GJ99">
        <v>0</v>
      </c>
      <c r="GK99">
        <v>0</v>
      </c>
      <c r="GL99" t="s">
        <v>198</v>
      </c>
      <c r="GM99" t="s">
        <v>198</v>
      </c>
      <c r="GN99" t="s">
        <v>198</v>
      </c>
    </row>
    <row r="100" spans="1:196">
      <c r="A100" s="19">
        <v>46316.90503869213</v>
      </c>
      <c r="B100">
        <v>0</v>
      </c>
      <c r="C100">
        <v>0</v>
      </c>
      <c r="D100">
        <v>278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-1.5</v>
      </c>
      <c r="L100">
        <v>19.5</v>
      </c>
      <c r="M100">
        <v>603.7</v>
      </c>
      <c r="N100">
        <v>19.4</v>
      </c>
      <c r="O100">
        <v>19.49</v>
      </c>
      <c r="P100">
        <v>19.491</v>
      </c>
      <c r="Q100">
        <v>0</v>
      </c>
      <c r="R100">
        <v>0</v>
      </c>
      <c r="S100">
        <v>115.6</v>
      </c>
      <c r="T100" t="s">
        <v>405</v>
      </c>
      <c r="U100">
        <v>115.7</v>
      </c>
      <c r="V100">
        <v>74373.5</v>
      </c>
      <c r="W100">
        <v>3</v>
      </c>
      <c r="X100" t="s">
        <v>197</v>
      </c>
      <c r="Y100">
        <v>0</v>
      </c>
      <c r="Z100">
        <v>98</v>
      </c>
      <c r="AA100">
        <v>278</v>
      </c>
      <c r="AB100" t="s">
        <v>197</v>
      </c>
      <c r="AC100" t="s">
        <v>198</v>
      </c>
      <c r="AD100" t="s">
        <v>199</v>
      </c>
      <c r="AE100">
        <v>32</v>
      </c>
      <c r="AF100">
        <v>44</v>
      </c>
      <c r="AG100">
        <v>255</v>
      </c>
      <c r="AH100">
        <v>0</v>
      </c>
      <c r="AI100">
        <v>0</v>
      </c>
      <c r="AJ100">
        <v>0</v>
      </c>
      <c r="AK100">
        <v>12.6</v>
      </c>
      <c r="AL100">
        <v>0</v>
      </c>
      <c r="AM100">
        <v>0</v>
      </c>
      <c r="AN100" t="s">
        <v>197</v>
      </c>
      <c r="AO100">
        <v>100</v>
      </c>
      <c r="AP100" t="s">
        <v>197</v>
      </c>
      <c r="AQ100" t="s">
        <v>200</v>
      </c>
      <c r="AR100">
        <v>1</v>
      </c>
      <c r="AS100">
        <v>0</v>
      </c>
      <c r="AT100" t="s">
        <v>406</v>
      </c>
      <c r="AU100" t="s">
        <v>406</v>
      </c>
      <c r="AV100" t="s">
        <v>202</v>
      </c>
      <c r="AW100" t="s">
        <v>203</v>
      </c>
      <c r="AX100" t="s">
        <v>203</v>
      </c>
      <c r="AY100" t="s">
        <v>203</v>
      </c>
      <c r="AZ100" t="s">
        <v>203</v>
      </c>
      <c r="BA100" t="s">
        <v>203</v>
      </c>
      <c r="BB100" t="s">
        <v>203</v>
      </c>
      <c r="BC100" t="s">
        <v>203</v>
      </c>
      <c r="BD100" t="s">
        <v>203</v>
      </c>
      <c r="BE100" t="s">
        <v>203</v>
      </c>
      <c r="BF100">
        <v>16.93</v>
      </c>
      <c r="BG100">
        <v>0.2</v>
      </c>
      <c r="BH100">
        <v>50</v>
      </c>
      <c r="BI100">
        <v>0</v>
      </c>
      <c r="BJ100" t="s">
        <v>198</v>
      </c>
      <c r="BK100" t="s">
        <v>198</v>
      </c>
      <c r="BL100" t="s">
        <v>198</v>
      </c>
      <c r="BM100" t="s">
        <v>198</v>
      </c>
      <c r="BN100" t="s">
        <v>198</v>
      </c>
      <c r="BO100" t="s">
        <v>198</v>
      </c>
      <c r="BP100" t="s">
        <v>198</v>
      </c>
      <c r="BQ100" t="s">
        <v>198</v>
      </c>
      <c r="BR100" t="s">
        <v>198</v>
      </c>
      <c r="BS100" t="s">
        <v>198</v>
      </c>
      <c r="BT100" t="s">
        <v>198</v>
      </c>
      <c r="BU100" t="s">
        <v>198</v>
      </c>
      <c r="BV100" t="s">
        <v>198</v>
      </c>
      <c r="BW100" t="s">
        <v>198</v>
      </c>
      <c r="BX100" t="s">
        <v>198</v>
      </c>
      <c r="BY100" t="s">
        <v>198</v>
      </c>
      <c r="BZ100" t="s">
        <v>198</v>
      </c>
      <c r="CA100" t="s">
        <v>198</v>
      </c>
      <c r="CB100" t="s">
        <v>204</v>
      </c>
      <c r="CC100" t="s">
        <v>204</v>
      </c>
      <c r="CD100" t="s">
        <v>204</v>
      </c>
      <c r="CE100" t="s">
        <v>204</v>
      </c>
      <c r="CF100" t="s">
        <v>204</v>
      </c>
      <c r="CG100" t="s">
        <v>204</v>
      </c>
      <c r="CH100" t="s">
        <v>204</v>
      </c>
      <c r="CI100" t="s">
        <v>204</v>
      </c>
      <c r="CJ100" t="s">
        <v>204</v>
      </c>
      <c r="CK100" t="s">
        <v>204</v>
      </c>
      <c r="CL100" t="s">
        <v>204</v>
      </c>
      <c r="CM100" t="s">
        <v>204</v>
      </c>
      <c r="CN100" t="s">
        <v>203</v>
      </c>
      <c r="CO100" t="s">
        <v>203</v>
      </c>
      <c r="CP100" t="s">
        <v>203</v>
      </c>
      <c r="CQ100" t="s">
        <v>203</v>
      </c>
      <c r="CR100" t="s">
        <v>203</v>
      </c>
      <c r="CS100" t="s">
        <v>203</v>
      </c>
      <c r="CT100" t="s">
        <v>203</v>
      </c>
      <c r="CU100" t="s">
        <v>203</v>
      </c>
      <c r="CV100">
        <v>0</v>
      </c>
      <c r="CW100">
        <v>0</v>
      </c>
      <c r="CX100" t="s">
        <v>198</v>
      </c>
      <c r="CY100" t="s">
        <v>198</v>
      </c>
      <c r="CZ100" t="s">
        <v>198</v>
      </c>
      <c r="DA100" t="s">
        <v>198</v>
      </c>
      <c r="DB100" t="s">
        <v>198</v>
      </c>
      <c r="DC100">
        <v>0</v>
      </c>
      <c r="DD100">
        <v>0</v>
      </c>
      <c r="DE100">
        <v>0</v>
      </c>
      <c r="DF100">
        <v>0</v>
      </c>
      <c r="DG100">
        <v>-35.3631166</v>
      </c>
      <c r="DH100">
        <v>149.1639735</v>
      </c>
      <c r="DI100" t="s">
        <v>360</v>
      </c>
      <c r="DJ100">
        <v>1.2</v>
      </c>
      <c r="DK100">
        <v>2</v>
      </c>
      <c r="DL100">
        <v>350.3</v>
      </c>
      <c r="DM100">
        <v>0</v>
      </c>
      <c r="DN100">
        <v>6</v>
      </c>
      <c r="DO100">
        <v>10</v>
      </c>
      <c r="DP100">
        <v>0</v>
      </c>
      <c r="DQ100">
        <v>255</v>
      </c>
      <c r="DR100">
        <v>255</v>
      </c>
      <c r="DS100">
        <v>255</v>
      </c>
      <c r="DT100">
        <v>255</v>
      </c>
      <c r="DU100">
        <v>255</v>
      </c>
      <c r="DV100">
        <v>255</v>
      </c>
      <c r="DW100">
        <v>255</v>
      </c>
      <c r="DX100" t="s">
        <v>206</v>
      </c>
      <c r="DY100" t="s">
        <v>206</v>
      </c>
      <c r="DZ100" t="s">
        <v>207</v>
      </c>
      <c r="EA100" t="s">
        <v>198</v>
      </c>
      <c r="EB100" t="s">
        <v>198</v>
      </c>
      <c r="EC100" t="s">
        <v>198</v>
      </c>
      <c r="ED100">
        <v>0</v>
      </c>
      <c r="EE100">
        <v>0</v>
      </c>
      <c r="EF100">
        <v>0</v>
      </c>
      <c r="EG100">
        <v>0</v>
      </c>
      <c r="EH100">
        <v>255</v>
      </c>
      <c r="EI100">
        <v>255</v>
      </c>
      <c r="EJ100">
        <v>255</v>
      </c>
      <c r="EK100">
        <v>255</v>
      </c>
      <c r="EL100">
        <v>255</v>
      </c>
      <c r="EM100">
        <v>255</v>
      </c>
      <c r="EN100">
        <v>255</v>
      </c>
      <c r="EO100">
        <v>255</v>
      </c>
      <c r="EP100">
        <v>255</v>
      </c>
      <c r="EQ100">
        <v>255</v>
      </c>
      <c r="ER100" t="s">
        <v>208</v>
      </c>
      <c r="ES100" t="s">
        <v>209</v>
      </c>
      <c r="ET100" t="s">
        <v>209</v>
      </c>
      <c r="EU100">
        <v>0</v>
      </c>
      <c r="EV100">
        <v>16.2</v>
      </c>
      <c r="EW100">
        <v>-114.7</v>
      </c>
      <c r="EX100">
        <v>-19.7</v>
      </c>
      <c r="EY100">
        <v>0</v>
      </c>
      <c r="EZ100">
        <v>0</v>
      </c>
      <c r="FA100">
        <v>1.5</v>
      </c>
      <c r="FB100" t="s">
        <v>198</v>
      </c>
      <c r="FC100" t="s">
        <v>198</v>
      </c>
      <c r="FD100" t="s">
        <v>198</v>
      </c>
      <c r="FE100" t="s">
        <v>198</v>
      </c>
      <c r="FF100" t="s">
        <v>198</v>
      </c>
      <c r="FG100" t="s">
        <v>198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 t="s">
        <v>203</v>
      </c>
      <c r="FP100" t="s">
        <v>203</v>
      </c>
      <c r="FQ100" t="s">
        <v>203</v>
      </c>
      <c r="FR100" t="s">
        <v>203</v>
      </c>
      <c r="FS100" t="s">
        <v>203</v>
      </c>
      <c r="FT100" t="s">
        <v>203</v>
      </c>
      <c r="FU100" t="s">
        <v>198</v>
      </c>
      <c r="FV100" t="s">
        <v>198</v>
      </c>
      <c r="FW100" t="s">
        <v>198</v>
      </c>
      <c r="FX100" t="s">
        <v>198</v>
      </c>
      <c r="FY100" t="s">
        <v>198</v>
      </c>
      <c r="FZ100" t="s">
        <v>198</v>
      </c>
      <c r="GA100">
        <v>31.07</v>
      </c>
      <c r="GB100">
        <v>31.07</v>
      </c>
      <c r="GC100" t="s">
        <v>203</v>
      </c>
      <c r="GD100">
        <v>0</v>
      </c>
      <c r="GE100">
        <v>504</v>
      </c>
      <c r="GF100">
        <v>0</v>
      </c>
      <c r="GG100">
        <v>0.1</v>
      </c>
      <c r="GH100">
        <v>0.7</v>
      </c>
      <c r="GI100">
        <v>0</v>
      </c>
      <c r="GJ100">
        <v>0</v>
      </c>
      <c r="GK100">
        <v>0</v>
      </c>
      <c r="GL100" t="s">
        <v>198</v>
      </c>
      <c r="GM100" t="s">
        <v>198</v>
      </c>
      <c r="GN100" t="s">
        <v>198</v>
      </c>
    </row>
    <row r="101" spans="1:196">
      <c r="A101" s="19">
        <v>46316.90505026621</v>
      </c>
      <c r="B101">
        <v>-0.5</v>
      </c>
      <c r="C101">
        <v>0</v>
      </c>
      <c r="D101">
        <v>278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-1.5</v>
      </c>
      <c r="L101">
        <v>18</v>
      </c>
      <c r="M101">
        <v>602.2</v>
      </c>
      <c r="N101">
        <v>17.2</v>
      </c>
      <c r="O101">
        <v>17.99</v>
      </c>
      <c r="P101">
        <v>17.991</v>
      </c>
      <c r="Q101">
        <v>0</v>
      </c>
      <c r="R101">
        <v>0</v>
      </c>
      <c r="S101">
        <v>115.6</v>
      </c>
      <c r="T101" t="s">
        <v>407</v>
      </c>
      <c r="U101">
        <v>115.7</v>
      </c>
      <c r="V101">
        <v>230886.4</v>
      </c>
      <c r="W101">
        <v>3</v>
      </c>
      <c r="X101" t="s">
        <v>197</v>
      </c>
      <c r="Y101">
        <v>0</v>
      </c>
      <c r="Z101">
        <v>98</v>
      </c>
      <c r="AA101">
        <v>278</v>
      </c>
      <c r="AB101" t="s">
        <v>197</v>
      </c>
      <c r="AC101" t="s">
        <v>198</v>
      </c>
      <c r="AD101" t="s">
        <v>199</v>
      </c>
      <c r="AE101">
        <v>31</v>
      </c>
      <c r="AF101">
        <v>44</v>
      </c>
      <c r="AG101">
        <v>255</v>
      </c>
      <c r="AH101">
        <v>0</v>
      </c>
      <c r="AI101">
        <v>0</v>
      </c>
      <c r="AJ101">
        <v>0</v>
      </c>
      <c r="AK101">
        <v>12.6</v>
      </c>
      <c r="AL101">
        <v>0</v>
      </c>
      <c r="AM101">
        <v>0</v>
      </c>
      <c r="AN101" t="s">
        <v>197</v>
      </c>
      <c r="AO101">
        <v>100</v>
      </c>
      <c r="AP101" t="s">
        <v>197</v>
      </c>
      <c r="AQ101" t="s">
        <v>200</v>
      </c>
      <c r="AR101">
        <v>1</v>
      </c>
      <c r="AS101">
        <v>0</v>
      </c>
      <c r="AT101" t="s">
        <v>408</v>
      </c>
      <c r="AU101" t="s">
        <v>408</v>
      </c>
      <c r="AV101" t="s">
        <v>202</v>
      </c>
      <c r="AW101" t="s">
        <v>203</v>
      </c>
      <c r="AX101" t="s">
        <v>203</v>
      </c>
      <c r="AY101" t="s">
        <v>203</v>
      </c>
      <c r="AZ101" t="s">
        <v>203</v>
      </c>
      <c r="BA101" t="s">
        <v>203</v>
      </c>
      <c r="BB101" t="s">
        <v>203</v>
      </c>
      <c r="BC101" t="s">
        <v>203</v>
      </c>
      <c r="BD101" t="s">
        <v>203</v>
      </c>
      <c r="BE101" t="s">
        <v>203</v>
      </c>
      <c r="BF101">
        <v>15.43</v>
      </c>
      <c r="BG101">
        <v>0.2</v>
      </c>
      <c r="BH101">
        <v>50</v>
      </c>
      <c r="BI101">
        <v>0</v>
      </c>
      <c r="BJ101" t="s">
        <v>198</v>
      </c>
      <c r="BK101" t="s">
        <v>198</v>
      </c>
      <c r="BL101" t="s">
        <v>198</v>
      </c>
      <c r="BM101" t="s">
        <v>198</v>
      </c>
      <c r="BN101" t="s">
        <v>198</v>
      </c>
      <c r="BO101" t="s">
        <v>198</v>
      </c>
      <c r="BP101" t="s">
        <v>198</v>
      </c>
      <c r="BQ101" t="s">
        <v>198</v>
      </c>
      <c r="BR101" t="s">
        <v>198</v>
      </c>
      <c r="BS101" t="s">
        <v>198</v>
      </c>
      <c r="BT101" t="s">
        <v>198</v>
      </c>
      <c r="BU101" t="s">
        <v>198</v>
      </c>
      <c r="BV101" t="s">
        <v>198</v>
      </c>
      <c r="BW101" t="s">
        <v>198</v>
      </c>
      <c r="BX101" t="s">
        <v>198</v>
      </c>
      <c r="BY101" t="s">
        <v>198</v>
      </c>
      <c r="BZ101" t="s">
        <v>198</v>
      </c>
      <c r="CA101" t="s">
        <v>198</v>
      </c>
      <c r="CB101" t="s">
        <v>204</v>
      </c>
      <c r="CC101" t="s">
        <v>204</v>
      </c>
      <c r="CD101" t="s">
        <v>204</v>
      </c>
      <c r="CE101" t="s">
        <v>204</v>
      </c>
      <c r="CF101" t="s">
        <v>204</v>
      </c>
      <c r="CG101" t="s">
        <v>204</v>
      </c>
      <c r="CH101" t="s">
        <v>204</v>
      </c>
      <c r="CI101" t="s">
        <v>204</v>
      </c>
      <c r="CJ101" t="s">
        <v>204</v>
      </c>
      <c r="CK101" t="s">
        <v>204</v>
      </c>
      <c r="CL101" t="s">
        <v>204</v>
      </c>
      <c r="CM101" t="s">
        <v>204</v>
      </c>
      <c r="CN101" t="s">
        <v>203</v>
      </c>
      <c r="CO101" t="s">
        <v>203</v>
      </c>
      <c r="CP101" t="s">
        <v>203</v>
      </c>
      <c r="CQ101" t="s">
        <v>203</v>
      </c>
      <c r="CR101" t="s">
        <v>203</v>
      </c>
      <c r="CS101" t="s">
        <v>203</v>
      </c>
      <c r="CT101" t="s">
        <v>203</v>
      </c>
      <c r="CU101" t="s">
        <v>203</v>
      </c>
      <c r="CV101">
        <v>0</v>
      </c>
      <c r="CW101">
        <v>0</v>
      </c>
      <c r="CX101" t="s">
        <v>198</v>
      </c>
      <c r="CY101" t="s">
        <v>198</v>
      </c>
      <c r="CZ101" t="s">
        <v>198</v>
      </c>
      <c r="DA101" t="s">
        <v>198</v>
      </c>
      <c r="DB101" t="s">
        <v>198</v>
      </c>
      <c r="DC101">
        <v>0</v>
      </c>
      <c r="DD101">
        <v>0</v>
      </c>
      <c r="DE101">
        <v>0</v>
      </c>
      <c r="DF101">
        <v>0</v>
      </c>
      <c r="DG101">
        <v>-35.3631166</v>
      </c>
      <c r="DH101">
        <v>149.1639735</v>
      </c>
      <c r="DI101" t="s">
        <v>360</v>
      </c>
      <c r="DJ101">
        <v>1.2</v>
      </c>
      <c r="DK101">
        <v>2</v>
      </c>
      <c r="DL101">
        <v>177.9</v>
      </c>
      <c r="DM101">
        <v>0</v>
      </c>
      <c r="DN101">
        <v>6</v>
      </c>
      <c r="DO101">
        <v>10</v>
      </c>
      <c r="DP101">
        <v>0</v>
      </c>
      <c r="DQ101">
        <v>255</v>
      </c>
      <c r="DR101">
        <v>255</v>
      </c>
      <c r="DS101">
        <v>255</v>
      </c>
      <c r="DT101">
        <v>255</v>
      </c>
      <c r="DU101">
        <v>255</v>
      </c>
      <c r="DV101">
        <v>255</v>
      </c>
      <c r="DW101">
        <v>255</v>
      </c>
      <c r="DX101" t="s">
        <v>206</v>
      </c>
      <c r="DY101" t="s">
        <v>206</v>
      </c>
      <c r="DZ101" t="s">
        <v>207</v>
      </c>
      <c r="EA101" t="s">
        <v>198</v>
      </c>
      <c r="EB101" t="s">
        <v>198</v>
      </c>
      <c r="EC101" t="s">
        <v>198</v>
      </c>
      <c r="ED101">
        <v>0</v>
      </c>
      <c r="EE101">
        <v>0</v>
      </c>
      <c r="EF101">
        <v>0</v>
      </c>
      <c r="EG101">
        <v>0</v>
      </c>
      <c r="EH101">
        <v>255</v>
      </c>
      <c r="EI101">
        <v>255</v>
      </c>
      <c r="EJ101">
        <v>255</v>
      </c>
      <c r="EK101">
        <v>255</v>
      </c>
      <c r="EL101">
        <v>255</v>
      </c>
      <c r="EM101">
        <v>255</v>
      </c>
      <c r="EN101">
        <v>255</v>
      </c>
      <c r="EO101">
        <v>255</v>
      </c>
      <c r="EP101">
        <v>255</v>
      </c>
      <c r="EQ101">
        <v>255</v>
      </c>
      <c r="ER101" t="s">
        <v>208</v>
      </c>
      <c r="ES101" t="s">
        <v>209</v>
      </c>
      <c r="ET101" t="s">
        <v>209</v>
      </c>
      <c r="EU101">
        <v>0</v>
      </c>
      <c r="EV101">
        <v>16.2</v>
      </c>
      <c r="EW101">
        <v>-114.7</v>
      </c>
      <c r="EX101">
        <v>-18.2</v>
      </c>
      <c r="EY101">
        <v>0</v>
      </c>
      <c r="EZ101">
        <v>0</v>
      </c>
      <c r="FA101">
        <v>1.5</v>
      </c>
      <c r="FB101" t="s">
        <v>198</v>
      </c>
      <c r="FC101" t="s">
        <v>198</v>
      </c>
      <c r="FD101" t="s">
        <v>198</v>
      </c>
      <c r="FE101" t="s">
        <v>198</v>
      </c>
      <c r="FF101" t="s">
        <v>198</v>
      </c>
      <c r="FG101" t="s">
        <v>198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 t="s">
        <v>203</v>
      </c>
      <c r="FP101" t="s">
        <v>203</v>
      </c>
      <c r="FQ101" t="s">
        <v>203</v>
      </c>
      <c r="FR101" t="s">
        <v>203</v>
      </c>
      <c r="FS101" t="s">
        <v>203</v>
      </c>
      <c r="FT101" t="s">
        <v>203</v>
      </c>
      <c r="FU101" t="s">
        <v>198</v>
      </c>
      <c r="FV101" t="s">
        <v>198</v>
      </c>
      <c r="FW101" t="s">
        <v>198</v>
      </c>
      <c r="FX101" t="s">
        <v>198</v>
      </c>
      <c r="FY101" t="s">
        <v>198</v>
      </c>
      <c r="FZ101" t="s">
        <v>198</v>
      </c>
      <c r="GA101">
        <v>31.08</v>
      </c>
      <c r="GB101">
        <v>31.08</v>
      </c>
      <c r="GC101" t="s">
        <v>203</v>
      </c>
      <c r="GD101">
        <v>0</v>
      </c>
      <c r="GE101">
        <v>504</v>
      </c>
      <c r="GF101">
        <v>0</v>
      </c>
      <c r="GG101">
        <v>0.1</v>
      </c>
      <c r="GH101">
        <v>0.7</v>
      </c>
      <c r="GI101">
        <v>0</v>
      </c>
      <c r="GJ101">
        <v>0</v>
      </c>
      <c r="GK101">
        <v>0</v>
      </c>
      <c r="GL101" t="s">
        <v>198</v>
      </c>
      <c r="GM101" t="s">
        <v>198</v>
      </c>
      <c r="GN101" t="s">
        <v>198</v>
      </c>
    </row>
    <row r="102" spans="1:196">
      <c r="A102" s="19">
        <v>46316.90506184028</v>
      </c>
      <c r="B102">
        <v>-0.1</v>
      </c>
      <c r="C102">
        <v>0</v>
      </c>
      <c r="D102">
        <v>278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-1.5</v>
      </c>
      <c r="L102">
        <v>16.5</v>
      </c>
      <c r="M102">
        <v>600.7</v>
      </c>
      <c r="N102">
        <v>15.7</v>
      </c>
      <c r="O102">
        <v>16.49</v>
      </c>
      <c r="P102">
        <v>16.491</v>
      </c>
      <c r="Q102">
        <v>0</v>
      </c>
      <c r="R102">
        <v>0</v>
      </c>
      <c r="S102">
        <v>115.6</v>
      </c>
      <c r="T102" t="s">
        <v>409</v>
      </c>
      <c r="U102">
        <v>115.7</v>
      </c>
      <c r="V102">
        <v>66640.3</v>
      </c>
      <c r="W102">
        <v>3</v>
      </c>
      <c r="X102" t="s">
        <v>197</v>
      </c>
      <c r="Y102">
        <v>0</v>
      </c>
      <c r="Z102">
        <v>98</v>
      </c>
      <c r="AA102">
        <v>278</v>
      </c>
      <c r="AB102" t="s">
        <v>197</v>
      </c>
      <c r="AC102" t="s">
        <v>198</v>
      </c>
      <c r="AD102" t="s">
        <v>199</v>
      </c>
      <c r="AE102">
        <v>32</v>
      </c>
      <c r="AF102">
        <v>44</v>
      </c>
      <c r="AG102">
        <v>255</v>
      </c>
      <c r="AH102">
        <v>0</v>
      </c>
      <c r="AI102">
        <v>0</v>
      </c>
      <c r="AJ102">
        <v>0</v>
      </c>
      <c r="AK102">
        <v>12.6</v>
      </c>
      <c r="AL102">
        <v>0</v>
      </c>
      <c r="AM102">
        <v>0</v>
      </c>
      <c r="AN102" t="s">
        <v>197</v>
      </c>
      <c r="AO102">
        <v>100</v>
      </c>
      <c r="AP102" t="s">
        <v>197</v>
      </c>
      <c r="AQ102" t="s">
        <v>200</v>
      </c>
      <c r="AR102">
        <v>1</v>
      </c>
      <c r="AS102">
        <v>0</v>
      </c>
      <c r="AT102" t="s">
        <v>410</v>
      </c>
      <c r="AU102" t="s">
        <v>410</v>
      </c>
      <c r="AV102" t="s">
        <v>202</v>
      </c>
      <c r="AW102" t="s">
        <v>203</v>
      </c>
      <c r="AX102" t="s">
        <v>203</v>
      </c>
      <c r="AY102" t="s">
        <v>203</v>
      </c>
      <c r="AZ102" t="s">
        <v>203</v>
      </c>
      <c r="BA102" t="s">
        <v>203</v>
      </c>
      <c r="BB102" t="s">
        <v>203</v>
      </c>
      <c r="BC102" t="s">
        <v>203</v>
      </c>
      <c r="BD102" t="s">
        <v>203</v>
      </c>
      <c r="BE102" t="s">
        <v>203</v>
      </c>
      <c r="BF102">
        <v>13.93</v>
      </c>
      <c r="BG102">
        <v>0.2</v>
      </c>
      <c r="BH102">
        <v>50</v>
      </c>
      <c r="BI102">
        <v>0</v>
      </c>
      <c r="BJ102" t="s">
        <v>198</v>
      </c>
      <c r="BK102" t="s">
        <v>198</v>
      </c>
      <c r="BL102" t="s">
        <v>198</v>
      </c>
      <c r="BM102" t="s">
        <v>198</v>
      </c>
      <c r="BN102" t="s">
        <v>198</v>
      </c>
      <c r="BO102" t="s">
        <v>198</v>
      </c>
      <c r="BP102" t="s">
        <v>198</v>
      </c>
      <c r="BQ102" t="s">
        <v>198</v>
      </c>
      <c r="BR102" t="s">
        <v>198</v>
      </c>
      <c r="BS102" t="s">
        <v>198</v>
      </c>
      <c r="BT102" t="s">
        <v>198</v>
      </c>
      <c r="BU102" t="s">
        <v>198</v>
      </c>
      <c r="BV102" t="s">
        <v>198</v>
      </c>
      <c r="BW102" t="s">
        <v>198</v>
      </c>
      <c r="BX102" t="s">
        <v>198</v>
      </c>
      <c r="BY102" t="s">
        <v>198</v>
      </c>
      <c r="BZ102" t="s">
        <v>198</v>
      </c>
      <c r="CA102" t="s">
        <v>198</v>
      </c>
      <c r="CB102" t="s">
        <v>204</v>
      </c>
      <c r="CC102" t="s">
        <v>204</v>
      </c>
      <c r="CD102" t="s">
        <v>204</v>
      </c>
      <c r="CE102" t="s">
        <v>204</v>
      </c>
      <c r="CF102" t="s">
        <v>204</v>
      </c>
      <c r="CG102" t="s">
        <v>204</v>
      </c>
      <c r="CH102" t="s">
        <v>204</v>
      </c>
      <c r="CI102" t="s">
        <v>204</v>
      </c>
      <c r="CJ102" t="s">
        <v>204</v>
      </c>
      <c r="CK102" t="s">
        <v>204</v>
      </c>
      <c r="CL102" t="s">
        <v>204</v>
      </c>
      <c r="CM102" t="s">
        <v>204</v>
      </c>
      <c r="CN102" t="s">
        <v>203</v>
      </c>
      <c r="CO102" t="s">
        <v>203</v>
      </c>
      <c r="CP102" t="s">
        <v>203</v>
      </c>
      <c r="CQ102" t="s">
        <v>203</v>
      </c>
      <c r="CR102" t="s">
        <v>203</v>
      </c>
      <c r="CS102" t="s">
        <v>203</v>
      </c>
      <c r="CT102" t="s">
        <v>203</v>
      </c>
      <c r="CU102" t="s">
        <v>203</v>
      </c>
      <c r="CV102">
        <v>0</v>
      </c>
      <c r="CW102">
        <v>0</v>
      </c>
      <c r="CX102" t="s">
        <v>198</v>
      </c>
      <c r="CY102" t="s">
        <v>198</v>
      </c>
      <c r="CZ102" t="s">
        <v>198</v>
      </c>
      <c r="DA102" t="s">
        <v>198</v>
      </c>
      <c r="DB102" t="s">
        <v>198</v>
      </c>
      <c r="DC102">
        <v>0</v>
      </c>
      <c r="DD102">
        <v>0</v>
      </c>
      <c r="DE102">
        <v>0</v>
      </c>
      <c r="DF102">
        <v>0</v>
      </c>
      <c r="DG102">
        <v>-35.3631166</v>
      </c>
      <c r="DH102">
        <v>149.1639735</v>
      </c>
      <c r="DI102" t="s">
        <v>360</v>
      </c>
      <c r="DJ102">
        <v>1.2</v>
      </c>
      <c r="DK102">
        <v>2</v>
      </c>
      <c r="DL102">
        <v>149.2</v>
      </c>
      <c r="DM102">
        <v>0</v>
      </c>
      <c r="DN102">
        <v>6</v>
      </c>
      <c r="DO102">
        <v>10</v>
      </c>
      <c r="DP102">
        <v>0</v>
      </c>
      <c r="DQ102">
        <v>255</v>
      </c>
      <c r="DR102">
        <v>255</v>
      </c>
      <c r="DS102">
        <v>255</v>
      </c>
      <c r="DT102">
        <v>255</v>
      </c>
      <c r="DU102">
        <v>255</v>
      </c>
      <c r="DV102">
        <v>255</v>
      </c>
      <c r="DW102">
        <v>255</v>
      </c>
      <c r="DX102" t="s">
        <v>206</v>
      </c>
      <c r="DY102" t="s">
        <v>206</v>
      </c>
      <c r="DZ102" t="s">
        <v>207</v>
      </c>
      <c r="EA102" t="s">
        <v>198</v>
      </c>
      <c r="EB102" t="s">
        <v>198</v>
      </c>
      <c r="EC102" t="s">
        <v>198</v>
      </c>
      <c r="ED102">
        <v>0</v>
      </c>
      <c r="EE102">
        <v>0</v>
      </c>
      <c r="EF102">
        <v>0</v>
      </c>
      <c r="EG102">
        <v>0</v>
      </c>
      <c r="EH102">
        <v>255</v>
      </c>
      <c r="EI102">
        <v>255</v>
      </c>
      <c r="EJ102">
        <v>255</v>
      </c>
      <c r="EK102">
        <v>255</v>
      </c>
      <c r="EL102">
        <v>255</v>
      </c>
      <c r="EM102">
        <v>255</v>
      </c>
      <c r="EN102">
        <v>255</v>
      </c>
      <c r="EO102">
        <v>255</v>
      </c>
      <c r="EP102">
        <v>255</v>
      </c>
      <c r="EQ102">
        <v>255</v>
      </c>
      <c r="ER102" t="s">
        <v>208</v>
      </c>
      <c r="ES102" t="s">
        <v>209</v>
      </c>
      <c r="ET102" t="s">
        <v>209</v>
      </c>
      <c r="EU102">
        <v>0</v>
      </c>
      <c r="EV102">
        <v>16.2</v>
      </c>
      <c r="EW102">
        <v>-114.7</v>
      </c>
      <c r="EX102">
        <v>-16.7</v>
      </c>
      <c r="EY102">
        <v>0</v>
      </c>
      <c r="EZ102">
        <v>0</v>
      </c>
      <c r="FA102">
        <v>1.5</v>
      </c>
      <c r="FB102" t="s">
        <v>198</v>
      </c>
      <c r="FC102" t="s">
        <v>198</v>
      </c>
      <c r="FD102" t="s">
        <v>198</v>
      </c>
      <c r="FE102" t="s">
        <v>198</v>
      </c>
      <c r="FF102" t="s">
        <v>198</v>
      </c>
      <c r="FG102" t="s">
        <v>198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203</v>
      </c>
      <c r="FP102" t="s">
        <v>203</v>
      </c>
      <c r="FQ102" t="s">
        <v>203</v>
      </c>
      <c r="FR102" t="s">
        <v>203</v>
      </c>
      <c r="FS102" t="s">
        <v>203</v>
      </c>
      <c r="FT102" t="s">
        <v>203</v>
      </c>
      <c r="FU102" t="s">
        <v>198</v>
      </c>
      <c r="FV102" t="s">
        <v>198</v>
      </c>
      <c r="FW102" t="s">
        <v>198</v>
      </c>
      <c r="FX102" t="s">
        <v>198</v>
      </c>
      <c r="FY102" t="s">
        <v>198</v>
      </c>
      <c r="FZ102" t="s">
        <v>198</v>
      </c>
      <c r="GA102">
        <v>31.09</v>
      </c>
      <c r="GB102">
        <v>31.09</v>
      </c>
      <c r="GC102" t="s">
        <v>203</v>
      </c>
      <c r="GD102">
        <v>0</v>
      </c>
      <c r="GE102">
        <v>504</v>
      </c>
      <c r="GF102">
        <v>0</v>
      </c>
      <c r="GG102">
        <v>0.1</v>
      </c>
      <c r="GH102">
        <v>0.7</v>
      </c>
      <c r="GI102">
        <v>0</v>
      </c>
      <c r="GJ102">
        <v>0</v>
      </c>
      <c r="GK102">
        <v>0</v>
      </c>
      <c r="GL102" t="s">
        <v>198</v>
      </c>
      <c r="GM102" t="s">
        <v>198</v>
      </c>
      <c r="GN102" t="s">
        <v>198</v>
      </c>
    </row>
    <row r="103" spans="1:196">
      <c r="A103" s="19">
        <v>46316.90507341435</v>
      </c>
      <c r="B103">
        <v>0.5</v>
      </c>
      <c r="C103">
        <v>0</v>
      </c>
      <c r="D103">
        <v>278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-1.5</v>
      </c>
      <c r="L103">
        <v>15</v>
      </c>
      <c r="M103">
        <v>599.2</v>
      </c>
      <c r="N103">
        <v>14.2</v>
      </c>
      <c r="O103">
        <v>14.99</v>
      </c>
      <c r="P103">
        <v>14.991</v>
      </c>
      <c r="Q103">
        <v>0</v>
      </c>
      <c r="R103">
        <v>0</v>
      </c>
      <c r="S103">
        <v>115.6</v>
      </c>
      <c r="T103" t="s">
        <v>411</v>
      </c>
      <c r="U103">
        <v>115.7</v>
      </c>
      <c r="V103">
        <v>276054</v>
      </c>
      <c r="W103">
        <v>3</v>
      </c>
      <c r="X103" t="s">
        <v>197</v>
      </c>
      <c r="Y103">
        <v>0</v>
      </c>
      <c r="Z103">
        <v>98</v>
      </c>
      <c r="AA103">
        <v>278</v>
      </c>
      <c r="AB103" t="s">
        <v>197</v>
      </c>
      <c r="AC103" t="s">
        <v>198</v>
      </c>
      <c r="AD103" t="s">
        <v>199</v>
      </c>
      <c r="AE103">
        <v>31</v>
      </c>
      <c r="AF103">
        <v>44</v>
      </c>
      <c r="AG103">
        <v>255</v>
      </c>
      <c r="AH103">
        <v>0</v>
      </c>
      <c r="AI103">
        <v>0</v>
      </c>
      <c r="AJ103">
        <v>0</v>
      </c>
      <c r="AK103">
        <v>12.6</v>
      </c>
      <c r="AL103">
        <v>0</v>
      </c>
      <c r="AM103">
        <v>0</v>
      </c>
      <c r="AN103" t="s">
        <v>197</v>
      </c>
      <c r="AO103">
        <v>100</v>
      </c>
      <c r="AP103" t="s">
        <v>197</v>
      </c>
      <c r="AQ103" t="s">
        <v>200</v>
      </c>
      <c r="AR103">
        <v>1</v>
      </c>
      <c r="AS103">
        <v>0</v>
      </c>
      <c r="AT103" t="s">
        <v>412</v>
      </c>
      <c r="AU103" t="s">
        <v>412</v>
      </c>
      <c r="AV103" t="s">
        <v>202</v>
      </c>
      <c r="AW103" t="s">
        <v>203</v>
      </c>
      <c r="AX103" t="s">
        <v>203</v>
      </c>
      <c r="AY103" t="s">
        <v>203</v>
      </c>
      <c r="AZ103" t="s">
        <v>203</v>
      </c>
      <c r="BA103" t="s">
        <v>203</v>
      </c>
      <c r="BB103" t="s">
        <v>203</v>
      </c>
      <c r="BC103" t="s">
        <v>203</v>
      </c>
      <c r="BD103" t="s">
        <v>203</v>
      </c>
      <c r="BE103" t="s">
        <v>203</v>
      </c>
      <c r="BF103">
        <v>12.43</v>
      </c>
      <c r="BG103">
        <v>0.2</v>
      </c>
      <c r="BH103">
        <v>50</v>
      </c>
      <c r="BI103">
        <v>0</v>
      </c>
      <c r="BJ103" t="s">
        <v>198</v>
      </c>
      <c r="BK103" t="s">
        <v>198</v>
      </c>
      <c r="BL103" t="s">
        <v>198</v>
      </c>
      <c r="BM103" t="s">
        <v>198</v>
      </c>
      <c r="BN103" t="s">
        <v>198</v>
      </c>
      <c r="BO103" t="s">
        <v>198</v>
      </c>
      <c r="BP103" t="s">
        <v>198</v>
      </c>
      <c r="BQ103" t="s">
        <v>198</v>
      </c>
      <c r="BR103" t="s">
        <v>198</v>
      </c>
      <c r="BS103" t="s">
        <v>198</v>
      </c>
      <c r="BT103" t="s">
        <v>198</v>
      </c>
      <c r="BU103" t="s">
        <v>198</v>
      </c>
      <c r="BV103" t="s">
        <v>198</v>
      </c>
      <c r="BW103" t="s">
        <v>198</v>
      </c>
      <c r="BX103" t="s">
        <v>198</v>
      </c>
      <c r="BY103" t="s">
        <v>198</v>
      </c>
      <c r="BZ103" t="s">
        <v>198</v>
      </c>
      <c r="CA103" t="s">
        <v>198</v>
      </c>
      <c r="CB103" t="s">
        <v>204</v>
      </c>
      <c r="CC103" t="s">
        <v>204</v>
      </c>
      <c r="CD103" t="s">
        <v>204</v>
      </c>
      <c r="CE103" t="s">
        <v>204</v>
      </c>
      <c r="CF103" t="s">
        <v>204</v>
      </c>
      <c r="CG103" t="s">
        <v>204</v>
      </c>
      <c r="CH103" t="s">
        <v>204</v>
      </c>
      <c r="CI103" t="s">
        <v>204</v>
      </c>
      <c r="CJ103" t="s">
        <v>204</v>
      </c>
      <c r="CK103" t="s">
        <v>204</v>
      </c>
      <c r="CL103" t="s">
        <v>204</v>
      </c>
      <c r="CM103" t="s">
        <v>204</v>
      </c>
      <c r="CN103" t="s">
        <v>203</v>
      </c>
      <c r="CO103" t="s">
        <v>203</v>
      </c>
      <c r="CP103" t="s">
        <v>203</v>
      </c>
      <c r="CQ103" t="s">
        <v>203</v>
      </c>
      <c r="CR103" t="s">
        <v>203</v>
      </c>
      <c r="CS103" t="s">
        <v>203</v>
      </c>
      <c r="CT103" t="s">
        <v>203</v>
      </c>
      <c r="CU103" t="s">
        <v>203</v>
      </c>
      <c r="CV103">
        <v>0</v>
      </c>
      <c r="CW103">
        <v>0</v>
      </c>
      <c r="CX103" t="s">
        <v>198</v>
      </c>
      <c r="CY103" t="s">
        <v>198</v>
      </c>
      <c r="CZ103" t="s">
        <v>198</v>
      </c>
      <c r="DA103" t="s">
        <v>198</v>
      </c>
      <c r="DB103" t="s">
        <v>198</v>
      </c>
      <c r="DC103">
        <v>0</v>
      </c>
      <c r="DD103">
        <v>0</v>
      </c>
      <c r="DE103">
        <v>0</v>
      </c>
      <c r="DF103">
        <v>0</v>
      </c>
      <c r="DG103">
        <v>-35.3631166</v>
      </c>
      <c r="DH103">
        <v>149.1639735</v>
      </c>
      <c r="DI103" t="s">
        <v>360</v>
      </c>
      <c r="DJ103">
        <v>1.2</v>
      </c>
      <c r="DK103">
        <v>2</v>
      </c>
      <c r="DL103">
        <v>33.4</v>
      </c>
      <c r="DM103">
        <v>0</v>
      </c>
      <c r="DN103">
        <v>6</v>
      </c>
      <c r="DO103">
        <v>10</v>
      </c>
      <c r="DP103">
        <v>0</v>
      </c>
      <c r="DQ103">
        <v>255</v>
      </c>
      <c r="DR103">
        <v>255</v>
      </c>
      <c r="DS103">
        <v>255</v>
      </c>
      <c r="DT103">
        <v>255</v>
      </c>
      <c r="DU103">
        <v>255</v>
      </c>
      <c r="DV103">
        <v>255</v>
      </c>
      <c r="DW103">
        <v>255</v>
      </c>
      <c r="DX103" t="s">
        <v>206</v>
      </c>
      <c r="DY103" t="s">
        <v>206</v>
      </c>
      <c r="DZ103" t="s">
        <v>207</v>
      </c>
      <c r="EA103" t="s">
        <v>198</v>
      </c>
      <c r="EB103" t="s">
        <v>198</v>
      </c>
      <c r="EC103" t="s">
        <v>198</v>
      </c>
      <c r="ED103">
        <v>0</v>
      </c>
      <c r="EE103">
        <v>0</v>
      </c>
      <c r="EF103">
        <v>0</v>
      </c>
      <c r="EG103">
        <v>0</v>
      </c>
      <c r="EH103">
        <v>255</v>
      </c>
      <c r="EI103">
        <v>255</v>
      </c>
      <c r="EJ103">
        <v>255</v>
      </c>
      <c r="EK103">
        <v>255</v>
      </c>
      <c r="EL103">
        <v>255</v>
      </c>
      <c r="EM103">
        <v>255</v>
      </c>
      <c r="EN103">
        <v>255</v>
      </c>
      <c r="EO103">
        <v>255</v>
      </c>
      <c r="EP103">
        <v>255</v>
      </c>
      <c r="EQ103">
        <v>255</v>
      </c>
      <c r="ER103" t="s">
        <v>208</v>
      </c>
      <c r="ES103" t="s">
        <v>209</v>
      </c>
      <c r="ET103" t="s">
        <v>209</v>
      </c>
      <c r="EU103">
        <v>0</v>
      </c>
      <c r="EV103">
        <v>16.2</v>
      </c>
      <c r="EW103">
        <v>-114.7</v>
      </c>
      <c r="EX103">
        <v>-15.2</v>
      </c>
      <c r="EY103">
        <v>0</v>
      </c>
      <c r="EZ103">
        <v>0</v>
      </c>
      <c r="FA103">
        <v>1.5</v>
      </c>
      <c r="FB103" t="s">
        <v>198</v>
      </c>
      <c r="FC103" t="s">
        <v>198</v>
      </c>
      <c r="FD103" t="s">
        <v>198</v>
      </c>
      <c r="FE103" t="s">
        <v>198</v>
      </c>
      <c r="FF103" t="s">
        <v>198</v>
      </c>
      <c r="FG103" t="s">
        <v>198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203</v>
      </c>
      <c r="FP103" t="s">
        <v>203</v>
      </c>
      <c r="FQ103" t="s">
        <v>203</v>
      </c>
      <c r="FR103" t="s">
        <v>203</v>
      </c>
      <c r="FS103" t="s">
        <v>203</v>
      </c>
      <c r="FT103" t="s">
        <v>203</v>
      </c>
      <c r="FU103" t="s">
        <v>198</v>
      </c>
      <c r="FV103" t="s">
        <v>198</v>
      </c>
      <c r="FW103" t="s">
        <v>198</v>
      </c>
      <c r="FX103" t="s">
        <v>198</v>
      </c>
      <c r="FY103" t="s">
        <v>198</v>
      </c>
      <c r="FZ103" t="s">
        <v>198</v>
      </c>
      <c r="GA103">
        <v>31.1</v>
      </c>
      <c r="GB103">
        <v>31.1</v>
      </c>
      <c r="GC103" t="s">
        <v>203</v>
      </c>
      <c r="GD103">
        <v>0</v>
      </c>
      <c r="GE103">
        <v>504</v>
      </c>
      <c r="GF103">
        <v>0</v>
      </c>
      <c r="GG103">
        <v>0.1</v>
      </c>
      <c r="GH103">
        <v>0.7</v>
      </c>
      <c r="GI103">
        <v>0</v>
      </c>
      <c r="GJ103">
        <v>0</v>
      </c>
      <c r="GK103">
        <v>0</v>
      </c>
      <c r="GL103" t="s">
        <v>198</v>
      </c>
      <c r="GM103" t="s">
        <v>198</v>
      </c>
      <c r="GN103" t="s">
        <v>198</v>
      </c>
    </row>
    <row r="104" spans="1:196">
      <c r="A104" s="19">
        <v>46316.90508498842</v>
      </c>
      <c r="B104">
        <v>0</v>
      </c>
      <c r="C104">
        <v>0</v>
      </c>
      <c r="D104">
        <v>277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-1.5</v>
      </c>
      <c r="L104">
        <v>13.5</v>
      </c>
      <c r="M104">
        <v>597.7</v>
      </c>
      <c r="N104">
        <v>12.7</v>
      </c>
      <c r="O104">
        <v>13.49</v>
      </c>
      <c r="P104">
        <v>13.493</v>
      </c>
      <c r="Q104">
        <v>0</v>
      </c>
      <c r="R104">
        <v>0</v>
      </c>
      <c r="S104">
        <v>115.6</v>
      </c>
      <c r="T104" t="s">
        <v>413</v>
      </c>
      <c r="U104">
        <v>115.7</v>
      </c>
      <c r="V104">
        <v>52516.3</v>
      </c>
      <c r="W104">
        <v>3</v>
      </c>
      <c r="X104" t="s">
        <v>197</v>
      </c>
      <c r="Y104">
        <v>0</v>
      </c>
      <c r="Z104">
        <v>98</v>
      </c>
      <c r="AA104">
        <v>278</v>
      </c>
      <c r="AB104" t="s">
        <v>197</v>
      </c>
      <c r="AC104" t="s">
        <v>198</v>
      </c>
      <c r="AD104" t="s">
        <v>199</v>
      </c>
      <c r="AE104">
        <v>33</v>
      </c>
      <c r="AF104">
        <v>44</v>
      </c>
      <c r="AG104">
        <v>255</v>
      </c>
      <c r="AH104">
        <v>0</v>
      </c>
      <c r="AI104">
        <v>0</v>
      </c>
      <c r="AJ104">
        <v>0</v>
      </c>
      <c r="AK104">
        <v>12.6</v>
      </c>
      <c r="AL104">
        <v>0</v>
      </c>
      <c r="AM104">
        <v>0</v>
      </c>
      <c r="AN104" t="s">
        <v>197</v>
      </c>
      <c r="AO104">
        <v>100</v>
      </c>
      <c r="AP104" t="s">
        <v>197</v>
      </c>
      <c r="AQ104" t="s">
        <v>200</v>
      </c>
      <c r="AR104">
        <v>1</v>
      </c>
      <c r="AS104">
        <v>0</v>
      </c>
      <c r="AT104" t="s">
        <v>414</v>
      </c>
      <c r="AU104" t="s">
        <v>414</v>
      </c>
      <c r="AV104" t="s">
        <v>202</v>
      </c>
      <c r="AW104" t="s">
        <v>203</v>
      </c>
      <c r="AX104" t="s">
        <v>203</v>
      </c>
      <c r="AY104" t="s">
        <v>203</v>
      </c>
      <c r="AZ104" t="s">
        <v>203</v>
      </c>
      <c r="BA104" t="s">
        <v>203</v>
      </c>
      <c r="BB104" t="s">
        <v>203</v>
      </c>
      <c r="BC104" t="s">
        <v>203</v>
      </c>
      <c r="BD104" t="s">
        <v>203</v>
      </c>
      <c r="BE104" t="s">
        <v>203</v>
      </c>
      <c r="BF104">
        <v>10.93</v>
      </c>
      <c r="BG104">
        <v>0.2</v>
      </c>
      <c r="BH104">
        <v>50</v>
      </c>
      <c r="BI104">
        <v>0</v>
      </c>
      <c r="BJ104" t="s">
        <v>198</v>
      </c>
      <c r="BK104" t="s">
        <v>198</v>
      </c>
      <c r="BL104" t="s">
        <v>198</v>
      </c>
      <c r="BM104" t="s">
        <v>198</v>
      </c>
      <c r="BN104" t="s">
        <v>198</v>
      </c>
      <c r="BO104" t="s">
        <v>198</v>
      </c>
      <c r="BP104" t="s">
        <v>198</v>
      </c>
      <c r="BQ104" t="s">
        <v>198</v>
      </c>
      <c r="BR104" t="s">
        <v>198</v>
      </c>
      <c r="BS104" t="s">
        <v>198</v>
      </c>
      <c r="BT104" t="s">
        <v>198</v>
      </c>
      <c r="BU104" t="s">
        <v>198</v>
      </c>
      <c r="BV104" t="s">
        <v>198</v>
      </c>
      <c r="BW104" t="s">
        <v>198</v>
      </c>
      <c r="BX104" t="s">
        <v>198</v>
      </c>
      <c r="BY104" t="s">
        <v>198</v>
      </c>
      <c r="BZ104" t="s">
        <v>198</v>
      </c>
      <c r="CA104" t="s">
        <v>198</v>
      </c>
      <c r="CB104" t="s">
        <v>204</v>
      </c>
      <c r="CC104" t="s">
        <v>204</v>
      </c>
      <c r="CD104" t="s">
        <v>204</v>
      </c>
      <c r="CE104" t="s">
        <v>204</v>
      </c>
      <c r="CF104" t="s">
        <v>204</v>
      </c>
      <c r="CG104" t="s">
        <v>204</v>
      </c>
      <c r="CH104" t="s">
        <v>204</v>
      </c>
      <c r="CI104" t="s">
        <v>204</v>
      </c>
      <c r="CJ104" t="s">
        <v>204</v>
      </c>
      <c r="CK104" t="s">
        <v>204</v>
      </c>
      <c r="CL104" t="s">
        <v>204</v>
      </c>
      <c r="CM104" t="s">
        <v>204</v>
      </c>
      <c r="CN104" t="s">
        <v>203</v>
      </c>
      <c r="CO104" t="s">
        <v>203</v>
      </c>
      <c r="CP104" t="s">
        <v>203</v>
      </c>
      <c r="CQ104" t="s">
        <v>203</v>
      </c>
      <c r="CR104" t="s">
        <v>203</v>
      </c>
      <c r="CS104" t="s">
        <v>203</v>
      </c>
      <c r="CT104" t="s">
        <v>203</v>
      </c>
      <c r="CU104" t="s">
        <v>203</v>
      </c>
      <c r="CV104">
        <v>0</v>
      </c>
      <c r="CW104">
        <v>0</v>
      </c>
      <c r="CX104" t="s">
        <v>198</v>
      </c>
      <c r="CY104" t="s">
        <v>198</v>
      </c>
      <c r="CZ104" t="s">
        <v>198</v>
      </c>
      <c r="DA104" t="s">
        <v>198</v>
      </c>
      <c r="DB104" t="s">
        <v>198</v>
      </c>
      <c r="DC104">
        <v>0</v>
      </c>
      <c r="DD104">
        <v>0</v>
      </c>
      <c r="DE104">
        <v>0</v>
      </c>
      <c r="DF104">
        <v>0</v>
      </c>
      <c r="DG104">
        <v>-35.3631166</v>
      </c>
      <c r="DH104">
        <v>149.1639735</v>
      </c>
      <c r="DI104" t="s">
        <v>360</v>
      </c>
      <c r="DJ104">
        <v>1.2</v>
      </c>
      <c r="DK104">
        <v>2</v>
      </c>
      <c r="DL104">
        <v>205.7</v>
      </c>
      <c r="DM104">
        <v>0</v>
      </c>
      <c r="DN104">
        <v>6</v>
      </c>
      <c r="DO104">
        <v>10</v>
      </c>
      <c r="DP104">
        <v>0</v>
      </c>
      <c r="DQ104">
        <v>255</v>
      </c>
      <c r="DR104">
        <v>255</v>
      </c>
      <c r="DS104">
        <v>255</v>
      </c>
      <c r="DT104">
        <v>255</v>
      </c>
      <c r="DU104">
        <v>255</v>
      </c>
      <c r="DV104">
        <v>255</v>
      </c>
      <c r="DW104">
        <v>255</v>
      </c>
      <c r="DX104" t="s">
        <v>206</v>
      </c>
      <c r="DY104" t="s">
        <v>206</v>
      </c>
      <c r="DZ104" t="s">
        <v>207</v>
      </c>
      <c r="EA104" t="s">
        <v>198</v>
      </c>
      <c r="EB104" t="s">
        <v>198</v>
      </c>
      <c r="EC104" t="s">
        <v>198</v>
      </c>
      <c r="ED104">
        <v>0</v>
      </c>
      <c r="EE104">
        <v>0</v>
      </c>
      <c r="EF104">
        <v>0</v>
      </c>
      <c r="EG104">
        <v>0</v>
      </c>
      <c r="EH104">
        <v>255</v>
      </c>
      <c r="EI104">
        <v>255</v>
      </c>
      <c r="EJ104">
        <v>255</v>
      </c>
      <c r="EK104">
        <v>255</v>
      </c>
      <c r="EL104">
        <v>255</v>
      </c>
      <c r="EM104">
        <v>255</v>
      </c>
      <c r="EN104">
        <v>255</v>
      </c>
      <c r="EO104">
        <v>255</v>
      </c>
      <c r="EP104">
        <v>255</v>
      </c>
      <c r="EQ104">
        <v>255</v>
      </c>
      <c r="ER104" t="s">
        <v>208</v>
      </c>
      <c r="ES104" t="s">
        <v>209</v>
      </c>
      <c r="ET104" t="s">
        <v>209</v>
      </c>
      <c r="EU104">
        <v>0</v>
      </c>
      <c r="EV104">
        <v>16.2</v>
      </c>
      <c r="EW104">
        <v>-114.7</v>
      </c>
      <c r="EX104">
        <v>-13.7</v>
      </c>
      <c r="EY104">
        <v>0</v>
      </c>
      <c r="EZ104">
        <v>0</v>
      </c>
      <c r="FA104">
        <v>1.5</v>
      </c>
      <c r="FB104" t="s">
        <v>198</v>
      </c>
      <c r="FC104" t="s">
        <v>198</v>
      </c>
      <c r="FD104" t="s">
        <v>198</v>
      </c>
      <c r="FE104" t="s">
        <v>198</v>
      </c>
      <c r="FF104" t="s">
        <v>198</v>
      </c>
      <c r="FG104" t="s">
        <v>198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 t="s">
        <v>203</v>
      </c>
      <c r="FP104" t="s">
        <v>203</v>
      </c>
      <c r="FQ104" t="s">
        <v>203</v>
      </c>
      <c r="FR104" t="s">
        <v>203</v>
      </c>
      <c r="FS104" t="s">
        <v>203</v>
      </c>
      <c r="FT104" t="s">
        <v>203</v>
      </c>
      <c r="FU104" t="s">
        <v>198</v>
      </c>
      <c r="FV104" t="s">
        <v>198</v>
      </c>
      <c r="FW104" t="s">
        <v>198</v>
      </c>
      <c r="FX104" t="s">
        <v>198</v>
      </c>
      <c r="FY104" t="s">
        <v>198</v>
      </c>
      <c r="FZ104" t="s">
        <v>198</v>
      </c>
      <c r="GA104">
        <v>31.11</v>
      </c>
      <c r="GB104">
        <v>31.11</v>
      </c>
      <c r="GC104" t="s">
        <v>203</v>
      </c>
      <c r="GD104">
        <v>0</v>
      </c>
      <c r="GE104">
        <v>504</v>
      </c>
      <c r="GF104">
        <v>0</v>
      </c>
      <c r="GG104">
        <v>0.1</v>
      </c>
      <c r="GH104">
        <v>0.7</v>
      </c>
      <c r="GI104">
        <v>0</v>
      </c>
      <c r="GJ104">
        <v>0</v>
      </c>
      <c r="GK104">
        <v>0</v>
      </c>
      <c r="GL104" t="s">
        <v>198</v>
      </c>
      <c r="GM104" t="s">
        <v>198</v>
      </c>
      <c r="GN104" t="s">
        <v>198</v>
      </c>
    </row>
    <row r="105" spans="1:196">
      <c r="A105" s="19">
        <v>46316.9050965625</v>
      </c>
      <c r="B105">
        <v>0.3</v>
      </c>
      <c r="C105">
        <v>0</v>
      </c>
      <c r="D105">
        <v>278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-0.6</v>
      </c>
      <c r="L105">
        <v>12.5</v>
      </c>
      <c r="M105">
        <v>596.7</v>
      </c>
      <c r="N105">
        <v>11.7</v>
      </c>
      <c r="O105">
        <v>12.47</v>
      </c>
      <c r="P105">
        <v>12.492</v>
      </c>
      <c r="Q105">
        <v>0</v>
      </c>
      <c r="R105">
        <v>0</v>
      </c>
      <c r="S105">
        <v>115.6</v>
      </c>
      <c r="T105" t="s">
        <v>415</v>
      </c>
      <c r="U105">
        <v>115.7</v>
      </c>
      <c r="V105">
        <v>72397.39999999999</v>
      </c>
      <c r="W105">
        <v>3</v>
      </c>
      <c r="X105" t="s">
        <v>197</v>
      </c>
      <c r="Y105">
        <v>0</v>
      </c>
      <c r="Z105">
        <v>98</v>
      </c>
      <c r="AA105">
        <v>278</v>
      </c>
      <c r="AB105" t="s">
        <v>197</v>
      </c>
      <c r="AC105" t="s">
        <v>198</v>
      </c>
      <c r="AD105" t="s">
        <v>199</v>
      </c>
      <c r="AE105">
        <v>33</v>
      </c>
      <c r="AF105">
        <v>44</v>
      </c>
      <c r="AG105">
        <v>255</v>
      </c>
      <c r="AH105">
        <v>0</v>
      </c>
      <c r="AI105">
        <v>0</v>
      </c>
      <c r="AJ105">
        <v>0</v>
      </c>
      <c r="AK105">
        <v>12.6</v>
      </c>
      <c r="AL105">
        <v>0</v>
      </c>
      <c r="AM105">
        <v>0</v>
      </c>
      <c r="AN105" t="s">
        <v>197</v>
      </c>
      <c r="AO105">
        <v>100</v>
      </c>
      <c r="AP105" t="s">
        <v>197</v>
      </c>
      <c r="AQ105" t="s">
        <v>200</v>
      </c>
      <c r="AR105">
        <v>1</v>
      </c>
      <c r="AS105">
        <v>0</v>
      </c>
      <c r="AT105" t="s">
        <v>416</v>
      </c>
      <c r="AU105" t="s">
        <v>416</v>
      </c>
      <c r="AV105" t="s">
        <v>202</v>
      </c>
      <c r="AW105" t="s">
        <v>203</v>
      </c>
      <c r="AX105" t="s">
        <v>203</v>
      </c>
      <c r="AY105" t="s">
        <v>203</v>
      </c>
      <c r="AZ105" t="s">
        <v>203</v>
      </c>
      <c r="BA105" t="s">
        <v>203</v>
      </c>
      <c r="BB105" t="s">
        <v>203</v>
      </c>
      <c r="BC105" t="s">
        <v>203</v>
      </c>
      <c r="BD105" t="s">
        <v>203</v>
      </c>
      <c r="BE105" t="s">
        <v>203</v>
      </c>
      <c r="BF105">
        <v>9.9</v>
      </c>
      <c r="BG105">
        <v>0.2</v>
      </c>
      <c r="BH105">
        <v>50</v>
      </c>
      <c r="BI105">
        <v>0</v>
      </c>
      <c r="BJ105" t="s">
        <v>198</v>
      </c>
      <c r="BK105" t="s">
        <v>198</v>
      </c>
      <c r="BL105" t="s">
        <v>198</v>
      </c>
      <c r="BM105" t="s">
        <v>198</v>
      </c>
      <c r="BN105" t="s">
        <v>198</v>
      </c>
      <c r="BO105" t="s">
        <v>198</v>
      </c>
      <c r="BP105" t="s">
        <v>198</v>
      </c>
      <c r="BQ105" t="s">
        <v>198</v>
      </c>
      <c r="BR105" t="s">
        <v>198</v>
      </c>
      <c r="BS105" t="s">
        <v>198</v>
      </c>
      <c r="BT105" t="s">
        <v>198</v>
      </c>
      <c r="BU105" t="s">
        <v>198</v>
      </c>
      <c r="BV105" t="s">
        <v>198</v>
      </c>
      <c r="BW105" t="s">
        <v>198</v>
      </c>
      <c r="BX105" t="s">
        <v>198</v>
      </c>
      <c r="BY105" t="s">
        <v>198</v>
      </c>
      <c r="BZ105" t="s">
        <v>198</v>
      </c>
      <c r="CA105" t="s">
        <v>198</v>
      </c>
      <c r="CB105" t="s">
        <v>204</v>
      </c>
      <c r="CC105" t="s">
        <v>204</v>
      </c>
      <c r="CD105" t="s">
        <v>204</v>
      </c>
      <c r="CE105" t="s">
        <v>204</v>
      </c>
      <c r="CF105" t="s">
        <v>204</v>
      </c>
      <c r="CG105" t="s">
        <v>204</v>
      </c>
      <c r="CH105" t="s">
        <v>204</v>
      </c>
      <c r="CI105" t="s">
        <v>204</v>
      </c>
      <c r="CJ105" t="s">
        <v>204</v>
      </c>
      <c r="CK105" t="s">
        <v>204</v>
      </c>
      <c r="CL105" t="s">
        <v>204</v>
      </c>
      <c r="CM105" t="s">
        <v>204</v>
      </c>
      <c r="CN105" t="s">
        <v>203</v>
      </c>
      <c r="CO105" t="s">
        <v>203</v>
      </c>
      <c r="CP105" t="s">
        <v>203</v>
      </c>
      <c r="CQ105" t="s">
        <v>203</v>
      </c>
      <c r="CR105" t="s">
        <v>203</v>
      </c>
      <c r="CS105" t="s">
        <v>203</v>
      </c>
      <c r="CT105" t="s">
        <v>203</v>
      </c>
      <c r="CU105" t="s">
        <v>203</v>
      </c>
      <c r="CV105">
        <v>0</v>
      </c>
      <c r="CW105">
        <v>0</v>
      </c>
      <c r="CX105" t="s">
        <v>198</v>
      </c>
      <c r="CY105" t="s">
        <v>198</v>
      </c>
      <c r="CZ105" t="s">
        <v>198</v>
      </c>
      <c r="DA105" t="s">
        <v>198</v>
      </c>
      <c r="DB105" t="s">
        <v>198</v>
      </c>
      <c r="DC105">
        <v>0</v>
      </c>
      <c r="DD105">
        <v>0</v>
      </c>
      <c r="DE105">
        <v>0</v>
      </c>
      <c r="DF105">
        <v>0</v>
      </c>
      <c r="DG105">
        <v>-35.3631166</v>
      </c>
      <c r="DH105">
        <v>149.1639735</v>
      </c>
      <c r="DI105" t="s">
        <v>360</v>
      </c>
      <c r="DJ105">
        <v>1.2</v>
      </c>
      <c r="DK105">
        <v>2</v>
      </c>
      <c r="DL105">
        <v>197.6</v>
      </c>
      <c r="DM105">
        <v>0</v>
      </c>
      <c r="DN105">
        <v>6</v>
      </c>
      <c r="DO105">
        <v>10</v>
      </c>
      <c r="DP105">
        <v>0</v>
      </c>
      <c r="DQ105">
        <v>255</v>
      </c>
      <c r="DR105">
        <v>255</v>
      </c>
      <c r="DS105">
        <v>255</v>
      </c>
      <c r="DT105">
        <v>255</v>
      </c>
      <c r="DU105">
        <v>255</v>
      </c>
      <c r="DV105">
        <v>255</v>
      </c>
      <c r="DW105">
        <v>255</v>
      </c>
      <c r="DX105" t="s">
        <v>206</v>
      </c>
      <c r="DY105" t="s">
        <v>206</v>
      </c>
      <c r="DZ105" t="s">
        <v>207</v>
      </c>
      <c r="EA105" t="s">
        <v>198</v>
      </c>
      <c r="EB105" t="s">
        <v>198</v>
      </c>
      <c r="EC105" t="s">
        <v>198</v>
      </c>
      <c r="ED105">
        <v>0</v>
      </c>
      <c r="EE105">
        <v>0</v>
      </c>
      <c r="EF105">
        <v>0</v>
      </c>
      <c r="EG105">
        <v>0</v>
      </c>
      <c r="EH105">
        <v>255</v>
      </c>
      <c r="EI105">
        <v>255</v>
      </c>
      <c r="EJ105">
        <v>255</v>
      </c>
      <c r="EK105">
        <v>255</v>
      </c>
      <c r="EL105">
        <v>255</v>
      </c>
      <c r="EM105">
        <v>255</v>
      </c>
      <c r="EN105">
        <v>255</v>
      </c>
      <c r="EO105">
        <v>255</v>
      </c>
      <c r="EP105">
        <v>255</v>
      </c>
      <c r="EQ105">
        <v>255</v>
      </c>
      <c r="ER105" t="s">
        <v>208</v>
      </c>
      <c r="ES105" t="s">
        <v>209</v>
      </c>
      <c r="ET105" t="s">
        <v>209</v>
      </c>
      <c r="EU105">
        <v>0</v>
      </c>
      <c r="EV105">
        <v>16.2</v>
      </c>
      <c r="EW105">
        <v>-114.7</v>
      </c>
      <c r="EX105">
        <v>-12.7</v>
      </c>
      <c r="EY105">
        <v>0</v>
      </c>
      <c r="EZ105">
        <v>0</v>
      </c>
      <c r="FA105">
        <v>0.6</v>
      </c>
      <c r="FB105" t="s">
        <v>198</v>
      </c>
      <c r="FC105" t="s">
        <v>198</v>
      </c>
      <c r="FD105" t="s">
        <v>198</v>
      </c>
      <c r="FE105" t="s">
        <v>198</v>
      </c>
      <c r="FF105" t="s">
        <v>198</v>
      </c>
      <c r="FG105" t="s">
        <v>198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203</v>
      </c>
      <c r="FP105" t="s">
        <v>203</v>
      </c>
      <c r="FQ105" t="s">
        <v>203</v>
      </c>
      <c r="FR105" t="s">
        <v>203</v>
      </c>
      <c r="FS105" t="s">
        <v>203</v>
      </c>
      <c r="FT105" t="s">
        <v>203</v>
      </c>
      <c r="FU105" t="s">
        <v>198</v>
      </c>
      <c r="FV105" t="s">
        <v>198</v>
      </c>
      <c r="FW105" t="s">
        <v>198</v>
      </c>
      <c r="FX105" t="s">
        <v>198</v>
      </c>
      <c r="FY105" t="s">
        <v>198</v>
      </c>
      <c r="FZ105" t="s">
        <v>198</v>
      </c>
      <c r="GA105">
        <v>31.12</v>
      </c>
      <c r="GB105">
        <v>31.12</v>
      </c>
      <c r="GC105" t="s">
        <v>203</v>
      </c>
      <c r="GD105">
        <v>0</v>
      </c>
      <c r="GE105">
        <v>504</v>
      </c>
      <c r="GF105">
        <v>0</v>
      </c>
      <c r="GG105">
        <v>0.1</v>
      </c>
      <c r="GH105">
        <v>0.6</v>
      </c>
      <c r="GI105">
        <v>0</v>
      </c>
      <c r="GJ105">
        <v>0</v>
      </c>
      <c r="GK105">
        <v>0</v>
      </c>
      <c r="GL105" t="s">
        <v>198</v>
      </c>
      <c r="GM105" t="s">
        <v>198</v>
      </c>
      <c r="GN105" t="s">
        <v>198</v>
      </c>
    </row>
    <row r="106" spans="1:196">
      <c r="A106" s="19">
        <v>46316.905108125</v>
      </c>
      <c r="B106">
        <v>0.4</v>
      </c>
      <c r="C106">
        <v>0</v>
      </c>
      <c r="D106">
        <v>278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-0.5</v>
      </c>
      <c r="L106">
        <v>12</v>
      </c>
      <c r="M106">
        <v>596.2</v>
      </c>
      <c r="N106">
        <v>11.4</v>
      </c>
      <c r="O106">
        <v>11.97</v>
      </c>
      <c r="P106">
        <v>11.968</v>
      </c>
      <c r="Q106">
        <v>0</v>
      </c>
      <c r="R106">
        <v>0</v>
      </c>
      <c r="S106">
        <v>115.6</v>
      </c>
      <c r="T106" t="s">
        <v>417</v>
      </c>
      <c r="U106">
        <v>115.7</v>
      </c>
      <c r="V106">
        <v>84460.60000000001</v>
      </c>
      <c r="W106">
        <v>3</v>
      </c>
      <c r="X106" t="s">
        <v>197</v>
      </c>
      <c r="Y106">
        <v>0</v>
      </c>
      <c r="Z106">
        <v>98</v>
      </c>
      <c r="AA106">
        <v>278</v>
      </c>
      <c r="AB106" t="s">
        <v>197</v>
      </c>
      <c r="AC106" t="s">
        <v>198</v>
      </c>
      <c r="AD106" t="s">
        <v>199</v>
      </c>
      <c r="AE106">
        <v>32</v>
      </c>
      <c r="AF106">
        <v>44</v>
      </c>
      <c r="AG106">
        <v>255</v>
      </c>
      <c r="AH106">
        <v>0</v>
      </c>
      <c r="AI106">
        <v>0</v>
      </c>
      <c r="AJ106">
        <v>0</v>
      </c>
      <c r="AK106">
        <v>12.6</v>
      </c>
      <c r="AL106">
        <v>0</v>
      </c>
      <c r="AM106">
        <v>0</v>
      </c>
      <c r="AN106" t="s">
        <v>197</v>
      </c>
      <c r="AO106">
        <v>100</v>
      </c>
      <c r="AP106" t="s">
        <v>197</v>
      </c>
      <c r="AQ106" t="s">
        <v>200</v>
      </c>
      <c r="AR106">
        <v>1</v>
      </c>
      <c r="AS106">
        <v>0</v>
      </c>
      <c r="AT106" t="s">
        <v>418</v>
      </c>
      <c r="AU106" t="s">
        <v>418</v>
      </c>
      <c r="AV106" t="s">
        <v>202</v>
      </c>
      <c r="AW106" t="s">
        <v>203</v>
      </c>
      <c r="AX106" t="s">
        <v>203</v>
      </c>
      <c r="AY106" t="s">
        <v>203</v>
      </c>
      <c r="AZ106" t="s">
        <v>203</v>
      </c>
      <c r="BA106" t="s">
        <v>203</v>
      </c>
      <c r="BB106" t="s">
        <v>203</v>
      </c>
      <c r="BC106" t="s">
        <v>203</v>
      </c>
      <c r="BD106" t="s">
        <v>203</v>
      </c>
      <c r="BE106" t="s">
        <v>203</v>
      </c>
      <c r="BF106">
        <v>9.42</v>
      </c>
      <c r="BG106">
        <v>0.2</v>
      </c>
      <c r="BH106">
        <v>50</v>
      </c>
      <c r="BI106">
        <v>0</v>
      </c>
      <c r="BJ106" t="s">
        <v>198</v>
      </c>
      <c r="BK106" t="s">
        <v>198</v>
      </c>
      <c r="BL106" t="s">
        <v>198</v>
      </c>
      <c r="BM106" t="s">
        <v>198</v>
      </c>
      <c r="BN106" t="s">
        <v>198</v>
      </c>
      <c r="BO106" t="s">
        <v>198</v>
      </c>
      <c r="BP106" t="s">
        <v>198</v>
      </c>
      <c r="BQ106" t="s">
        <v>198</v>
      </c>
      <c r="BR106" t="s">
        <v>198</v>
      </c>
      <c r="BS106" t="s">
        <v>198</v>
      </c>
      <c r="BT106" t="s">
        <v>198</v>
      </c>
      <c r="BU106" t="s">
        <v>198</v>
      </c>
      <c r="BV106" t="s">
        <v>198</v>
      </c>
      <c r="BW106" t="s">
        <v>198</v>
      </c>
      <c r="BX106" t="s">
        <v>198</v>
      </c>
      <c r="BY106" t="s">
        <v>198</v>
      </c>
      <c r="BZ106" t="s">
        <v>198</v>
      </c>
      <c r="CA106" t="s">
        <v>198</v>
      </c>
      <c r="CB106" t="s">
        <v>204</v>
      </c>
      <c r="CC106" t="s">
        <v>204</v>
      </c>
      <c r="CD106" t="s">
        <v>204</v>
      </c>
      <c r="CE106" t="s">
        <v>204</v>
      </c>
      <c r="CF106" t="s">
        <v>204</v>
      </c>
      <c r="CG106" t="s">
        <v>204</v>
      </c>
      <c r="CH106" t="s">
        <v>204</v>
      </c>
      <c r="CI106" t="s">
        <v>204</v>
      </c>
      <c r="CJ106" t="s">
        <v>204</v>
      </c>
      <c r="CK106" t="s">
        <v>204</v>
      </c>
      <c r="CL106" t="s">
        <v>204</v>
      </c>
      <c r="CM106" t="s">
        <v>204</v>
      </c>
      <c r="CN106" t="s">
        <v>203</v>
      </c>
      <c r="CO106" t="s">
        <v>203</v>
      </c>
      <c r="CP106" t="s">
        <v>203</v>
      </c>
      <c r="CQ106" t="s">
        <v>203</v>
      </c>
      <c r="CR106" t="s">
        <v>203</v>
      </c>
      <c r="CS106" t="s">
        <v>203</v>
      </c>
      <c r="CT106" t="s">
        <v>203</v>
      </c>
      <c r="CU106" t="s">
        <v>203</v>
      </c>
      <c r="CV106">
        <v>0</v>
      </c>
      <c r="CW106">
        <v>0</v>
      </c>
      <c r="CX106" t="s">
        <v>198</v>
      </c>
      <c r="CY106" t="s">
        <v>198</v>
      </c>
      <c r="CZ106" t="s">
        <v>198</v>
      </c>
      <c r="DA106" t="s">
        <v>198</v>
      </c>
      <c r="DB106" t="s">
        <v>198</v>
      </c>
      <c r="DC106">
        <v>0</v>
      </c>
      <c r="DD106">
        <v>0</v>
      </c>
      <c r="DE106">
        <v>0</v>
      </c>
      <c r="DF106">
        <v>0</v>
      </c>
      <c r="DG106">
        <v>-35.3631166</v>
      </c>
      <c r="DH106">
        <v>149.1639735</v>
      </c>
      <c r="DI106" t="s">
        <v>360</v>
      </c>
      <c r="DJ106">
        <v>1.2</v>
      </c>
      <c r="DK106">
        <v>2</v>
      </c>
      <c r="DL106">
        <v>353.1</v>
      </c>
      <c r="DM106">
        <v>0</v>
      </c>
      <c r="DN106">
        <v>6</v>
      </c>
      <c r="DO106">
        <v>10</v>
      </c>
      <c r="DP106">
        <v>0</v>
      </c>
      <c r="DQ106">
        <v>255</v>
      </c>
      <c r="DR106">
        <v>255</v>
      </c>
      <c r="DS106">
        <v>255</v>
      </c>
      <c r="DT106">
        <v>255</v>
      </c>
      <c r="DU106">
        <v>255</v>
      </c>
      <c r="DV106">
        <v>255</v>
      </c>
      <c r="DW106">
        <v>255</v>
      </c>
      <c r="DX106" t="s">
        <v>206</v>
      </c>
      <c r="DY106" t="s">
        <v>206</v>
      </c>
      <c r="DZ106" t="s">
        <v>207</v>
      </c>
      <c r="EA106" t="s">
        <v>198</v>
      </c>
      <c r="EB106" t="s">
        <v>198</v>
      </c>
      <c r="EC106" t="s">
        <v>198</v>
      </c>
      <c r="ED106">
        <v>0</v>
      </c>
      <c r="EE106">
        <v>0</v>
      </c>
      <c r="EF106">
        <v>0</v>
      </c>
      <c r="EG106">
        <v>0</v>
      </c>
      <c r="EH106">
        <v>255</v>
      </c>
      <c r="EI106">
        <v>255</v>
      </c>
      <c r="EJ106">
        <v>255</v>
      </c>
      <c r="EK106">
        <v>255</v>
      </c>
      <c r="EL106">
        <v>255</v>
      </c>
      <c r="EM106">
        <v>255</v>
      </c>
      <c r="EN106">
        <v>255</v>
      </c>
      <c r="EO106">
        <v>255</v>
      </c>
      <c r="EP106">
        <v>255</v>
      </c>
      <c r="EQ106">
        <v>255</v>
      </c>
      <c r="ER106" t="s">
        <v>208</v>
      </c>
      <c r="ES106" t="s">
        <v>209</v>
      </c>
      <c r="ET106" t="s">
        <v>209</v>
      </c>
      <c r="EU106">
        <v>0</v>
      </c>
      <c r="EV106">
        <v>16.2</v>
      </c>
      <c r="EW106">
        <v>-114.7</v>
      </c>
      <c r="EX106">
        <v>-12.2</v>
      </c>
      <c r="EY106">
        <v>0</v>
      </c>
      <c r="EZ106">
        <v>0</v>
      </c>
      <c r="FA106">
        <v>0.5</v>
      </c>
      <c r="FB106" t="s">
        <v>198</v>
      </c>
      <c r="FC106" t="s">
        <v>198</v>
      </c>
      <c r="FD106" t="s">
        <v>198</v>
      </c>
      <c r="FE106" t="s">
        <v>198</v>
      </c>
      <c r="FF106" t="s">
        <v>198</v>
      </c>
      <c r="FG106" t="s">
        <v>198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 t="s">
        <v>203</v>
      </c>
      <c r="FP106" t="s">
        <v>203</v>
      </c>
      <c r="FQ106" t="s">
        <v>203</v>
      </c>
      <c r="FR106" t="s">
        <v>203</v>
      </c>
      <c r="FS106" t="s">
        <v>203</v>
      </c>
      <c r="FT106" t="s">
        <v>203</v>
      </c>
      <c r="FU106" t="s">
        <v>198</v>
      </c>
      <c r="FV106" t="s">
        <v>198</v>
      </c>
      <c r="FW106" t="s">
        <v>198</v>
      </c>
      <c r="FX106" t="s">
        <v>198</v>
      </c>
      <c r="FY106" t="s">
        <v>198</v>
      </c>
      <c r="FZ106" t="s">
        <v>198</v>
      </c>
      <c r="GA106">
        <v>31.12</v>
      </c>
      <c r="GB106">
        <v>31.12</v>
      </c>
      <c r="GC106" t="s">
        <v>203</v>
      </c>
      <c r="GD106">
        <v>0</v>
      </c>
      <c r="GE106">
        <v>504</v>
      </c>
      <c r="GF106">
        <v>0</v>
      </c>
      <c r="GG106">
        <v>0.1</v>
      </c>
      <c r="GH106">
        <v>0.6</v>
      </c>
      <c r="GI106">
        <v>0</v>
      </c>
      <c r="GJ106">
        <v>0</v>
      </c>
      <c r="GK106">
        <v>0</v>
      </c>
      <c r="GL106" t="s">
        <v>198</v>
      </c>
      <c r="GM106" t="s">
        <v>198</v>
      </c>
      <c r="GN106" t="s">
        <v>198</v>
      </c>
    </row>
    <row r="107" spans="1:196">
      <c r="A107" s="19">
        <v>46316.90511969908</v>
      </c>
      <c r="B107">
        <v>-0.1</v>
      </c>
      <c r="C107">
        <v>0</v>
      </c>
      <c r="D107">
        <v>278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-0.5</v>
      </c>
      <c r="L107">
        <v>11.5</v>
      </c>
      <c r="M107">
        <v>595.7</v>
      </c>
      <c r="N107">
        <v>10.7</v>
      </c>
      <c r="O107">
        <v>11.47</v>
      </c>
      <c r="P107">
        <v>11.468</v>
      </c>
      <c r="Q107">
        <v>0</v>
      </c>
      <c r="R107">
        <v>0</v>
      </c>
      <c r="S107">
        <v>115.6</v>
      </c>
      <c r="T107" t="s">
        <v>419</v>
      </c>
      <c r="U107">
        <v>115.7</v>
      </c>
      <c r="V107">
        <v>113832.7</v>
      </c>
      <c r="W107">
        <v>3</v>
      </c>
      <c r="X107" t="s">
        <v>197</v>
      </c>
      <c r="Y107">
        <v>0</v>
      </c>
      <c r="Z107">
        <v>98</v>
      </c>
      <c r="AA107">
        <v>278</v>
      </c>
      <c r="AB107" t="s">
        <v>197</v>
      </c>
      <c r="AC107" t="s">
        <v>198</v>
      </c>
      <c r="AD107" t="s">
        <v>199</v>
      </c>
      <c r="AE107">
        <v>32</v>
      </c>
      <c r="AF107">
        <v>44</v>
      </c>
      <c r="AG107">
        <v>255</v>
      </c>
      <c r="AH107">
        <v>0</v>
      </c>
      <c r="AI107">
        <v>0</v>
      </c>
      <c r="AJ107">
        <v>0</v>
      </c>
      <c r="AK107">
        <v>12.6</v>
      </c>
      <c r="AL107">
        <v>0</v>
      </c>
      <c r="AM107">
        <v>0</v>
      </c>
      <c r="AN107" t="s">
        <v>197</v>
      </c>
      <c r="AO107">
        <v>100</v>
      </c>
      <c r="AP107" t="s">
        <v>197</v>
      </c>
      <c r="AQ107" t="s">
        <v>200</v>
      </c>
      <c r="AR107">
        <v>1</v>
      </c>
      <c r="AS107">
        <v>0</v>
      </c>
      <c r="AT107" t="s">
        <v>420</v>
      </c>
      <c r="AU107" t="s">
        <v>420</v>
      </c>
      <c r="AV107" t="s">
        <v>202</v>
      </c>
      <c r="AW107" t="s">
        <v>203</v>
      </c>
      <c r="AX107" t="s">
        <v>203</v>
      </c>
      <c r="AY107" t="s">
        <v>203</v>
      </c>
      <c r="AZ107" t="s">
        <v>203</v>
      </c>
      <c r="BA107" t="s">
        <v>203</v>
      </c>
      <c r="BB107" t="s">
        <v>203</v>
      </c>
      <c r="BC107" t="s">
        <v>203</v>
      </c>
      <c r="BD107" t="s">
        <v>203</v>
      </c>
      <c r="BE107" t="s">
        <v>203</v>
      </c>
      <c r="BF107">
        <v>8.91</v>
      </c>
      <c r="BG107">
        <v>0.2</v>
      </c>
      <c r="BH107">
        <v>50</v>
      </c>
      <c r="BI107">
        <v>0</v>
      </c>
      <c r="BJ107" t="s">
        <v>198</v>
      </c>
      <c r="BK107" t="s">
        <v>198</v>
      </c>
      <c r="BL107" t="s">
        <v>198</v>
      </c>
      <c r="BM107" t="s">
        <v>198</v>
      </c>
      <c r="BN107" t="s">
        <v>198</v>
      </c>
      <c r="BO107" t="s">
        <v>198</v>
      </c>
      <c r="BP107" t="s">
        <v>198</v>
      </c>
      <c r="BQ107" t="s">
        <v>198</v>
      </c>
      <c r="BR107" t="s">
        <v>198</v>
      </c>
      <c r="BS107" t="s">
        <v>198</v>
      </c>
      <c r="BT107" t="s">
        <v>198</v>
      </c>
      <c r="BU107" t="s">
        <v>198</v>
      </c>
      <c r="BV107" t="s">
        <v>198</v>
      </c>
      <c r="BW107" t="s">
        <v>198</v>
      </c>
      <c r="BX107" t="s">
        <v>198</v>
      </c>
      <c r="BY107" t="s">
        <v>198</v>
      </c>
      <c r="BZ107" t="s">
        <v>198</v>
      </c>
      <c r="CA107" t="s">
        <v>198</v>
      </c>
      <c r="CB107" t="s">
        <v>204</v>
      </c>
      <c r="CC107" t="s">
        <v>204</v>
      </c>
      <c r="CD107" t="s">
        <v>204</v>
      </c>
      <c r="CE107" t="s">
        <v>204</v>
      </c>
      <c r="CF107" t="s">
        <v>204</v>
      </c>
      <c r="CG107" t="s">
        <v>204</v>
      </c>
      <c r="CH107" t="s">
        <v>204</v>
      </c>
      <c r="CI107" t="s">
        <v>204</v>
      </c>
      <c r="CJ107" t="s">
        <v>204</v>
      </c>
      <c r="CK107" t="s">
        <v>204</v>
      </c>
      <c r="CL107" t="s">
        <v>204</v>
      </c>
      <c r="CM107" t="s">
        <v>204</v>
      </c>
      <c r="CN107" t="s">
        <v>203</v>
      </c>
      <c r="CO107" t="s">
        <v>203</v>
      </c>
      <c r="CP107" t="s">
        <v>203</v>
      </c>
      <c r="CQ107" t="s">
        <v>203</v>
      </c>
      <c r="CR107" t="s">
        <v>203</v>
      </c>
      <c r="CS107" t="s">
        <v>203</v>
      </c>
      <c r="CT107" t="s">
        <v>203</v>
      </c>
      <c r="CU107" t="s">
        <v>203</v>
      </c>
      <c r="CV107">
        <v>0</v>
      </c>
      <c r="CW107">
        <v>0</v>
      </c>
      <c r="CX107" t="s">
        <v>198</v>
      </c>
      <c r="CY107" t="s">
        <v>198</v>
      </c>
      <c r="CZ107" t="s">
        <v>198</v>
      </c>
      <c r="DA107" t="s">
        <v>198</v>
      </c>
      <c r="DB107" t="s">
        <v>198</v>
      </c>
      <c r="DC107">
        <v>0</v>
      </c>
      <c r="DD107">
        <v>0</v>
      </c>
      <c r="DE107">
        <v>0</v>
      </c>
      <c r="DF107">
        <v>0</v>
      </c>
      <c r="DG107">
        <v>-35.3631166</v>
      </c>
      <c r="DH107">
        <v>149.1639735</v>
      </c>
      <c r="DI107" t="s">
        <v>360</v>
      </c>
      <c r="DJ107">
        <v>1.2</v>
      </c>
      <c r="DK107">
        <v>2</v>
      </c>
      <c r="DL107">
        <v>115.8</v>
      </c>
      <c r="DM107">
        <v>0</v>
      </c>
      <c r="DN107">
        <v>6</v>
      </c>
      <c r="DO107">
        <v>10</v>
      </c>
      <c r="DP107">
        <v>0</v>
      </c>
      <c r="DQ107">
        <v>255</v>
      </c>
      <c r="DR107">
        <v>255</v>
      </c>
      <c r="DS107">
        <v>255</v>
      </c>
      <c r="DT107">
        <v>255</v>
      </c>
      <c r="DU107">
        <v>255</v>
      </c>
      <c r="DV107">
        <v>255</v>
      </c>
      <c r="DW107">
        <v>255</v>
      </c>
      <c r="DX107" t="s">
        <v>206</v>
      </c>
      <c r="DY107" t="s">
        <v>206</v>
      </c>
      <c r="DZ107" t="s">
        <v>207</v>
      </c>
      <c r="EA107" t="s">
        <v>198</v>
      </c>
      <c r="EB107" t="s">
        <v>198</v>
      </c>
      <c r="EC107" t="s">
        <v>198</v>
      </c>
      <c r="ED107">
        <v>0</v>
      </c>
      <c r="EE107">
        <v>0</v>
      </c>
      <c r="EF107">
        <v>0</v>
      </c>
      <c r="EG107">
        <v>0</v>
      </c>
      <c r="EH107">
        <v>255</v>
      </c>
      <c r="EI107">
        <v>255</v>
      </c>
      <c r="EJ107">
        <v>255</v>
      </c>
      <c r="EK107">
        <v>255</v>
      </c>
      <c r="EL107">
        <v>255</v>
      </c>
      <c r="EM107">
        <v>255</v>
      </c>
      <c r="EN107">
        <v>255</v>
      </c>
      <c r="EO107">
        <v>255</v>
      </c>
      <c r="EP107">
        <v>255</v>
      </c>
      <c r="EQ107">
        <v>255</v>
      </c>
      <c r="ER107" t="s">
        <v>208</v>
      </c>
      <c r="ES107" t="s">
        <v>209</v>
      </c>
      <c r="ET107" t="s">
        <v>209</v>
      </c>
      <c r="EU107">
        <v>0</v>
      </c>
      <c r="EV107">
        <v>16.2</v>
      </c>
      <c r="EW107">
        <v>-114.7</v>
      </c>
      <c r="EX107">
        <v>-11.7</v>
      </c>
      <c r="EY107">
        <v>0</v>
      </c>
      <c r="EZ107">
        <v>0</v>
      </c>
      <c r="FA107">
        <v>0.5</v>
      </c>
      <c r="FB107" t="s">
        <v>198</v>
      </c>
      <c r="FC107" t="s">
        <v>198</v>
      </c>
      <c r="FD107" t="s">
        <v>198</v>
      </c>
      <c r="FE107" t="s">
        <v>198</v>
      </c>
      <c r="FF107" t="s">
        <v>198</v>
      </c>
      <c r="FG107" t="s">
        <v>198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203</v>
      </c>
      <c r="FP107" t="s">
        <v>203</v>
      </c>
      <c r="FQ107" t="s">
        <v>203</v>
      </c>
      <c r="FR107" t="s">
        <v>203</v>
      </c>
      <c r="FS107" t="s">
        <v>203</v>
      </c>
      <c r="FT107" t="s">
        <v>203</v>
      </c>
      <c r="FU107" t="s">
        <v>198</v>
      </c>
      <c r="FV107" t="s">
        <v>198</v>
      </c>
      <c r="FW107" t="s">
        <v>198</v>
      </c>
      <c r="FX107" t="s">
        <v>198</v>
      </c>
      <c r="FY107" t="s">
        <v>198</v>
      </c>
      <c r="FZ107" t="s">
        <v>198</v>
      </c>
      <c r="GA107">
        <v>31.12</v>
      </c>
      <c r="GB107">
        <v>31.12</v>
      </c>
      <c r="GC107" t="s">
        <v>203</v>
      </c>
      <c r="GD107">
        <v>0</v>
      </c>
      <c r="GE107">
        <v>504</v>
      </c>
      <c r="GF107">
        <v>0</v>
      </c>
      <c r="GG107">
        <v>0.1</v>
      </c>
      <c r="GH107">
        <v>0.6</v>
      </c>
      <c r="GI107">
        <v>0</v>
      </c>
      <c r="GJ107">
        <v>0</v>
      </c>
      <c r="GK107">
        <v>0</v>
      </c>
      <c r="GL107" t="s">
        <v>198</v>
      </c>
      <c r="GM107" t="s">
        <v>198</v>
      </c>
      <c r="GN107" t="s">
        <v>198</v>
      </c>
    </row>
    <row r="108" spans="1:196">
      <c r="A108" s="19">
        <v>46316.90513128472</v>
      </c>
      <c r="B108">
        <v>-0.4</v>
      </c>
      <c r="C108">
        <v>0</v>
      </c>
      <c r="D108">
        <v>278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-0.5</v>
      </c>
      <c r="L108">
        <v>11</v>
      </c>
      <c r="M108">
        <v>595.2</v>
      </c>
      <c r="N108">
        <v>10.2</v>
      </c>
      <c r="O108">
        <v>10.97</v>
      </c>
      <c r="P108">
        <v>10.968</v>
      </c>
      <c r="Q108">
        <v>0</v>
      </c>
      <c r="R108">
        <v>0</v>
      </c>
      <c r="S108">
        <v>115.6</v>
      </c>
      <c r="T108" t="s">
        <v>421</v>
      </c>
      <c r="U108">
        <v>115.7</v>
      </c>
      <c r="V108">
        <v>315129.1</v>
      </c>
      <c r="W108">
        <v>3</v>
      </c>
      <c r="X108" t="s">
        <v>197</v>
      </c>
      <c r="Y108">
        <v>0</v>
      </c>
      <c r="Z108">
        <v>98</v>
      </c>
      <c r="AA108">
        <v>278</v>
      </c>
      <c r="AB108" t="s">
        <v>197</v>
      </c>
      <c r="AC108" t="s">
        <v>198</v>
      </c>
      <c r="AD108" t="s">
        <v>199</v>
      </c>
      <c r="AE108">
        <v>32</v>
      </c>
      <c r="AF108">
        <v>44</v>
      </c>
      <c r="AG108">
        <v>255</v>
      </c>
      <c r="AH108">
        <v>0</v>
      </c>
      <c r="AI108">
        <v>0</v>
      </c>
      <c r="AJ108">
        <v>0</v>
      </c>
      <c r="AK108">
        <v>12.6</v>
      </c>
      <c r="AL108">
        <v>0</v>
      </c>
      <c r="AM108">
        <v>0</v>
      </c>
      <c r="AN108" t="s">
        <v>197</v>
      </c>
      <c r="AO108">
        <v>100</v>
      </c>
      <c r="AP108" t="s">
        <v>197</v>
      </c>
      <c r="AQ108" t="s">
        <v>200</v>
      </c>
      <c r="AR108">
        <v>1</v>
      </c>
      <c r="AS108">
        <v>0</v>
      </c>
      <c r="AT108" t="s">
        <v>422</v>
      </c>
      <c r="AU108" t="s">
        <v>422</v>
      </c>
      <c r="AV108" t="s">
        <v>202</v>
      </c>
      <c r="AW108" t="s">
        <v>203</v>
      </c>
      <c r="AX108" t="s">
        <v>203</v>
      </c>
      <c r="AY108" t="s">
        <v>203</v>
      </c>
      <c r="AZ108" t="s">
        <v>203</v>
      </c>
      <c r="BA108" t="s">
        <v>203</v>
      </c>
      <c r="BB108" t="s">
        <v>203</v>
      </c>
      <c r="BC108" t="s">
        <v>203</v>
      </c>
      <c r="BD108" t="s">
        <v>203</v>
      </c>
      <c r="BE108" t="s">
        <v>203</v>
      </c>
      <c r="BF108">
        <v>8.41</v>
      </c>
      <c r="BG108">
        <v>0.2</v>
      </c>
      <c r="BH108">
        <v>50</v>
      </c>
      <c r="BI108">
        <v>0</v>
      </c>
      <c r="BJ108" t="s">
        <v>198</v>
      </c>
      <c r="BK108" t="s">
        <v>198</v>
      </c>
      <c r="BL108" t="s">
        <v>198</v>
      </c>
      <c r="BM108" t="s">
        <v>198</v>
      </c>
      <c r="BN108" t="s">
        <v>198</v>
      </c>
      <c r="BO108" t="s">
        <v>198</v>
      </c>
      <c r="BP108" t="s">
        <v>198</v>
      </c>
      <c r="BQ108" t="s">
        <v>198</v>
      </c>
      <c r="BR108" t="s">
        <v>198</v>
      </c>
      <c r="BS108" t="s">
        <v>198</v>
      </c>
      <c r="BT108" t="s">
        <v>198</v>
      </c>
      <c r="BU108" t="s">
        <v>198</v>
      </c>
      <c r="BV108" t="s">
        <v>198</v>
      </c>
      <c r="BW108" t="s">
        <v>198</v>
      </c>
      <c r="BX108" t="s">
        <v>198</v>
      </c>
      <c r="BY108" t="s">
        <v>198</v>
      </c>
      <c r="BZ108" t="s">
        <v>198</v>
      </c>
      <c r="CA108" t="s">
        <v>198</v>
      </c>
      <c r="CB108" t="s">
        <v>204</v>
      </c>
      <c r="CC108" t="s">
        <v>204</v>
      </c>
      <c r="CD108" t="s">
        <v>204</v>
      </c>
      <c r="CE108" t="s">
        <v>204</v>
      </c>
      <c r="CF108" t="s">
        <v>204</v>
      </c>
      <c r="CG108" t="s">
        <v>204</v>
      </c>
      <c r="CH108" t="s">
        <v>204</v>
      </c>
      <c r="CI108" t="s">
        <v>204</v>
      </c>
      <c r="CJ108" t="s">
        <v>204</v>
      </c>
      <c r="CK108" t="s">
        <v>204</v>
      </c>
      <c r="CL108" t="s">
        <v>204</v>
      </c>
      <c r="CM108" t="s">
        <v>204</v>
      </c>
      <c r="CN108" t="s">
        <v>203</v>
      </c>
      <c r="CO108" t="s">
        <v>203</v>
      </c>
      <c r="CP108" t="s">
        <v>203</v>
      </c>
      <c r="CQ108" t="s">
        <v>203</v>
      </c>
      <c r="CR108" t="s">
        <v>203</v>
      </c>
      <c r="CS108" t="s">
        <v>203</v>
      </c>
      <c r="CT108" t="s">
        <v>203</v>
      </c>
      <c r="CU108" t="s">
        <v>203</v>
      </c>
      <c r="CV108">
        <v>0</v>
      </c>
      <c r="CW108">
        <v>0</v>
      </c>
      <c r="CX108" t="s">
        <v>198</v>
      </c>
      <c r="CY108" t="s">
        <v>198</v>
      </c>
      <c r="CZ108" t="s">
        <v>198</v>
      </c>
      <c r="DA108" t="s">
        <v>198</v>
      </c>
      <c r="DB108" t="s">
        <v>198</v>
      </c>
      <c r="DC108">
        <v>0</v>
      </c>
      <c r="DD108">
        <v>0</v>
      </c>
      <c r="DE108">
        <v>0</v>
      </c>
      <c r="DF108">
        <v>0</v>
      </c>
      <c r="DG108">
        <v>-35.3631166</v>
      </c>
      <c r="DH108">
        <v>149.1639735</v>
      </c>
      <c r="DI108" t="s">
        <v>360</v>
      </c>
      <c r="DJ108">
        <v>1.2</v>
      </c>
      <c r="DK108">
        <v>2</v>
      </c>
      <c r="DL108">
        <v>140</v>
      </c>
      <c r="DM108">
        <v>0</v>
      </c>
      <c r="DN108">
        <v>6</v>
      </c>
      <c r="DO108">
        <v>10</v>
      </c>
      <c r="DP108">
        <v>0</v>
      </c>
      <c r="DQ108">
        <v>255</v>
      </c>
      <c r="DR108">
        <v>255</v>
      </c>
      <c r="DS108">
        <v>255</v>
      </c>
      <c r="DT108">
        <v>255</v>
      </c>
      <c r="DU108">
        <v>255</v>
      </c>
      <c r="DV108">
        <v>255</v>
      </c>
      <c r="DW108">
        <v>255</v>
      </c>
      <c r="DX108" t="s">
        <v>206</v>
      </c>
      <c r="DY108" t="s">
        <v>206</v>
      </c>
      <c r="DZ108" t="s">
        <v>207</v>
      </c>
      <c r="EA108" t="s">
        <v>198</v>
      </c>
      <c r="EB108" t="s">
        <v>198</v>
      </c>
      <c r="EC108" t="s">
        <v>198</v>
      </c>
      <c r="ED108">
        <v>0</v>
      </c>
      <c r="EE108">
        <v>0</v>
      </c>
      <c r="EF108">
        <v>0</v>
      </c>
      <c r="EG108">
        <v>0</v>
      </c>
      <c r="EH108">
        <v>255</v>
      </c>
      <c r="EI108">
        <v>255</v>
      </c>
      <c r="EJ108">
        <v>255</v>
      </c>
      <c r="EK108">
        <v>255</v>
      </c>
      <c r="EL108">
        <v>255</v>
      </c>
      <c r="EM108">
        <v>255</v>
      </c>
      <c r="EN108">
        <v>255</v>
      </c>
      <c r="EO108">
        <v>255</v>
      </c>
      <c r="EP108">
        <v>255</v>
      </c>
      <c r="EQ108">
        <v>255</v>
      </c>
      <c r="ER108" t="s">
        <v>208</v>
      </c>
      <c r="ES108" t="s">
        <v>209</v>
      </c>
      <c r="ET108" t="s">
        <v>209</v>
      </c>
      <c r="EU108">
        <v>0</v>
      </c>
      <c r="EV108">
        <v>16.2</v>
      </c>
      <c r="EW108">
        <v>-114.7</v>
      </c>
      <c r="EX108">
        <v>-11.2</v>
      </c>
      <c r="EY108">
        <v>0</v>
      </c>
      <c r="EZ108">
        <v>0</v>
      </c>
      <c r="FA108">
        <v>0.5</v>
      </c>
      <c r="FB108" t="s">
        <v>198</v>
      </c>
      <c r="FC108" t="s">
        <v>198</v>
      </c>
      <c r="FD108" t="s">
        <v>198</v>
      </c>
      <c r="FE108" t="s">
        <v>198</v>
      </c>
      <c r="FF108" t="s">
        <v>198</v>
      </c>
      <c r="FG108" t="s">
        <v>198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 t="s">
        <v>203</v>
      </c>
      <c r="FP108" t="s">
        <v>203</v>
      </c>
      <c r="FQ108" t="s">
        <v>203</v>
      </c>
      <c r="FR108" t="s">
        <v>203</v>
      </c>
      <c r="FS108" t="s">
        <v>203</v>
      </c>
      <c r="FT108" t="s">
        <v>203</v>
      </c>
      <c r="FU108" t="s">
        <v>198</v>
      </c>
      <c r="FV108" t="s">
        <v>198</v>
      </c>
      <c r="FW108" t="s">
        <v>198</v>
      </c>
      <c r="FX108" t="s">
        <v>198</v>
      </c>
      <c r="FY108" t="s">
        <v>198</v>
      </c>
      <c r="FZ108" t="s">
        <v>198</v>
      </c>
      <c r="GA108">
        <v>31.13</v>
      </c>
      <c r="GB108">
        <v>31.13</v>
      </c>
      <c r="GC108" t="s">
        <v>203</v>
      </c>
      <c r="GD108">
        <v>0</v>
      </c>
      <c r="GE108">
        <v>504</v>
      </c>
      <c r="GF108">
        <v>0</v>
      </c>
      <c r="GG108">
        <v>0.1</v>
      </c>
      <c r="GH108">
        <v>0.6</v>
      </c>
      <c r="GI108">
        <v>0</v>
      </c>
      <c r="GJ108">
        <v>0</v>
      </c>
      <c r="GK108">
        <v>0</v>
      </c>
      <c r="GL108" t="s">
        <v>198</v>
      </c>
      <c r="GM108" t="s">
        <v>198</v>
      </c>
      <c r="GN108" t="s">
        <v>198</v>
      </c>
    </row>
    <row r="109" spans="1:196">
      <c r="A109" s="19">
        <v>46316.9051428588</v>
      </c>
      <c r="B109">
        <v>0</v>
      </c>
      <c r="C109">
        <v>0</v>
      </c>
      <c r="D109">
        <v>278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-0.5</v>
      </c>
      <c r="L109">
        <v>10.5</v>
      </c>
      <c r="M109">
        <v>594.7</v>
      </c>
      <c r="N109">
        <v>10.2</v>
      </c>
      <c r="O109">
        <v>10.47</v>
      </c>
      <c r="P109">
        <v>10.471</v>
      </c>
      <c r="Q109">
        <v>0</v>
      </c>
      <c r="R109">
        <v>0</v>
      </c>
      <c r="S109">
        <v>115.6</v>
      </c>
      <c r="T109" t="s">
        <v>423</v>
      </c>
      <c r="U109">
        <v>115.7</v>
      </c>
      <c r="V109">
        <v>72153.10000000001</v>
      </c>
      <c r="W109">
        <v>3</v>
      </c>
      <c r="X109" t="s">
        <v>197</v>
      </c>
      <c r="Y109">
        <v>0</v>
      </c>
      <c r="Z109">
        <v>98</v>
      </c>
      <c r="AA109">
        <v>278</v>
      </c>
      <c r="AB109" t="s">
        <v>197</v>
      </c>
      <c r="AC109" t="s">
        <v>198</v>
      </c>
      <c r="AD109" t="s">
        <v>199</v>
      </c>
      <c r="AE109">
        <v>33</v>
      </c>
      <c r="AF109">
        <v>44</v>
      </c>
      <c r="AG109">
        <v>255</v>
      </c>
      <c r="AH109">
        <v>0</v>
      </c>
      <c r="AI109">
        <v>0</v>
      </c>
      <c r="AJ109">
        <v>0</v>
      </c>
      <c r="AK109">
        <v>12.6</v>
      </c>
      <c r="AL109">
        <v>0</v>
      </c>
      <c r="AM109">
        <v>0</v>
      </c>
      <c r="AN109" t="s">
        <v>197</v>
      </c>
      <c r="AO109">
        <v>100</v>
      </c>
      <c r="AP109" t="s">
        <v>197</v>
      </c>
      <c r="AQ109" t="s">
        <v>200</v>
      </c>
      <c r="AR109">
        <v>1</v>
      </c>
      <c r="AS109">
        <v>0</v>
      </c>
      <c r="AT109" t="s">
        <v>424</v>
      </c>
      <c r="AU109" t="s">
        <v>424</v>
      </c>
      <c r="AV109" t="s">
        <v>202</v>
      </c>
      <c r="AW109" t="s">
        <v>203</v>
      </c>
      <c r="AX109" t="s">
        <v>203</v>
      </c>
      <c r="AY109" t="s">
        <v>203</v>
      </c>
      <c r="AZ109" t="s">
        <v>203</v>
      </c>
      <c r="BA109" t="s">
        <v>203</v>
      </c>
      <c r="BB109" t="s">
        <v>203</v>
      </c>
      <c r="BC109" t="s">
        <v>203</v>
      </c>
      <c r="BD109" t="s">
        <v>203</v>
      </c>
      <c r="BE109" t="s">
        <v>203</v>
      </c>
      <c r="BF109">
        <v>7.91</v>
      </c>
      <c r="BG109">
        <v>0.2</v>
      </c>
      <c r="BH109">
        <v>50</v>
      </c>
      <c r="BI109">
        <v>0</v>
      </c>
      <c r="BJ109" t="s">
        <v>198</v>
      </c>
      <c r="BK109" t="s">
        <v>198</v>
      </c>
      <c r="BL109" t="s">
        <v>198</v>
      </c>
      <c r="BM109" t="s">
        <v>198</v>
      </c>
      <c r="BN109" t="s">
        <v>198</v>
      </c>
      <c r="BO109" t="s">
        <v>198</v>
      </c>
      <c r="BP109" t="s">
        <v>198</v>
      </c>
      <c r="BQ109" t="s">
        <v>198</v>
      </c>
      <c r="BR109" t="s">
        <v>198</v>
      </c>
      <c r="BS109" t="s">
        <v>198</v>
      </c>
      <c r="BT109" t="s">
        <v>198</v>
      </c>
      <c r="BU109" t="s">
        <v>198</v>
      </c>
      <c r="BV109" t="s">
        <v>198</v>
      </c>
      <c r="BW109" t="s">
        <v>198</v>
      </c>
      <c r="BX109" t="s">
        <v>198</v>
      </c>
      <c r="BY109" t="s">
        <v>198</v>
      </c>
      <c r="BZ109" t="s">
        <v>198</v>
      </c>
      <c r="CA109" t="s">
        <v>198</v>
      </c>
      <c r="CB109" t="s">
        <v>204</v>
      </c>
      <c r="CC109" t="s">
        <v>204</v>
      </c>
      <c r="CD109" t="s">
        <v>204</v>
      </c>
      <c r="CE109" t="s">
        <v>204</v>
      </c>
      <c r="CF109" t="s">
        <v>204</v>
      </c>
      <c r="CG109" t="s">
        <v>204</v>
      </c>
      <c r="CH109" t="s">
        <v>204</v>
      </c>
      <c r="CI109" t="s">
        <v>204</v>
      </c>
      <c r="CJ109" t="s">
        <v>204</v>
      </c>
      <c r="CK109" t="s">
        <v>204</v>
      </c>
      <c r="CL109" t="s">
        <v>204</v>
      </c>
      <c r="CM109" t="s">
        <v>204</v>
      </c>
      <c r="CN109" t="s">
        <v>203</v>
      </c>
      <c r="CO109" t="s">
        <v>203</v>
      </c>
      <c r="CP109" t="s">
        <v>203</v>
      </c>
      <c r="CQ109" t="s">
        <v>203</v>
      </c>
      <c r="CR109" t="s">
        <v>203</v>
      </c>
      <c r="CS109" t="s">
        <v>203</v>
      </c>
      <c r="CT109" t="s">
        <v>203</v>
      </c>
      <c r="CU109" t="s">
        <v>203</v>
      </c>
      <c r="CV109">
        <v>0</v>
      </c>
      <c r="CW109">
        <v>0</v>
      </c>
      <c r="CX109" t="s">
        <v>198</v>
      </c>
      <c r="CY109" t="s">
        <v>198</v>
      </c>
      <c r="CZ109" t="s">
        <v>198</v>
      </c>
      <c r="DA109" t="s">
        <v>198</v>
      </c>
      <c r="DB109" t="s">
        <v>198</v>
      </c>
      <c r="DC109">
        <v>0</v>
      </c>
      <c r="DD109">
        <v>0</v>
      </c>
      <c r="DE109">
        <v>0</v>
      </c>
      <c r="DF109">
        <v>0</v>
      </c>
      <c r="DG109">
        <v>-35.3631166</v>
      </c>
      <c r="DH109">
        <v>149.1639735</v>
      </c>
      <c r="DI109" t="s">
        <v>360</v>
      </c>
      <c r="DJ109">
        <v>1.2</v>
      </c>
      <c r="DK109">
        <v>2</v>
      </c>
      <c r="DL109">
        <v>192.3</v>
      </c>
      <c r="DM109">
        <v>0</v>
      </c>
      <c r="DN109">
        <v>6</v>
      </c>
      <c r="DO109">
        <v>10</v>
      </c>
      <c r="DP109">
        <v>0</v>
      </c>
      <c r="DQ109">
        <v>255</v>
      </c>
      <c r="DR109">
        <v>255</v>
      </c>
      <c r="DS109">
        <v>255</v>
      </c>
      <c r="DT109">
        <v>255</v>
      </c>
      <c r="DU109">
        <v>255</v>
      </c>
      <c r="DV109">
        <v>255</v>
      </c>
      <c r="DW109">
        <v>255</v>
      </c>
      <c r="DX109" t="s">
        <v>206</v>
      </c>
      <c r="DY109" t="s">
        <v>206</v>
      </c>
      <c r="DZ109" t="s">
        <v>207</v>
      </c>
      <c r="EA109" t="s">
        <v>198</v>
      </c>
      <c r="EB109" t="s">
        <v>198</v>
      </c>
      <c r="EC109" t="s">
        <v>198</v>
      </c>
      <c r="ED109">
        <v>0</v>
      </c>
      <c r="EE109">
        <v>0</v>
      </c>
      <c r="EF109">
        <v>0</v>
      </c>
      <c r="EG109">
        <v>0</v>
      </c>
      <c r="EH109">
        <v>255</v>
      </c>
      <c r="EI109">
        <v>255</v>
      </c>
      <c r="EJ109">
        <v>255</v>
      </c>
      <c r="EK109">
        <v>255</v>
      </c>
      <c r="EL109">
        <v>255</v>
      </c>
      <c r="EM109">
        <v>255</v>
      </c>
      <c r="EN109">
        <v>255</v>
      </c>
      <c r="EO109">
        <v>255</v>
      </c>
      <c r="EP109">
        <v>255</v>
      </c>
      <c r="EQ109">
        <v>255</v>
      </c>
      <c r="ER109" t="s">
        <v>208</v>
      </c>
      <c r="ES109" t="s">
        <v>209</v>
      </c>
      <c r="ET109" t="s">
        <v>209</v>
      </c>
      <c r="EU109">
        <v>0</v>
      </c>
      <c r="EV109">
        <v>16.2</v>
      </c>
      <c r="EW109">
        <v>-114.7</v>
      </c>
      <c r="EX109">
        <v>-10.7</v>
      </c>
      <c r="EY109">
        <v>0</v>
      </c>
      <c r="EZ109">
        <v>0</v>
      </c>
      <c r="FA109">
        <v>0.5</v>
      </c>
      <c r="FB109" t="s">
        <v>198</v>
      </c>
      <c r="FC109" t="s">
        <v>198</v>
      </c>
      <c r="FD109" t="s">
        <v>198</v>
      </c>
      <c r="FE109" t="s">
        <v>198</v>
      </c>
      <c r="FF109" t="s">
        <v>198</v>
      </c>
      <c r="FG109" t="s">
        <v>198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203</v>
      </c>
      <c r="FP109" t="s">
        <v>203</v>
      </c>
      <c r="FQ109" t="s">
        <v>203</v>
      </c>
      <c r="FR109" t="s">
        <v>203</v>
      </c>
      <c r="FS109" t="s">
        <v>203</v>
      </c>
      <c r="FT109" t="s">
        <v>203</v>
      </c>
      <c r="FU109" t="s">
        <v>198</v>
      </c>
      <c r="FV109" t="s">
        <v>198</v>
      </c>
      <c r="FW109" t="s">
        <v>198</v>
      </c>
      <c r="FX109" t="s">
        <v>198</v>
      </c>
      <c r="FY109" t="s">
        <v>198</v>
      </c>
      <c r="FZ109" t="s">
        <v>198</v>
      </c>
      <c r="GA109">
        <v>31.13</v>
      </c>
      <c r="GB109">
        <v>31.13</v>
      </c>
      <c r="GC109" t="s">
        <v>203</v>
      </c>
      <c r="GD109">
        <v>0</v>
      </c>
      <c r="GE109">
        <v>504</v>
      </c>
      <c r="GF109">
        <v>0</v>
      </c>
      <c r="GG109">
        <v>0.1</v>
      </c>
      <c r="GH109">
        <v>0.6</v>
      </c>
      <c r="GI109">
        <v>0</v>
      </c>
      <c r="GJ109">
        <v>0</v>
      </c>
      <c r="GK109">
        <v>0</v>
      </c>
      <c r="GL109" t="s">
        <v>198</v>
      </c>
      <c r="GM109" t="s">
        <v>198</v>
      </c>
      <c r="GN109" t="s">
        <v>198</v>
      </c>
    </row>
    <row r="110" spans="1:196">
      <c r="A110" s="19">
        <v>46316.90515443287</v>
      </c>
      <c r="B110">
        <v>0.3</v>
      </c>
      <c r="C110">
        <v>0</v>
      </c>
      <c r="D110">
        <v>278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10.3</v>
      </c>
      <c r="M110">
        <v>594.5</v>
      </c>
      <c r="N110">
        <v>9.699999999999999</v>
      </c>
      <c r="O110">
        <v>10.35</v>
      </c>
      <c r="P110">
        <v>10.363</v>
      </c>
      <c r="Q110">
        <v>0</v>
      </c>
      <c r="R110">
        <v>0</v>
      </c>
      <c r="S110">
        <v>115.6</v>
      </c>
      <c r="T110" t="s">
        <v>425</v>
      </c>
      <c r="U110">
        <v>115.7</v>
      </c>
      <c r="V110">
        <v>88048.2</v>
      </c>
      <c r="W110">
        <v>3</v>
      </c>
      <c r="X110" t="s">
        <v>197</v>
      </c>
      <c r="Y110">
        <v>0</v>
      </c>
      <c r="Z110">
        <v>98</v>
      </c>
      <c r="AA110">
        <v>278</v>
      </c>
      <c r="AB110" t="s">
        <v>197</v>
      </c>
      <c r="AC110" t="s">
        <v>198</v>
      </c>
      <c r="AD110" t="s">
        <v>199</v>
      </c>
      <c r="AE110">
        <v>33</v>
      </c>
      <c r="AF110">
        <v>44</v>
      </c>
      <c r="AG110">
        <v>255</v>
      </c>
      <c r="AH110">
        <v>0</v>
      </c>
      <c r="AI110">
        <v>0</v>
      </c>
      <c r="AJ110">
        <v>0</v>
      </c>
      <c r="AK110">
        <v>12.6</v>
      </c>
      <c r="AL110">
        <v>0</v>
      </c>
      <c r="AM110">
        <v>0</v>
      </c>
      <c r="AN110" t="s">
        <v>197</v>
      </c>
      <c r="AO110">
        <v>100</v>
      </c>
      <c r="AP110" t="s">
        <v>197</v>
      </c>
      <c r="AQ110" t="s">
        <v>200</v>
      </c>
      <c r="AR110">
        <v>1</v>
      </c>
      <c r="AS110">
        <v>0</v>
      </c>
      <c r="AT110" t="s">
        <v>426</v>
      </c>
      <c r="AU110" t="s">
        <v>426</v>
      </c>
      <c r="AV110" t="s">
        <v>202</v>
      </c>
      <c r="AW110" t="s">
        <v>203</v>
      </c>
      <c r="AX110" t="s">
        <v>203</v>
      </c>
      <c r="AY110" t="s">
        <v>203</v>
      </c>
      <c r="AZ110" t="s">
        <v>203</v>
      </c>
      <c r="BA110" t="s">
        <v>203</v>
      </c>
      <c r="BB110" t="s">
        <v>203</v>
      </c>
      <c r="BC110" t="s">
        <v>203</v>
      </c>
      <c r="BD110" t="s">
        <v>203</v>
      </c>
      <c r="BE110" t="s">
        <v>203</v>
      </c>
      <c r="BF110">
        <v>7.78</v>
      </c>
      <c r="BG110">
        <v>0.2</v>
      </c>
      <c r="BH110">
        <v>50</v>
      </c>
      <c r="BI110">
        <v>0</v>
      </c>
      <c r="BJ110" t="s">
        <v>198</v>
      </c>
      <c r="BK110" t="s">
        <v>198</v>
      </c>
      <c r="BL110" t="s">
        <v>198</v>
      </c>
      <c r="BM110" t="s">
        <v>198</v>
      </c>
      <c r="BN110" t="s">
        <v>198</v>
      </c>
      <c r="BO110" t="s">
        <v>198</v>
      </c>
      <c r="BP110" t="s">
        <v>198</v>
      </c>
      <c r="BQ110" t="s">
        <v>198</v>
      </c>
      <c r="BR110" t="s">
        <v>198</v>
      </c>
      <c r="BS110" t="s">
        <v>198</v>
      </c>
      <c r="BT110" t="s">
        <v>198</v>
      </c>
      <c r="BU110" t="s">
        <v>198</v>
      </c>
      <c r="BV110" t="s">
        <v>198</v>
      </c>
      <c r="BW110" t="s">
        <v>198</v>
      </c>
      <c r="BX110" t="s">
        <v>198</v>
      </c>
      <c r="BY110" t="s">
        <v>198</v>
      </c>
      <c r="BZ110" t="s">
        <v>198</v>
      </c>
      <c r="CA110" t="s">
        <v>198</v>
      </c>
      <c r="CB110" t="s">
        <v>204</v>
      </c>
      <c r="CC110" t="s">
        <v>204</v>
      </c>
      <c r="CD110" t="s">
        <v>204</v>
      </c>
      <c r="CE110" t="s">
        <v>204</v>
      </c>
      <c r="CF110" t="s">
        <v>204</v>
      </c>
      <c r="CG110" t="s">
        <v>204</v>
      </c>
      <c r="CH110" t="s">
        <v>204</v>
      </c>
      <c r="CI110" t="s">
        <v>204</v>
      </c>
      <c r="CJ110" t="s">
        <v>204</v>
      </c>
      <c r="CK110" t="s">
        <v>204</v>
      </c>
      <c r="CL110" t="s">
        <v>204</v>
      </c>
      <c r="CM110" t="s">
        <v>204</v>
      </c>
      <c r="CN110" t="s">
        <v>203</v>
      </c>
      <c r="CO110" t="s">
        <v>203</v>
      </c>
      <c r="CP110" t="s">
        <v>203</v>
      </c>
      <c r="CQ110" t="s">
        <v>203</v>
      </c>
      <c r="CR110" t="s">
        <v>203</v>
      </c>
      <c r="CS110" t="s">
        <v>203</v>
      </c>
      <c r="CT110" t="s">
        <v>203</v>
      </c>
      <c r="CU110" t="s">
        <v>203</v>
      </c>
      <c r="CV110">
        <v>0</v>
      </c>
      <c r="CW110">
        <v>0</v>
      </c>
      <c r="CX110" t="s">
        <v>198</v>
      </c>
      <c r="CY110" t="s">
        <v>198</v>
      </c>
      <c r="CZ110" t="s">
        <v>198</v>
      </c>
      <c r="DA110" t="s">
        <v>198</v>
      </c>
      <c r="DB110" t="s">
        <v>198</v>
      </c>
      <c r="DC110">
        <v>0</v>
      </c>
      <c r="DD110">
        <v>0</v>
      </c>
      <c r="DE110">
        <v>0</v>
      </c>
      <c r="DF110">
        <v>0</v>
      </c>
      <c r="DG110">
        <v>-35.3631166</v>
      </c>
      <c r="DH110">
        <v>149.1639735</v>
      </c>
      <c r="DI110" t="s">
        <v>360</v>
      </c>
      <c r="DJ110">
        <v>1.2</v>
      </c>
      <c r="DK110">
        <v>2</v>
      </c>
      <c r="DL110">
        <v>350</v>
      </c>
      <c r="DM110">
        <v>0</v>
      </c>
      <c r="DN110">
        <v>6</v>
      </c>
      <c r="DO110">
        <v>10</v>
      </c>
      <c r="DP110">
        <v>0</v>
      </c>
      <c r="DQ110">
        <v>255</v>
      </c>
      <c r="DR110">
        <v>255</v>
      </c>
      <c r="DS110">
        <v>255</v>
      </c>
      <c r="DT110">
        <v>255</v>
      </c>
      <c r="DU110">
        <v>255</v>
      </c>
      <c r="DV110">
        <v>255</v>
      </c>
      <c r="DW110">
        <v>255</v>
      </c>
      <c r="DX110" t="s">
        <v>206</v>
      </c>
      <c r="DY110" t="s">
        <v>206</v>
      </c>
      <c r="DZ110" t="s">
        <v>207</v>
      </c>
      <c r="EA110" t="s">
        <v>198</v>
      </c>
      <c r="EB110" t="s">
        <v>198</v>
      </c>
      <c r="EC110" t="s">
        <v>198</v>
      </c>
      <c r="ED110">
        <v>0</v>
      </c>
      <c r="EE110">
        <v>0</v>
      </c>
      <c r="EF110">
        <v>0</v>
      </c>
      <c r="EG110">
        <v>0</v>
      </c>
      <c r="EH110">
        <v>255</v>
      </c>
      <c r="EI110">
        <v>255</v>
      </c>
      <c r="EJ110">
        <v>255</v>
      </c>
      <c r="EK110">
        <v>255</v>
      </c>
      <c r="EL110">
        <v>255</v>
      </c>
      <c r="EM110">
        <v>255</v>
      </c>
      <c r="EN110">
        <v>255</v>
      </c>
      <c r="EO110">
        <v>255</v>
      </c>
      <c r="EP110">
        <v>255</v>
      </c>
      <c r="EQ110">
        <v>255</v>
      </c>
      <c r="ER110" t="s">
        <v>208</v>
      </c>
      <c r="ES110" t="s">
        <v>209</v>
      </c>
      <c r="ET110" t="s">
        <v>209</v>
      </c>
      <c r="EU110">
        <v>0</v>
      </c>
      <c r="EV110">
        <v>16.2</v>
      </c>
      <c r="EW110">
        <v>-114.7</v>
      </c>
      <c r="EX110">
        <v>-10.5</v>
      </c>
      <c r="EY110">
        <v>0</v>
      </c>
      <c r="EZ110">
        <v>0</v>
      </c>
      <c r="FA110">
        <v>0</v>
      </c>
      <c r="FB110" t="s">
        <v>198</v>
      </c>
      <c r="FC110" t="s">
        <v>198</v>
      </c>
      <c r="FD110" t="s">
        <v>198</v>
      </c>
      <c r="FE110" t="s">
        <v>198</v>
      </c>
      <c r="FF110" t="s">
        <v>198</v>
      </c>
      <c r="FG110" t="s">
        <v>198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 t="s">
        <v>203</v>
      </c>
      <c r="FP110" t="s">
        <v>203</v>
      </c>
      <c r="FQ110" t="s">
        <v>203</v>
      </c>
      <c r="FR110" t="s">
        <v>203</v>
      </c>
      <c r="FS110" t="s">
        <v>203</v>
      </c>
      <c r="FT110" t="s">
        <v>203</v>
      </c>
      <c r="FU110" t="s">
        <v>198</v>
      </c>
      <c r="FV110" t="s">
        <v>198</v>
      </c>
      <c r="FW110" t="s">
        <v>198</v>
      </c>
      <c r="FX110" t="s">
        <v>198</v>
      </c>
      <c r="FY110" t="s">
        <v>198</v>
      </c>
      <c r="FZ110" t="s">
        <v>198</v>
      </c>
      <c r="GA110">
        <v>31.13</v>
      </c>
      <c r="GB110">
        <v>31.13</v>
      </c>
      <c r="GC110" t="s">
        <v>203</v>
      </c>
      <c r="GD110">
        <v>0</v>
      </c>
      <c r="GE110">
        <v>504</v>
      </c>
      <c r="GF110">
        <v>0</v>
      </c>
      <c r="GG110">
        <v>0.1</v>
      </c>
      <c r="GH110">
        <v>0.5</v>
      </c>
      <c r="GI110">
        <v>0</v>
      </c>
      <c r="GJ110">
        <v>0</v>
      </c>
      <c r="GK110">
        <v>0</v>
      </c>
      <c r="GL110" t="s">
        <v>198</v>
      </c>
      <c r="GM110" t="s">
        <v>198</v>
      </c>
      <c r="GN110" t="s">
        <v>198</v>
      </c>
    </row>
    <row r="111" spans="1:196">
      <c r="A111" s="19">
        <v>46316.90516599537</v>
      </c>
      <c r="B111">
        <v>-0.4</v>
      </c>
      <c r="C111">
        <v>0</v>
      </c>
      <c r="D111">
        <v>278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10.4</v>
      </c>
      <c r="M111">
        <v>594.6</v>
      </c>
      <c r="N111">
        <v>9.699999999999999</v>
      </c>
      <c r="O111">
        <v>10.37</v>
      </c>
      <c r="P111">
        <v>10.362</v>
      </c>
      <c r="Q111">
        <v>0</v>
      </c>
      <c r="R111">
        <v>0</v>
      </c>
      <c r="S111">
        <v>115.6</v>
      </c>
      <c r="T111" t="s">
        <v>427</v>
      </c>
      <c r="U111">
        <v>115.7</v>
      </c>
      <c r="V111">
        <v>162933.8</v>
      </c>
      <c r="W111">
        <v>3</v>
      </c>
      <c r="X111" t="s">
        <v>197</v>
      </c>
      <c r="Y111">
        <v>0</v>
      </c>
      <c r="Z111">
        <v>98</v>
      </c>
      <c r="AA111">
        <v>278</v>
      </c>
      <c r="AB111" t="s">
        <v>197</v>
      </c>
      <c r="AC111" t="s">
        <v>198</v>
      </c>
      <c r="AD111" t="s">
        <v>199</v>
      </c>
      <c r="AE111">
        <v>32</v>
      </c>
      <c r="AF111">
        <v>44</v>
      </c>
      <c r="AG111">
        <v>255</v>
      </c>
      <c r="AH111">
        <v>0</v>
      </c>
      <c r="AI111">
        <v>0</v>
      </c>
      <c r="AJ111">
        <v>0</v>
      </c>
      <c r="AK111">
        <v>12.6</v>
      </c>
      <c r="AL111">
        <v>0</v>
      </c>
      <c r="AM111">
        <v>0</v>
      </c>
      <c r="AN111" t="s">
        <v>197</v>
      </c>
      <c r="AO111">
        <v>100</v>
      </c>
      <c r="AP111" t="s">
        <v>197</v>
      </c>
      <c r="AQ111" t="s">
        <v>200</v>
      </c>
      <c r="AR111">
        <v>1</v>
      </c>
      <c r="AS111">
        <v>0</v>
      </c>
      <c r="AT111" t="s">
        <v>428</v>
      </c>
      <c r="AU111" t="s">
        <v>428</v>
      </c>
      <c r="AV111" t="s">
        <v>202</v>
      </c>
      <c r="AW111" t="s">
        <v>203</v>
      </c>
      <c r="AX111" t="s">
        <v>203</v>
      </c>
      <c r="AY111" t="s">
        <v>203</v>
      </c>
      <c r="AZ111" t="s">
        <v>203</v>
      </c>
      <c r="BA111" t="s">
        <v>203</v>
      </c>
      <c r="BB111" t="s">
        <v>203</v>
      </c>
      <c r="BC111" t="s">
        <v>203</v>
      </c>
      <c r="BD111" t="s">
        <v>203</v>
      </c>
      <c r="BE111" t="s">
        <v>203</v>
      </c>
      <c r="BF111">
        <v>7.8</v>
      </c>
      <c r="BG111">
        <v>0.2</v>
      </c>
      <c r="BH111">
        <v>50</v>
      </c>
      <c r="BI111">
        <v>0</v>
      </c>
      <c r="BJ111" t="s">
        <v>198</v>
      </c>
      <c r="BK111" t="s">
        <v>198</v>
      </c>
      <c r="BL111" t="s">
        <v>198</v>
      </c>
      <c r="BM111" t="s">
        <v>198</v>
      </c>
      <c r="BN111" t="s">
        <v>198</v>
      </c>
      <c r="BO111" t="s">
        <v>198</v>
      </c>
      <c r="BP111" t="s">
        <v>198</v>
      </c>
      <c r="BQ111" t="s">
        <v>198</v>
      </c>
      <c r="BR111" t="s">
        <v>198</v>
      </c>
      <c r="BS111" t="s">
        <v>198</v>
      </c>
      <c r="BT111" t="s">
        <v>198</v>
      </c>
      <c r="BU111" t="s">
        <v>198</v>
      </c>
      <c r="BV111" t="s">
        <v>198</v>
      </c>
      <c r="BW111" t="s">
        <v>198</v>
      </c>
      <c r="BX111" t="s">
        <v>198</v>
      </c>
      <c r="BY111" t="s">
        <v>198</v>
      </c>
      <c r="BZ111" t="s">
        <v>198</v>
      </c>
      <c r="CA111" t="s">
        <v>198</v>
      </c>
      <c r="CB111" t="s">
        <v>204</v>
      </c>
      <c r="CC111" t="s">
        <v>204</v>
      </c>
      <c r="CD111" t="s">
        <v>204</v>
      </c>
      <c r="CE111" t="s">
        <v>204</v>
      </c>
      <c r="CF111" t="s">
        <v>204</v>
      </c>
      <c r="CG111" t="s">
        <v>204</v>
      </c>
      <c r="CH111" t="s">
        <v>204</v>
      </c>
      <c r="CI111" t="s">
        <v>204</v>
      </c>
      <c r="CJ111" t="s">
        <v>204</v>
      </c>
      <c r="CK111" t="s">
        <v>204</v>
      </c>
      <c r="CL111" t="s">
        <v>204</v>
      </c>
      <c r="CM111" t="s">
        <v>204</v>
      </c>
      <c r="CN111" t="s">
        <v>203</v>
      </c>
      <c r="CO111" t="s">
        <v>203</v>
      </c>
      <c r="CP111" t="s">
        <v>203</v>
      </c>
      <c r="CQ111" t="s">
        <v>203</v>
      </c>
      <c r="CR111" t="s">
        <v>203</v>
      </c>
      <c r="CS111" t="s">
        <v>203</v>
      </c>
      <c r="CT111" t="s">
        <v>203</v>
      </c>
      <c r="CU111" t="s">
        <v>203</v>
      </c>
      <c r="CV111">
        <v>0</v>
      </c>
      <c r="CW111">
        <v>0</v>
      </c>
      <c r="CX111" t="s">
        <v>198</v>
      </c>
      <c r="CY111" t="s">
        <v>198</v>
      </c>
      <c r="CZ111" t="s">
        <v>198</v>
      </c>
      <c r="DA111" t="s">
        <v>198</v>
      </c>
      <c r="DB111" t="s">
        <v>198</v>
      </c>
      <c r="DC111">
        <v>0</v>
      </c>
      <c r="DD111">
        <v>0</v>
      </c>
      <c r="DE111">
        <v>0</v>
      </c>
      <c r="DF111">
        <v>0</v>
      </c>
      <c r="DG111">
        <v>-35.3631166</v>
      </c>
      <c r="DH111">
        <v>149.1639735</v>
      </c>
      <c r="DI111" t="s">
        <v>360</v>
      </c>
      <c r="DJ111">
        <v>1.2</v>
      </c>
      <c r="DK111">
        <v>2</v>
      </c>
      <c r="DL111">
        <v>123.8</v>
      </c>
      <c r="DM111">
        <v>0</v>
      </c>
      <c r="DN111">
        <v>6</v>
      </c>
      <c r="DO111">
        <v>10</v>
      </c>
      <c r="DP111">
        <v>0</v>
      </c>
      <c r="DQ111">
        <v>255</v>
      </c>
      <c r="DR111">
        <v>255</v>
      </c>
      <c r="DS111">
        <v>255</v>
      </c>
      <c r="DT111">
        <v>255</v>
      </c>
      <c r="DU111">
        <v>255</v>
      </c>
      <c r="DV111">
        <v>255</v>
      </c>
      <c r="DW111">
        <v>255</v>
      </c>
      <c r="DX111" t="s">
        <v>206</v>
      </c>
      <c r="DY111" t="s">
        <v>206</v>
      </c>
      <c r="DZ111" t="s">
        <v>207</v>
      </c>
      <c r="EA111" t="s">
        <v>198</v>
      </c>
      <c r="EB111" t="s">
        <v>198</v>
      </c>
      <c r="EC111" t="s">
        <v>198</v>
      </c>
      <c r="ED111">
        <v>0</v>
      </c>
      <c r="EE111">
        <v>0</v>
      </c>
      <c r="EF111">
        <v>0</v>
      </c>
      <c r="EG111">
        <v>0</v>
      </c>
      <c r="EH111">
        <v>255</v>
      </c>
      <c r="EI111">
        <v>255</v>
      </c>
      <c r="EJ111">
        <v>255</v>
      </c>
      <c r="EK111">
        <v>255</v>
      </c>
      <c r="EL111">
        <v>255</v>
      </c>
      <c r="EM111">
        <v>255</v>
      </c>
      <c r="EN111">
        <v>255</v>
      </c>
      <c r="EO111">
        <v>255</v>
      </c>
      <c r="EP111">
        <v>255</v>
      </c>
      <c r="EQ111">
        <v>255</v>
      </c>
      <c r="ER111" t="s">
        <v>208</v>
      </c>
      <c r="ES111" t="s">
        <v>209</v>
      </c>
      <c r="ET111" t="s">
        <v>209</v>
      </c>
      <c r="EU111">
        <v>0</v>
      </c>
      <c r="EV111">
        <v>16.2</v>
      </c>
      <c r="EW111">
        <v>-114.7</v>
      </c>
      <c r="EX111">
        <v>-10.6</v>
      </c>
      <c r="EY111">
        <v>0</v>
      </c>
      <c r="EZ111">
        <v>0</v>
      </c>
      <c r="FA111">
        <v>0</v>
      </c>
      <c r="FB111" t="s">
        <v>198</v>
      </c>
      <c r="FC111" t="s">
        <v>198</v>
      </c>
      <c r="FD111" t="s">
        <v>198</v>
      </c>
      <c r="FE111" t="s">
        <v>198</v>
      </c>
      <c r="FF111" t="s">
        <v>198</v>
      </c>
      <c r="FG111" t="s">
        <v>198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 t="s">
        <v>203</v>
      </c>
      <c r="FP111" t="s">
        <v>203</v>
      </c>
      <c r="FQ111" t="s">
        <v>203</v>
      </c>
      <c r="FR111" t="s">
        <v>203</v>
      </c>
      <c r="FS111" t="s">
        <v>203</v>
      </c>
      <c r="FT111" t="s">
        <v>203</v>
      </c>
      <c r="FU111" t="s">
        <v>198</v>
      </c>
      <c r="FV111" t="s">
        <v>198</v>
      </c>
      <c r="FW111" t="s">
        <v>198</v>
      </c>
      <c r="FX111" t="s">
        <v>198</v>
      </c>
      <c r="FY111" t="s">
        <v>198</v>
      </c>
      <c r="FZ111" t="s">
        <v>198</v>
      </c>
      <c r="GA111">
        <v>31.13</v>
      </c>
      <c r="GB111">
        <v>31.13</v>
      </c>
      <c r="GC111" t="s">
        <v>203</v>
      </c>
      <c r="GD111">
        <v>0</v>
      </c>
      <c r="GE111">
        <v>504</v>
      </c>
      <c r="GF111">
        <v>0</v>
      </c>
      <c r="GG111">
        <v>0.1</v>
      </c>
      <c r="GH111">
        <v>0.5</v>
      </c>
      <c r="GI111">
        <v>0</v>
      </c>
      <c r="GJ111">
        <v>0</v>
      </c>
      <c r="GK111">
        <v>0</v>
      </c>
      <c r="GL111" t="s">
        <v>198</v>
      </c>
      <c r="GM111" t="s">
        <v>198</v>
      </c>
      <c r="GN111" t="s">
        <v>198</v>
      </c>
    </row>
    <row r="112" spans="1:196">
      <c r="A112" s="19">
        <v>46316.90517758102</v>
      </c>
      <c r="B112">
        <v>0.4</v>
      </c>
      <c r="C112">
        <v>0</v>
      </c>
      <c r="D112">
        <v>278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0.001</v>
      </c>
      <c r="K112">
        <v>0</v>
      </c>
      <c r="L112">
        <v>10.4</v>
      </c>
      <c r="M112">
        <v>594.5</v>
      </c>
      <c r="N112">
        <v>9.699999999999999</v>
      </c>
      <c r="O112">
        <v>10.36</v>
      </c>
      <c r="P112">
        <v>10.362</v>
      </c>
      <c r="Q112">
        <v>0</v>
      </c>
      <c r="R112">
        <v>0</v>
      </c>
      <c r="S112">
        <v>115.6</v>
      </c>
      <c r="T112" t="s">
        <v>429</v>
      </c>
      <c r="U112">
        <v>115.7</v>
      </c>
      <c r="V112">
        <v>97519.3</v>
      </c>
      <c r="W112">
        <v>3</v>
      </c>
      <c r="X112" t="s">
        <v>197</v>
      </c>
      <c r="Y112">
        <v>0</v>
      </c>
      <c r="Z112">
        <v>98</v>
      </c>
      <c r="AA112">
        <v>278</v>
      </c>
      <c r="AB112" t="s">
        <v>197</v>
      </c>
      <c r="AC112" t="s">
        <v>198</v>
      </c>
      <c r="AD112" t="s">
        <v>199</v>
      </c>
      <c r="AE112">
        <v>33</v>
      </c>
      <c r="AF112">
        <v>44</v>
      </c>
      <c r="AG112">
        <v>255</v>
      </c>
      <c r="AH112">
        <v>0</v>
      </c>
      <c r="AI112">
        <v>0</v>
      </c>
      <c r="AJ112">
        <v>0</v>
      </c>
      <c r="AK112">
        <v>12.6</v>
      </c>
      <c r="AL112">
        <v>0</v>
      </c>
      <c r="AM112">
        <v>0</v>
      </c>
      <c r="AN112" t="s">
        <v>197</v>
      </c>
      <c r="AO112">
        <v>100</v>
      </c>
      <c r="AP112" t="s">
        <v>197</v>
      </c>
      <c r="AQ112" t="s">
        <v>200</v>
      </c>
      <c r="AR112">
        <v>1</v>
      </c>
      <c r="AS112">
        <v>0</v>
      </c>
      <c r="AT112" t="s">
        <v>430</v>
      </c>
      <c r="AU112" t="s">
        <v>430</v>
      </c>
      <c r="AV112" t="s">
        <v>202</v>
      </c>
      <c r="AW112" t="s">
        <v>203</v>
      </c>
      <c r="AX112" t="s">
        <v>203</v>
      </c>
      <c r="AY112" t="s">
        <v>203</v>
      </c>
      <c r="AZ112" t="s">
        <v>203</v>
      </c>
      <c r="BA112" t="s">
        <v>203</v>
      </c>
      <c r="BB112" t="s">
        <v>203</v>
      </c>
      <c r="BC112" t="s">
        <v>203</v>
      </c>
      <c r="BD112" t="s">
        <v>203</v>
      </c>
      <c r="BE112" t="s">
        <v>203</v>
      </c>
      <c r="BF112">
        <v>7.79</v>
      </c>
      <c r="BG112">
        <v>0.2</v>
      </c>
      <c r="BH112">
        <v>50</v>
      </c>
      <c r="BI112">
        <v>0</v>
      </c>
      <c r="BJ112" t="s">
        <v>198</v>
      </c>
      <c r="BK112" t="s">
        <v>198</v>
      </c>
      <c r="BL112" t="s">
        <v>198</v>
      </c>
      <c r="BM112" t="s">
        <v>198</v>
      </c>
      <c r="BN112" t="s">
        <v>198</v>
      </c>
      <c r="BO112" t="s">
        <v>198</v>
      </c>
      <c r="BP112" t="s">
        <v>198</v>
      </c>
      <c r="BQ112" t="s">
        <v>198</v>
      </c>
      <c r="BR112" t="s">
        <v>198</v>
      </c>
      <c r="BS112" t="s">
        <v>198</v>
      </c>
      <c r="BT112" t="s">
        <v>198</v>
      </c>
      <c r="BU112" t="s">
        <v>198</v>
      </c>
      <c r="BV112" t="s">
        <v>198</v>
      </c>
      <c r="BW112" t="s">
        <v>198</v>
      </c>
      <c r="BX112" t="s">
        <v>198</v>
      </c>
      <c r="BY112" t="s">
        <v>198</v>
      </c>
      <c r="BZ112" t="s">
        <v>198</v>
      </c>
      <c r="CA112" t="s">
        <v>198</v>
      </c>
      <c r="CB112" t="s">
        <v>204</v>
      </c>
      <c r="CC112" t="s">
        <v>204</v>
      </c>
      <c r="CD112" t="s">
        <v>204</v>
      </c>
      <c r="CE112" t="s">
        <v>204</v>
      </c>
      <c r="CF112" t="s">
        <v>204</v>
      </c>
      <c r="CG112" t="s">
        <v>204</v>
      </c>
      <c r="CH112" t="s">
        <v>204</v>
      </c>
      <c r="CI112" t="s">
        <v>204</v>
      </c>
      <c r="CJ112" t="s">
        <v>204</v>
      </c>
      <c r="CK112" t="s">
        <v>204</v>
      </c>
      <c r="CL112" t="s">
        <v>204</v>
      </c>
      <c r="CM112" t="s">
        <v>204</v>
      </c>
      <c r="CN112" t="s">
        <v>203</v>
      </c>
      <c r="CO112" t="s">
        <v>203</v>
      </c>
      <c r="CP112" t="s">
        <v>203</v>
      </c>
      <c r="CQ112" t="s">
        <v>203</v>
      </c>
      <c r="CR112" t="s">
        <v>203</v>
      </c>
      <c r="CS112" t="s">
        <v>203</v>
      </c>
      <c r="CT112" t="s">
        <v>203</v>
      </c>
      <c r="CU112" t="s">
        <v>203</v>
      </c>
      <c r="CV112">
        <v>0</v>
      </c>
      <c r="CW112">
        <v>0</v>
      </c>
      <c r="CX112" t="s">
        <v>198</v>
      </c>
      <c r="CY112" t="s">
        <v>198</v>
      </c>
      <c r="CZ112" t="s">
        <v>198</v>
      </c>
      <c r="DA112" t="s">
        <v>198</v>
      </c>
      <c r="DB112" t="s">
        <v>198</v>
      </c>
      <c r="DC112">
        <v>0</v>
      </c>
      <c r="DD112">
        <v>0</v>
      </c>
      <c r="DE112">
        <v>0</v>
      </c>
      <c r="DF112">
        <v>0</v>
      </c>
      <c r="DG112">
        <v>-35.3631166</v>
      </c>
      <c r="DH112">
        <v>149.1639735</v>
      </c>
      <c r="DI112" t="s">
        <v>360</v>
      </c>
      <c r="DJ112">
        <v>1.2</v>
      </c>
      <c r="DK112">
        <v>2</v>
      </c>
      <c r="DL112">
        <v>13.3</v>
      </c>
      <c r="DM112">
        <v>0</v>
      </c>
      <c r="DN112">
        <v>6</v>
      </c>
      <c r="DO112">
        <v>10</v>
      </c>
      <c r="DP112">
        <v>0</v>
      </c>
      <c r="DQ112">
        <v>255</v>
      </c>
      <c r="DR112">
        <v>255</v>
      </c>
      <c r="DS112">
        <v>255</v>
      </c>
      <c r="DT112">
        <v>255</v>
      </c>
      <c r="DU112">
        <v>255</v>
      </c>
      <c r="DV112">
        <v>255</v>
      </c>
      <c r="DW112">
        <v>255</v>
      </c>
      <c r="DX112" t="s">
        <v>206</v>
      </c>
      <c r="DY112" t="s">
        <v>206</v>
      </c>
      <c r="DZ112" t="s">
        <v>207</v>
      </c>
      <c r="EA112" t="s">
        <v>198</v>
      </c>
      <c r="EB112" t="s">
        <v>198</v>
      </c>
      <c r="EC112" t="s">
        <v>198</v>
      </c>
      <c r="ED112">
        <v>0</v>
      </c>
      <c r="EE112">
        <v>0</v>
      </c>
      <c r="EF112">
        <v>0</v>
      </c>
      <c r="EG112">
        <v>0</v>
      </c>
      <c r="EH112">
        <v>255</v>
      </c>
      <c r="EI112">
        <v>255</v>
      </c>
      <c r="EJ112">
        <v>255</v>
      </c>
      <c r="EK112">
        <v>255</v>
      </c>
      <c r="EL112">
        <v>255</v>
      </c>
      <c r="EM112">
        <v>255</v>
      </c>
      <c r="EN112">
        <v>255</v>
      </c>
      <c r="EO112">
        <v>255</v>
      </c>
      <c r="EP112">
        <v>255</v>
      </c>
      <c r="EQ112">
        <v>255</v>
      </c>
      <c r="ER112" t="s">
        <v>208</v>
      </c>
      <c r="ES112" t="s">
        <v>209</v>
      </c>
      <c r="ET112" t="s">
        <v>209</v>
      </c>
      <c r="EU112">
        <v>0</v>
      </c>
      <c r="EV112">
        <v>16.2</v>
      </c>
      <c r="EW112">
        <v>-114.7</v>
      </c>
      <c r="EX112">
        <v>-10.6</v>
      </c>
      <c r="EY112">
        <v>0</v>
      </c>
      <c r="EZ112">
        <v>0</v>
      </c>
      <c r="FA112">
        <v>0</v>
      </c>
      <c r="FB112" t="s">
        <v>198</v>
      </c>
      <c r="FC112" t="s">
        <v>198</v>
      </c>
      <c r="FD112" t="s">
        <v>198</v>
      </c>
      <c r="FE112" t="s">
        <v>198</v>
      </c>
      <c r="FF112" t="s">
        <v>198</v>
      </c>
      <c r="FG112" t="s">
        <v>198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 t="s">
        <v>203</v>
      </c>
      <c r="FP112" t="s">
        <v>203</v>
      </c>
      <c r="FQ112" t="s">
        <v>203</v>
      </c>
      <c r="FR112" t="s">
        <v>203</v>
      </c>
      <c r="FS112" t="s">
        <v>203</v>
      </c>
      <c r="FT112" t="s">
        <v>203</v>
      </c>
      <c r="FU112" t="s">
        <v>198</v>
      </c>
      <c r="FV112" t="s">
        <v>198</v>
      </c>
      <c r="FW112" t="s">
        <v>198</v>
      </c>
      <c r="FX112" t="s">
        <v>198</v>
      </c>
      <c r="FY112" t="s">
        <v>198</v>
      </c>
      <c r="FZ112" t="s">
        <v>198</v>
      </c>
      <c r="GA112">
        <v>31.13</v>
      </c>
      <c r="GB112">
        <v>31.13</v>
      </c>
      <c r="GC112" t="s">
        <v>203</v>
      </c>
      <c r="GD112">
        <v>0</v>
      </c>
      <c r="GE112">
        <v>504</v>
      </c>
      <c r="GF112">
        <v>0</v>
      </c>
      <c r="GG112">
        <v>0.1</v>
      </c>
      <c r="GH112">
        <v>0.5</v>
      </c>
      <c r="GI112">
        <v>0</v>
      </c>
      <c r="GJ112">
        <v>0</v>
      </c>
      <c r="GK112">
        <v>0</v>
      </c>
      <c r="GL112" t="s">
        <v>198</v>
      </c>
      <c r="GM112" t="s">
        <v>198</v>
      </c>
      <c r="GN112" t="s">
        <v>198</v>
      </c>
    </row>
    <row r="113" spans="1:196">
      <c r="A113" s="19">
        <v>46316.90518915509</v>
      </c>
      <c r="B113">
        <v>-0.2</v>
      </c>
      <c r="C113">
        <v>0</v>
      </c>
      <c r="D113">
        <v>278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0.001</v>
      </c>
      <c r="K113">
        <v>0</v>
      </c>
      <c r="L113">
        <v>10.4</v>
      </c>
      <c r="M113">
        <v>594.5</v>
      </c>
      <c r="N113">
        <v>9.699999999999999</v>
      </c>
      <c r="O113">
        <v>10.36</v>
      </c>
      <c r="P113">
        <v>10.362</v>
      </c>
      <c r="Q113">
        <v>0</v>
      </c>
      <c r="R113">
        <v>0</v>
      </c>
      <c r="S113">
        <v>115.6</v>
      </c>
      <c r="T113" t="s">
        <v>431</v>
      </c>
      <c r="U113">
        <v>115.7</v>
      </c>
      <c r="V113">
        <v>469321.2</v>
      </c>
      <c r="W113">
        <v>3</v>
      </c>
      <c r="X113" t="s">
        <v>197</v>
      </c>
      <c r="Y113">
        <v>0</v>
      </c>
      <c r="Z113">
        <v>98</v>
      </c>
      <c r="AA113">
        <v>278</v>
      </c>
      <c r="AB113" t="s">
        <v>197</v>
      </c>
      <c r="AC113" t="s">
        <v>198</v>
      </c>
      <c r="AD113" t="s">
        <v>199</v>
      </c>
      <c r="AE113">
        <v>33</v>
      </c>
      <c r="AF113">
        <v>44</v>
      </c>
      <c r="AG113">
        <v>255</v>
      </c>
      <c r="AH113">
        <v>0</v>
      </c>
      <c r="AI113">
        <v>0</v>
      </c>
      <c r="AJ113">
        <v>0</v>
      </c>
      <c r="AK113">
        <v>12.6</v>
      </c>
      <c r="AL113">
        <v>0</v>
      </c>
      <c r="AM113">
        <v>0</v>
      </c>
      <c r="AN113" t="s">
        <v>197</v>
      </c>
      <c r="AO113">
        <v>100</v>
      </c>
      <c r="AP113" t="s">
        <v>197</v>
      </c>
      <c r="AQ113" t="s">
        <v>200</v>
      </c>
      <c r="AR113">
        <v>1</v>
      </c>
      <c r="AS113">
        <v>0</v>
      </c>
      <c r="AT113" t="s">
        <v>432</v>
      </c>
      <c r="AU113" t="s">
        <v>432</v>
      </c>
      <c r="AV113" t="s">
        <v>202</v>
      </c>
      <c r="AW113" t="s">
        <v>203</v>
      </c>
      <c r="AX113" t="s">
        <v>203</v>
      </c>
      <c r="AY113" t="s">
        <v>203</v>
      </c>
      <c r="AZ113" t="s">
        <v>203</v>
      </c>
      <c r="BA113" t="s">
        <v>203</v>
      </c>
      <c r="BB113" t="s">
        <v>203</v>
      </c>
      <c r="BC113" t="s">
        <v>203</v>
      </c>
      <c r="BD113" t="s">
        <v>203</v>
      </c>
      <c r="BE113" t="s">
        <v>203</v>
      </c>
      <c r="BF113">
        <v>7.79</v>
      </c>
      <c r="BG113">
        <v>0.2</v>
      </c>
      <c r="BH113">
        <v>50</v>
      </c>
      <c r="BI113">
        <v>0</v>
      </c>
      <c r="BJ113" t="s">
        <v>198</v>
      </c>
      <c r="BK113" t="s">
        <v>198</v>
      </c>
      <c r="BL113" t="s">
        <v>198</v>
      </c>
      <c r="BM113" t="s">
        <v>198</v>
      </c>
      <c r="BN113" t="s">
        <v>198</v>
      </c>
      <c r="BO113" t="s">
        <v>198</v>
      </c>
      <c r="BP113" t="s">
        <v>198</v>
      </c>
      <c r="BQ113" t="s">
        <v>198</v>
      </c>
      <c r="BR113" t="s">
        <v>198</v>
      </c>
      <c r="BS113" t="s">
        <v>198</v>
      </c>
      <c r="BT113" t="s">
        <v>198</v>
      </c>
      <c r="BU113" t="s">
        <v>198</v>
      </c>
      <c r="BV113" t="s">
        <v>198</v>
      </c>
      <c r="BW113" t="s">
        <v>198</v>
      </c>
      <c r="BX113" t="s">
        <v>198</v>
      </c>
      <c r="BY113" t="s">
        <v>198</v>
      </c>
      <c r="BZ113" t="s">
        <v>198</v>
      </c>
      <c r="CA113" t="s">
        <v>198</v>
      </c>
      <c r="CB113" t="s">
        <v>204</v>
      </c>
      <c r="CC113" t="s">
        <v>204</v>
      </c>
      <c r="CD113" t="s">
        <v>204</v>
      </c>
      <c r="CE113" t="s">
        <v>204</v>
      </c>
      <c r="CF113" t="s">
        <v>204</v>
      </c>
      <c r="CG113" t="s">
        <v>204</v>
      </c>
      <c r="CH113" t="s">
        <v>204</v>
      </c>
      <c r="CI113" t="s">
        <v>204</v>
      </c>
      <c r="CJ113" t="s">
        <v>204</v>
      </c>
      <c r="CK113" t="s">
        <v>204</v>
      </c>
      <c r="CL113" t="s">
        <v>204</v>
      </c>
      <c r="CM113" t="s">
        <v>204</v>
      </c>
      <c r="CN113" t="s">
        <v>203</v>
      </c>
      <c r="CO113" t="s">
        <v>203</v>
      </c>
      <c r="CP113" t="s">
        <v>203</v>
      </c>
      <c r="CQ113" t="s">
        <v>203</v>
      </c>
      <c r="CR113" t="s">
        <v>203</v>
      </c>
      <c r="CS113" t="s">
        <v>203</v>
      </c>
      <c r="CT113" t="s">
        <v>203</v>
      </c>
      <c r="CU113" t="s">
        <v>203</v>
      </c>
      <c r="CV113">
        <v>0</v>
      </c>
      <c r="CW113">
        <v>0</v>
      </c>
      <c r="CX113" t="s">
        <v>198</v>
      </c>
      <c r="CY113" t="s">
        <v>198</v>
      </c>
      <c r="CZ113" t="s">
        <v>198</v>
      </c>
      <c r="DA113" t="s">
        <v>198</v>
      </c>
      <c r="DB113" t="s">
        <v>198</v>
      </c>
      <c r="DC113">
        <v>0</v>
      </c>
      <c r="DD113">
        <v>0</v>
      </c>
      <c r="DE113">
        <v>0</v>
      </c>
      <c r="DF113">
        <v>0</v>
      </c>
      <c r="DG113">
        <v>-35.3631166</v>
      </c>
      <c r="DH113">
        <v>149.1639735</v>
      </c>
      <c r="DI113" t="s">
        <v>360</v>
      </c>
      <c r="DJ113">
        <v>1.2</v>
      </c>
      <c r="DK113">
        <v>2</v>
      </c>
      <c r="DL113">
        <v>190.9</v>
      </c>
      <c r="DM113">
        <v>0</v>
      </c>
      <c r="DN113">
        <v>6</v>
      </c>
      <c r="DO113">
        <v>10</v>
      </c>
      <c r="DP113">
        <v>0</v>
      </c>
      <c r="DQ113">
        <v>255</v>
      </c>
      <c r="DR113">
        <v>255</v>
      </c>
      <c r="DS113">
        <v>255</v>
      </c>
      <c r="DT113">
        <v>255</v>
      </c>
      <c r="DU113">
        <v>255</v>
      </c>
      <c r="DV113">
        <v>255</v>
      </c>
      <c r="DW113">
        <v>255</v>
      </c>
      <c r="DX113" t="s">
        <v>206</v>
      </c>
      <c r="DY113" t="s">
        <v>206</v>
      </c>
      <c r="DZ113" t="s">
        <v>207</v>
      </c>
      <c r="EA113" t="s">
        <v>198</v>
      </c>
      <c r="EB113" t="s">
        <v>198</v>
      </c>
      <c r="EC113" t="s">
        <v>198</v>
      </c>
      <c r="ED113">
        <v>0</v>
      </c>
      <c r="EE113">
        <v>0</v>
      </c>
      <c r="EF113">
        <v>0</v>
      </c>
      <c r="EG113">
        <v>0</v>
      </c>
      <c r="EH113">
        <v>255</v>
      </c>
      <c r="EI113">
        <v>255</v>
      </c>
      <c r="EJ113">
        <v>255</v>
      </c>
      <c r="EK113">
        <v>255</v>
      </c>
      <c r="EL113">
        <v>255</v>
      </c>
      <c r="EM113">
        <v>255</v>
      </c>
      <c r="EN113">
        <v>255</v>
      </c>
      <c r="EO113">
        <v>255</v>
      </c>
      <c r="EP113">
        <v>255</v>
      </c>
      <c r="EQ113">
        <v>255</v>
      </c>
      <c r="ER113" t="s">
        <v>208</v>
      </c>
      <c r="ES113" t="s">
        <v>209</v>
      </c>
      <c r="ET113" t="s">
        <v>209</v>
      </c>
      <c r="EU113">
        <v>0</v>
      </c>
      <c r="EV113">
        <v>16.2</v>
      </c>
      <c r="EW113">
        <v>-114.7</v>
      </c>
      <c r="EX113">
        <v>-10.6</v>
      </c>
      <c r="EY113">
        <v>0</v>
      </c>
      <c r="EZ113">
        <v>0</v>
      </c>
      <c r="FA113">
        <v>0</v>
      </c>
      <c r="FB113" t="s">
        <v>198</v>
      </c>
      <c r="FC113" t="s">
        <v>198</v>
      </c>
      <c r="FD113" t="s">
        <v>198</v>
      </c>
      <c r="FE113" t="s">
        <v>198</v>
      </c>
      <c r="FF113" t="s">
        <v>198</v>
      </c>
      <c r="FG113" t="s">
        <v>198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 t="s">
        <v>203</v>
      </c>
      <c r="FP113" t="s">
        <v>203</v>
      </c>
      <c r="FQ113" t="s">
        <v>203</v>
      </c>
      <c r="FR113" t="s">
        <v>203</v>
      </c>
      <c r="FS113" t="s">
        <v>203</v>
      </c>
      <c r="FT113" t="s">
        <v>203</v>
      </c>
      <c r="FU113" t="s">
        <v>198</v>
      </c>
      <c r="FV113" t="s">
        <v>198</v>
      </c>
      <c r="FW113" t="s">
        <v>198</v>
      </c>
      <c r="FX113" t="s">
        <v>198</v>
      </c>
      <c r="FY113" t="s">
        <v>198</v>
      </c>
      <c r="FZ113" t="s">
        <v>198</v>
      </c>
      <c r="GA113">
        <v>31.13</v>
      </c>
      <c r="GB113">
        <v>31.13</v>
      </c>
      <c r="GC113" t="s">
        <v>203</v>
      </c>
      <c r="GD113">
        <v>0</v>
      </c>
      <c r="GE113">
        <v>504</v>
      </c>
      <c r="GF113">
        <v>0</v>
      </c>
      <c r="GG113">
        <v>0.1</v>
      </c>
      <c r="GH113">
        <v>0.5</v>
      </c>
      <c r="GI113">
        <v>0</v>
      </c>
      <c r="GJ113">
        <v>0</v>
      </c>
      <c r="GK113">
        <v>0</v>
      </c>
      <c r="GL113" t="s">
        <v>198</v>
      </c>
      <c r="GM113" t="s">
        <v>198</v>
      </c>
      <c r="GN113" t="s">
        <v>198</v>
      </c>
    </row>
    <row r="114" spans="1:196">
      <c r="A114" s="19">
        <v>46316.90520072917</v>
      </c>
      <c r="B114">
        <v>0.1</v>
      </c>
      <c r="C114">
        <v>0</v>
      </c>
      <c r="D114">
        <v>278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0.001</v>
      </c>
      <c r="K114">
        <v>0</v>
      </c>
      <c r="L114">
        <v>10.4</v>
      </c>
      <c r="M114">
        <v>594.6</v>
      </c>
      <c r="N114">
        <v>9.699999999999999</v>
      </c>
      <c r="O114">
        <v>10.37</v>
      </c>
      <c r="P114">
        <v>10.362</v>
      </c>
      <c r="Q114">
        <v>0</v>
      </c>
      <c r="R114">
        <v>0</v>
      </c>
      <c r="S114">
        <v>115.6</v>
      </c>
      <c r="T114" t="s">
        <v>433</v>
      </c>
      <c r="U114">
        <v>115.7</v>
      </c>
      <c r="V114">
        <v>59304.4</v>
      </c>
      <c r="W114">
        <v>3</v>
      </c>
      <c r="X114" t="s">
        <v>197</v>
      </c>
      <c r="Y114">
        <v>0</v>
      </c>
      <c r="Z114">
        <v>98</v>
      </c>
      <c r="AA114">
        <v>278</v>
      </c>
      <c r="AB114" t="s">
        <v>197</v>
      </c>
      <c r="AC114" t="s">
        <v>198</v>
      </c>
      <c r="AD114" t="s">
        <v>199</v>
      </c>
      <c r="AE114">
        <v>32</v>
      </c>
      <c r="AF114">
        <v>44</v>
      </c>
      <c r="AG114">
        <v>255</v>
      </c>
      <c r="AH114">
        <v>0</v>
      </c>
      <c r="AI114">
        <v>0</v>
      </c>
      <c r="AJ114">
        <v>0</v>
      </c>
      <c r="AK114">
        <v>12.6</v>
      </c>
      <c r="AL114">
        <v>0</v>
      </c>
      <c r="AM114">
        <v>0</v>
      </c>
      <c r="AN114" t="s">
        <v>197</v>
      </c>
      <c r="AO114">
        <v>100</v>
      </c>
      <c r="AP114" t="s">
        <v>197</v>
      </c>
      <c r="AQ114" t="s">
        <v>200</v>
      </c>
      <c r="AR114">
        <v>1</v>
      </c>
      <c r="AS114">
        <v>0</v>
      </c>
      <c r="AT114" t="s">
        <v>434</v>
      </c>
      <c r="AU114" t="s">
        <v>434</v>
      </c>
      <c r="AV114" t="s">
        <v>202</v>
      </c>
      <c r="AW114" t="s">
        <v>203</v>
      </c>
      <c r="AX114" t="s">
        <v>203</v>
      </c>
      <c r="AY114" t="s">
        <v>203</v>
      </c>
      <c r="AZ114" t="s">
        <v>203</v>
      </c>
      <c r="BA114" t="s">
        <v>203</v>
      </c>
      <c r="BB114" t="s">
        <v>203</v>
      </c>
      <c r="BC114" t="s">
        <v>203</v>
      </c>
      <c r="BD114" t="s">
        <v>203</v>
      </c>
      <c r="BE114" t="s">
        <v>203</v>
      </c>
      <c r="BF114">
        <v>7.8</v>
      </c>
      <c r="BG114">
        <v>0.2</v>
      </c>
      <c r="BH114">
        <v>50</v>
      </c>
      <c r="BI114">
        <v>0</v>
      </c>
      <c r="BJ114" t="s">
        <v>198</v>
      </c>
      <c r="BK114" t="s">
        <v>198</v>
      </c>
      <c r="BL114" t="s">
        <v>198</v>
      </c>
      <c r="BM114" t="s">
        <v>198</v>
      </c>
      <c r="BN114" t="s">
        <v>198</v>
      </c>
      <c r="BO114" t="s">
        <v>198</v>
      </c>
      <c r="BP114" t="s">
        <v>198</v>
      </c>
      <c r="BQ114" t="s">
        <v>198</v>
      </c>
      <c r="BR114" t="s">
        <v>198</v>
      </c>
      <c r="BS114" t="s">
        <v>198</v>
      </c>
      <c r="BT114" t="s">
        <v>198</v>
      </c>
      <c r="BU114" t="s">
        <v>198</v>
      </c>
      <c r="BV114" t="s">
        <v>198</v>
      </c>
      <c r="BW114" t="s">
        <v>198</v>
      </c>
      <c r="BX114" t="s">
        <v>198</v>
      </c>
      <c r="BY114" t="s">
        <v>198</v>
      </c>
      <c r="BZ114" t="s">
        <v>198</v>
      </c>
      <c r="CA114" t="s">
        <v>198</v>
      </c>
      <c r="CB114" t="s">
        <v>204</v>
      </c>
      <c r="CC114" t="s">
        <v>204</v>
      </c>
      <c r="CD114" t="s">
        <v>204</v>
      </c>
      <c r="CE114" t="s">
        <v>204</v>
      </c>
      <c r="CF114" t="s">
        <v>204</v>
      </c>
      <c r="CG114" t="s">
        <v>204</v>
      </c>
      <c r="CH114" t="s">
        <v>204</v>
      </c>
      <c r="CI114" t="s">
        <v>204</v>
      </c>
      <c r="CJ114" t="s">
        <v>204</v>
      </c>
      <c r="CK114" t="s">
        <v>204</v>
      </c>
      <c r="CL114" t="s">
        <v>204</v>
      </c>
      <c r="CM114" t="s">
        <v>204</v>
      </c>
      <c r="CN114" t="s">
        <v>203</v>
      </c>
      <c r="CO114" t="s">
        <v>203</v>
      </c>
      <c r="CP114" t="s">
        <v>203</v>
      </c>
      <c r="CQ114" t="s">
        <v>203</v>
      </c>
      <c r="CR114" t="s">
        <v>203</v>
      </c>
      <c r="CS114" t="s">
        <v>203</v>
      </c>
      <c r="CT114" t="s">
        <v>203</v>
      </c>
      <c r="CU114" t="s">
        <v>203</v>
      </c>
      <c r="CV114">
        <v>0</v>
      </c>
      <c r="CW114">
        <v>0</v>
      </c>
      <c r="CX114" t="s">
        <v>198</v>
      </c>
      <c r="CY114" t="s">
        <v>198</v>
      </c>
      <c r="CZ114" t="s">
        <v>198</v>
      </c>
      <c r="DA114" t="s">
        <v>198</v>
      </c>
      <c r="DB114" t="s">
        <v>198</v>
      </c>
      <c r="DC114">
        <v>0</v>
      </c>
      <c r="DD114">
        <v>0</v>
      </c>
      <c r="DE114">
        <v>0</v>
      </c>
      <c r="DF114">
        <v>0</v>
      </c>
      <c r="DG114">
        <v>-35.3631166</v>
      </c>
      <c r="DH114">
        <v>149.1639735</v>
      </c>
      <c r="DI114" t="s">
        <v>360</v>
      </c>
      <c r="DJ114">
        <v>1.2</v>
      </c>
      <c r="DK114">
        <v>2</v>
      </c>
      <c r="DL114">
        <v>194.9</v>
      </c>
      <c r="DM114">
        <v>0</v>
      </c>
      <c r="DN114">
        <v>6</v>
      </c>
      <c r="DO114">
        <v>10</v>
      </c>
      <c r="DP114">
        <v>0</v>
      </c>
      <c r="DQ114">
        <v>255</v>
      </c>
      <c r="DR114">
        <v>255</v>
      </c>
      <c r="DS114">
        <v>255</v>
      </c>
      <c r="DT114">
        <v>255</v>
      </c>
      <c r="DU114">
        <v>255</v>
      </c>
      <c r="DV114">
        <v>255</v>
      </c>
      <c r="DW114">
        <v>255</v>
      </c>
      <c r="DX114" t="s">
        <v>206</v>
      </c>
      <c r="DY114" t="s">
        <v>206</v>
      </c>
      <c r="DZ114" t="s">
        <v>207</v>
      </c>
      <c r="EA114" t="s">
        <v>198</v>
      </c>
      <c r="EB114" t="s">
        <v>198</v>
      </c>
      <c r="EC114" t="s">
        <v>198</v>
      </c>
      <c r="ED114">
        <v>0</v>
      </c>
      <c r="EE114">
        <v>0</v>
      </c>
      <c r="EF114">
        <v>0</v>
      </c>
      <c r="EG114">
        <v>0</v>
      </c>
      <c r="EH114">
        <v>255</v>
      </c>
      <c r="EI114">
        <v>255</v>
      </c>
      <c r="EJ114">
        <v>255</v>
      </c>
      <c r="EK114">
        <v>255</v>
      </c>
      <c r="EL114">
        <v>255</v>
      </c>
      <c r="EM114">
        <v>255</v>
      </c>
      <c r="EN114">
        <v>255</v>
      </c>
      <c r="EO114">
        <v>255</v>
      </c>
      <c r="EP114">
        <v>255</v>
      </c>
      <c r="EQ114">
        <v>255</v>
      </c>
      <c r="ER114" t="s">
        <v>208</v>
      </c>
      <c r="ES114" t="s">
        <v>209</v>
      </c>
      <c r="ET114" t="s">
        <v>209</v>
      </c>
      <c r="EU114">
        <v>0</v>
      </c>
      <c r="EV114">
        <v>16.2</v>
      </c>
      <c r="EW114">
        <v>-114.7</v>
      </c>
      <c r="EX114">
        <v>-10.6</v>
      </c>
      <c r="EY114">
        <v>0</v>
      </c>
      <c r="EZ114">
        <v>0</v>
      </c>
      <c r="FA114">
        <v>0</v>
      </c>
      <c r="FB114" t="s">
        <v>198</v>
      </c>
      <c r="FC114" t="s">
        <v>198</v>
      </c>
      <c r="FD114" t="s">
        <v>198</v>
      </c>
      <c r="FE114" t="s">
        <v>198</v>
      </c>
      <c r="FF114" t="s">
        <v>198</v>
      </c>
      <c r="FG114" t="s">
        <v>198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203</v>
      </c>
      <c r="FP114" t="s">
        <v>203</v>
      </c>
      <c r="FQ114" t="s">
        <v>203</v>
      </c>
      <c r="FR114" t="s">
        <v>203</v>
      </c>
      <c r="FS114" t="s">
        <v>203</v>
      </c>
      <c r="FT114" t="s">
        <v>203</v>
      </c>
      <c r="FU114" t="s">
        <v>198</v>
      </c>
      <c r="FV114" t="s">
        <v>198</v>
      </c>
      <c r="FW114" t="s">
        <v>198</v>
      </c>
      <c r="FX114" t="s">
        <v>198</v>
      </c>
      <c r="FY114" t="s">
        <v>198</v>
      </c>
      <c r="FZ114" t="s">
        <v>198</v>
      </c>
      <c r="GA114">
        <v>31.13</v>
      </c>
      <c r="GB114">
        <v>31.13</v>
      </c>
      <c r="GC114" t="s">
        <v>203</v>
      </c>
      <c r="GD114">
        <v>0</v>
      </c>
      <c r="GE114">
        <v>504</v>
      </c>
      <c r="GF114">
        <v>0</v>
      </c>
      <c r="GG114">
        <v>0.1</v>
      </c>
      <c r="GH114">
        <v>0.5</v>
      </c>
      <c r="GI114">
        <v>0</v>
      </c>
      <c r="GJ114">
        <v>0</v>
      </c>
      <c r="GK114">
        <v>0</v>
      </c>
      <c r="GL114" t="s">
        <v>198</v>
      </c>
      <c r="GM114" t="s">
        <v>198</v>
      </c>
      <c r="GN114" t="s">
        <v>198</v>
      </c>
    </row>
    <row r="115" spans="1:196">
      <c r="A115" s="19">
        <v>46316.90521230324</v>
      </c>
      <c r="B115">
        <v>0.1</v>
      </c>
      <c r="C115">
        <v>0</v>
      </c>
      <c r="D115">
        <v>278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10.4</v>
      </c>
      <c r="M115">
        <v>594.5</v>
      </c>
      <c r="N115">
        <v>9.699999999999999</v>
      </c>
      <c r="O115">
        <v>10.36</v>
      </c>
      <c r="P115">
        <v>10.362</v>
      </c>
      <c r="Q115">
        <v>0</v>
      </c>
      <c r="R115">
        <v>0</v>
      </c>
      <c r="S115">
        <v>115.6</v>
      </c>
      <c r="T115" t="s">
        <v>435</v>
      </c>
      <c r="U115">
        <v>115.7</v>
      </c>
      <c r="V115">
        <v>108424.5</v>
      </c>
      <c r="W115">
        <v>3</v>
      </c>
      <c r="X115" t="s">
        <v>197</v>
      </c>
      <c r="Y115">
        <v>0</v>
      </c>
      <c r="Z115">
        <v>98</v>
      </c>
      <c r="AA115">
        <v>278</v>
      </c>
      <c r="AB115" t="s">
        <v>197</v>
      </c>
      <c r="AC115" t="s">
        <v>198</v>
      </c>
      <c r="AD115" t="s">
        <v>199</v>
      </c>
      <c r="AE115">
        <v>33</v>
      </c>
      <c r="AF115">
        <v>44</v>
      </c>
      <c r="AG115">
        <v>255</v>
      </c>
      <c r="AH115">
        <v>0</v>
      </c>
      <c r="AI115">
        <v>0</v>
      </c>
      <c r="AJ115">
        <v>0</v>
      </c>
      <c r="AK115">
        <v>12.6</v>
      </c>
      <c r="AL115">
        <v>0</v>
      </c>
      <c r="AM115">
        <v>0</v>
      </c>
      <c r="AN115" t="s">
        <v>197</v>
      </c>
      <c r="AO115">
        <v>100</v>
      </c>
      <c r="AP115" t="s">
        <v>197</v>
      </c>
      <c r="AQ115" t="s">
        <v>200</v>
      </c>
      <c r="AR115">
        <v>1</v>
      </c>
      <c r="AS115">
        <v>0</v>
      </c>
      <c r="AT115" t="s">
        <v>436</v>
      </c>
      <c r="AU115" t="s">
        <v>436</v>
      </c>
      <c r="AV115" t="s">
        <v>202</v>
      </c>
      <c r="AW115" t="s">
        <v>203</v>
      </c>
      <c r="AX115" t="s">
        <v>203</v>
      </c>
      <c r="AY115" t="s">
        <v>203</v>
      </c>
      <c r="AZ115" t="s">
        <v>203</v>
      </c>
      <c r="BA115" t="s">
        <v>203</v>
      </c>
      <c r="BB115" t="s">
        <v>203</v>
      </c>
      <c r="BC115" t="s">
        <v>203</v>
      </c>
      <c r="BD115" t="s">
        <v>203</v>
      </c>
      <c r="BE115" t="s">
        <v>203</v>
      </c>
      <c r="BF115">
        <v>7.79</v>
      </c>
      <c r="BG115">
        <v>0.2</v>
      </c>
      <c r="BH115">
        <v>50</v>
      </c>
      <c r="BI115">
        <v>0</v>
      </c>
      <c r="BJ115" t="s">
        <v>198</v>
      </c>
      <c r="BK115" t="s">
        <v>198</v>
      </c>
      <c r="BL115" t="s">
        <v>198</v>
      </c>
      <c r="BM115" t="s">
        <v>198</v>
      </c>
      <c r="BN115" t="s">
        <v>198</v>
      </c>
      <c r="BO115" t="s">
        <v>198</v>
      </c>
      <c r="BP115" t="s">
        <v>198</v>
      </c>
      <c r="BQ115" t="s">
        <v>198</v>
      </c>
      <c r="BR115" t="s">
        <v>198</v>
      </c>
      <c r="BS115" t="s">
        <v>198</v>
      </c>
      <c r="BT115" t="s">
        <v>198</v>
      </c>
      <c r="BU115" t="s">
        <v>198</v>
      </c>
      <c r="BV115" t="s">
        <v>198</v>
      </c>
      <c r="BW115" t="s">
        <v>198</v>
      </c>
      <c r="BX115" t="s">
        <v>198</v>
      </c>
      <c r="BY115" t="s">
        <v>198</v>
      </c>
      <c r="BZ115" t="s">
        <v>198</v>
      </c>
      <c r="CA115" t="s">
        <v>198</v>
      </c>
      <c r="CB115" t="s">
        <v>204</v>
      </c>
      <c r="CC115" t="s">
        <v>204</v>
      </c>
      <c r="CD115" t="s">
        <v>204</v>
      </c>
      <c r="CE115" t="s">
        <v>204</v>
      </c>
      <c r="CF115" t="s">
        <v>204</v>
      </c>
      <c r="CG115" t="s">
        <v>204</v>
      </c>
      <c r="CH115" t="s">
        <v>204</v>
      </c>
      <c r="CI115" t="s">
        <v>204</v>
      </c>
      <c r="CJ115" t="s">
        <v>204</v>
      </c>
      <c r="CK115" t="s">
        <v>204</v>
      </c>
      <c r="CL115" t="s">
        <v>204</v>
      </c>
      <c r="CM115" t="s">
        <v>204</v>
      </c>
      <c r="CN115" t="s">
        <v>203</v>
      </c>
      <c r="CO115" t="s">
        <v>203</v>
      </c>
      <c r="CP115" t="s">
        <v>203</v>
      </c>
      <c r="CQ115" t="s">
        <v>203</v>
      </c>
      <c r="CR115" t="s">
        <v>203</v>
      </c>
      <c r="CS115" t="s">
        <v>203</v>
      </c>
      <c r="CT115" t="s">
        <v>203</v>
      </c>
      <c r="CU115" t="s">
        <v>203</v>
      </c>
      <c r="CV115">
        <v>0</v>
      </c>
      <c r="CW115">
        <v>0</v>
      </c>
      <c r="CX115" t="s">
        <v>198</v>
      </c>
      <c r="CY115" t="s">
        <v>198</v>
      </c>
      <c r="CZ115" t="s">
        <v>198</v>
      </c>
      <c r="DA115" t="s">
        <v>198</v>
      </c>
      <c r="DB115" t="s">
        <v>198</v>
      </c>
      <c r="DC115">
        <v>0</v>
      </c>
      <c r="DD115">
        <v>0</v>
      </c>
      <c r="DE115">
        <v>0</v>
      </c>
      <c r="DF115">
        <v>0</v>
      </c>
      <c r="DG115">
        <v>-35.3631166</v>
      </c>
      <c r="DH115">
        <v>149.1639735</v>
      </c>
      <c r="DI115" t="s">
        <v>360</v>
      </c>
      <c r="DJ115">
        <v>1.2</v>
      </c>
      <c r="DK115">
        <v>2</v>
      </c>
      <c r="DL115">
        <v>12.1</v>
      </c>
      <c r="DM115">
        <v>0</v>
      </c>
      <c r="DN115">
        <v>6</v>
      </c>
      <c r="DO115">
        <v>10</v>
      </c>
      <c r="DP115">
        <v>0</v>
      </c>
      <c r="DQ115">
        <v>255</v>
      </c>
      <c r="DR115">
        <v>255</v>
      </c>
      <c r="DS115">
        <v>255</v>
      </c>
      <c r="DT115">
        <v>255</v>
      </c>
      <c r="DU115">
        <v>255</v>
      </c>
      <c r="DV115">
        <v>255</v>
      </c>
      <c r="DW115">
        <v>255</v>
      </c>
      <c r="DX115" t="s">
        <v>206</v>
      </c>
      <c r="DY115" t="s">
        <v>206</v>
      </c>
      <c r="DZ115" t="s">
        <v>207</v>
      </c>
      <c r="EA115" t="s">
        <v>198</v>
      </c>
      <c r="EB115" t="s">
        <v>198</v>
      </c>
      <c r="EC115" t="s">
        <v>198</v>
      </c>
      <c r="ED115">
        <v>0</v>
      </c>
      <c r="EE115">
        <v>0</v>
      </c>
      <c r="EF115">
        <v>0</v>
      </c>
      <c r="EG115">
        <v>0</v>
      </c>
      <c r="EH115">
        <v>255</v>
      </c>
      <c r="EI115">
        <v>255</v>
      </c>
      <c r="EJ115">
        <v>255</v>
      </c>
      <c r="EK115">
        <v>255</v>
      </c>
      <c r="EL115">
        <v>255</v>
      </c>
      <c r="EM115">
        <v>255</v>
      </c>
      <c r="EN115">
        <v>255</v>
      </c>
      <c r="EO115">
        <v>255</v>
      </c>
      <c r="EP115">
        <v>255</v>
      </c>
      <c r="EQ115">
        <v>255</v>
      </c>
      <c r="ER115" t="s">
        <v>208</v>
      </c>
      <c r="ES115" t="s">
        <v>209</v>
      </c>
      <c r="ET115" t="s">
        <v>209</v>
      </c>
      <c r="EU115">
        <v>0</v>
      </c>
      <c r="EV115">
        <v>16.2</v>
      </c>
      <c r="EW115">
        <v>-114.7</v>
      </c>
      <c r="EX115">
        <v>-10.6</v>
      </c>
      <c r="EY115">
        <v>0</v>
      </c>
      <c r="EZ115">
        <v>0</v>
      </c>
      <c r="FA115">
        <v>0</v>
      </c>
      <c r="FB115" t="s">
        <v>198</v>
      </c>
      <c r="FC115" t="s">
        <v>198</v>
      </c>
      <c r="FD115" t="s">
        <v>198</v>
      </c>
      <c r="FE115" t="s">
        <v>198</v>
      </c>
      <c r="FF115" t="s">
        <v>198</v>
      </c>
      <c r="FG115" t="s">
        <v>198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 t="s">
        <v>203</v>
      </c>
      <c r="FP115" t="s">
        <v>203</v>
      </c>
      <c r="FQ115" t="s">
        <v>203</v>
      </c>
      <c r="FR115" t="s">
        <v>203</v>
      </c>
      <c r="FS115" t="s">
        <v>203</v>
      </c>
      <c r="FT115" t="s">
        <v>203</v>
      </c>
      <c r="FU115" t="s">
        <v>198</v>
      </c>
      <c r="FV115" t="s">
        <v>198</v>
      </c>
      <c r="FW115" t="s">
        <v>198</v>
      </c>
      <c r="FX115" t="s">
        <v>198</v>
      </c>
      <c r="FY115" t="s">
        <v>198</v>
      </c>
      <c r="FZ115" t="s">
        <v>198</v>
      </c>
      <c r="GA115">
        <v>31.13</v>
      </c>
      <c r="GB115">
        <v>31.13</v>
      </c>
      <c r="GC115" t="s">
        <v>203</v>
      </c>
      <c r="GD115">
        <v>0</v>
      </c>
      <c r="GE115">
        <v>504</v>
      </c>
      <c r="GF115">
        <v>0</v>
      </c>
      <c r="GG115">
        <v>0.1</v>
      </c>
      <c r="GH115">
        <v>0.5</v>
      </c>
      <c r="GI115">
        <v>0</v>
      </c>
      <c r="GJ115">
        <v>0</v>
      </c>
      <c r="GK115">
        <v>0</v>
      </c>
      <c r="GL115" t="s">
        <v>198</v>
      </c>
      <c r="GM115" t="s">
        <v>198</v>
      </c>
      <c r="GN115" t="s">
        <v>198</v>
      </c>
    </row>
    <row r="116" spans="1:196">
      <c r="A116" s="19">
        <v>46316.90522386574</v>
      </c>
      <c r="B116">
        <v>-0.3</v>
      </c>
      <c r="C116">
        <v>0</v>
      </c>
      <c r="D116">
        <v>278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10.4</v>
      </c>
      <c r="M116">
        <v>594.5</v>
      </c>
      <c r="N116">
        <v>9.699999999999999</v>
      </c>
      <c r="O116">
        <v>10.36</v>
      </c>
      <c r="P116">
        <v>10.359</v>
      </c>
      <c r="Q116">
        <v>0</v>
      </c>
      <c r="R116">
        <v>0</v>
      </c>
      <c r="S116">
        <v>115.6</v>
      </c>
      <c r="T116" t="s">
        <v>437</v>
      </c>
      <c r="U116">
        <v>115.7</v>
      </c>
      <c r="V116">
        <v>99319.3</v>
      </c>
      <c r="W116">
        <v>3</v>
      </c>
      <c r="X116" t="s">
        <v>197</v>
      </c>
      <c r="Y116">
        <v>0</v>
      </c>
      <c r="Z116">
        <v>98</v>
      </c>
      <c r="AA116">
        <v>278</v>
      </c>
      <c r="AB116" t="s">
        <v>197</v>
      </c>
      <c r="AC116" t="s">
        <v>198</v>
      </c>
      <c r="AD116" t="s">
        <v>199</v>
      </c>
      <c r="AE116">
        <v>31</v>
      </c>
      <c r="AF116">
        <v>44</v>
      </c>
      <c r="AG116">
        <v>255</v>
      </c>
      <c r="AH116">
        <v>0</v>
      </c>
      <c r="AI116">
        <v>0</v>
      </c>
      <c r="AJ116">
        <v>0</v>
      </c>
      <c r="AK116">
        <v>12.6</v>
      </c>
      <c r="AL116">
        <v>0</v>
      </c>
      <c r="AM116">
        <v>0</v>
      </c>
      <c r="AN116" t="s">
        <v>197</v>
      </c>
      <c r="AO116">
        <v>100</v>
      </c>
      <c r="AP116" t="s">
        <v>197</v>
      </c>
      <c r="AQ116" t="s">
        <v>200</v>
      </c>
      <c r="AR116">
        <v>1</v>
      </c>
      <c r="AS116">
        <v>0</v>
      </c>
      <c r="AT116" t="s">
        <v>438</v>
      </c>
      <c r="AU116" t="s">
        <v>438</v>
      </c>
      <c r="AV116" t="s">
        <v>202</v>
      </c>
      <c r="AW116" t="s">
        <v>203</v>
      </c>
      <c r="AX116" t="s">
        <v>203</v>
      </c>
      <c r="AY116" t="s">
        <v>203</v>
      </c>
      <c r="AZ116" t="s">
        <v>203</v>
      </c>
      <c r="BA116" t="s">
        <v>203</v>
      </c>
      <c r="BB116" t="s">
        <v>203</v>
      </c>
      <c r="BC116" t="s">
        <v>203</v>
      </c>
      <c r="BD116" t="s">
        <v>203</v>
      </c>
      <c r="BE116" t="s">
        <v>203</v>
      </c>
      <c r="BF116">
        <v>7.79</v>
      </c>
      <c r="BG116">
        <v>0.2</v>
      </c>
      <c r="BH116">
        <v>50</v>
      </c>
      <c r="BI116">
        <v>0</v>
      </c>
      <c r="BJ116" t="s">
        <v>198</v>
      </c>
      <c r="BK116" t="s">
        <v>198</v>
      </c>
      <c r="BL116" t="s">
        <v>198</v>
      </c>
      <c r="BM116" t="s">
        <v>198</v>
      </c>
      <c r="BN116" t="s">
        <v>198</v>
      </c>
      <c r="BO116" t="s">
        <v>198</v>
      </c>
      <c r="BP116" t="s">
        <v>198</v>
      </c>
      <c r="BQ116" t="s">
        <v>198</v>
      </c>
      <c r="BR116" t="s">
        <v>198</v>
      </c>
      <c r="BS116" t="s">
        <v>198</v>
      </c>
      <c r="BT116" t="s">
        <v>198</v>
      </c>
      <c r="BU116" t="s">
        <v>198</v>
      </c>
      <c r="BV116" t="s">
        <v>198</v>
      </c>
      <c r="BW116" t="s">
        <v>198</v>
      </c>
      <c r="BX116" t="s">
        <v>198</v>
      </c>
      <c r="BY116" t="s">
        <v>198</v>
      </c>
      <c r="BZ116" t="s">
        <v>198</v>
      </c>
      <c r="CA116" t="s">
        <v>198</v>
      </c>
      <c r="CB116" t="s">
        <v>204</v>
      </c>
      <c r="CC116" t="s">
        <v>204</v>
      </c>
      <c r="CD116" t="s">
        <v>204</v>
      </c>
      <c r="CE116" t="s">
        <v>204</v>
      </c>
      <c r="CF116" t="s">
        <v>204</v>
      </c>
      <c r="CG116" t="s">
        <v>204</v>
      </c>
      <c r="CH116" t="s">
        <v>204</v>
      </c>
      <c r="CI116" t="s">
        <v>204</v>
      </c>
      <c r="CJ116" t="s">
        <v>204</v>
      </c>
      <c r="CK116" t="s">
        <v>204</v>
      </c>
      <c r="CL116" t="s">
        <v>204</v>
      </c>
      <c r="CM116" t="s">
        <v>204</v>
      </c>
      <c r="CN116" t="s">
        <v>203</v>
      </c>
      <c r="CO116" t="s">
        <v>203</v>
      </c>
      <c r="CP116" t="s">
        <v>203</v>
      </c>
      <c r="CQ116" t="s">
        <v>203</v>
      </c>
      <c r="CR116" t="s">
        <v>203</v>
      </c>
      <c r="CS116" t="s">
        <v>203</v>
      </c>
      <c r="CT116" t="s">
        <v>203</v>
      </c>
      <c r="CU116" t="s">
        <v>203</v>
      </c>
      <c r="CV116">
        <v>0</v>
      </c>
      <c r="CW116">
        <v>0</v>
      </c>
      <c r="CX116" t="s">
        <v>198</v>
      </c>
      <c r="CY116" t="s">
        <v>198</v>
      </c>
      <c r="CZ116" t="s">
        <v>198</v>
      </c>
      <c r="DA116" t="s">
        <v>198</v>
      </c>
      <c r="DB116" t="s">
        <v>198</v>
      </c>
      <c r="DC116">
        <v>0</v>
      </c>
      <c r="DD116">
        <v>0</v>
      </c>
      <c r="DE116">
        <v>0</v>
      </c>
      <c r="DF116">
        <v>0</v>
      </c>
      <c r="DG116">
        <v>-35.3631166</v>
      </c>
      <c r="DH116">
        <v>149.1639735</v>
      </c>
      <c r="DI116" t="s">
        <v>360</v>
      </c>
      <c r="DJ116">
        <v>1.2</v>
      </c>
      <c r="DK116">
        <v>2</v>
      </c>
      <c r="DL116">
        <v>199.8</v>
      </c>
      <c r="DM116">
        <v>0</v>
      </c>
      <c r="DN116">
        <v>6</v>
      </c>
      <c r="DO116">
        <v>10</v>
      </c>
      <c r="DP116">
        <v>0</v>
      </c>
      <c r="DQ116">
        <v>255</v>
      </c>
      <c r="DR116">
        <v>255</v>
      </c>
      <c r="DS116">
        <v>255</v>
      </c>
      <c r="DT116">
        <v>255</v>
      </c>
      <c r="DU116">
        <v>255</v>
      </c>
      <c r="DV116">
        <v>255</v>
      </c>
      <c r="DW116">
        <v>255</v>
      </c>
      <c r="DX116" t="s">
        <v>206</v>
      </c>
      <c r="DY116" t="s">
        <v>206</v>
      </c>
      <c r="DZ116" t="s">
        <v>207</v>
      </c>
      <c r="EA116" t="s">
        <v>198</v>
      </c>
      <c r="EB116" t="s">
        <v>198</v>
      </c>
      <c r="EC116" t="s">
        <v>198</v>
      </c>
      <c r="ED116">
        <v>0</v>
      </c>
      <c r="EE116">
        <v>0</v>
      </c>
      <c r="EF116">
        <v>0</v>
      </c>
      <c r="EG116">
        <v>0</v>
      </c>
      <c r="EH116">
        <v>255</v>
      </c>
      <c r="EI116">
        <v>255</v>
      </c>
      <c r="EJ116">
        <v>255</v>
      </c>
      <c r="EK116">
        <v>255</v>
      </c>
      <c r="EL116">
        <v>255</v>
      </c>
      <c r="EM116">
        <v>255</v>
      </c>
      <c r="EN116">
        <v>255</v>
      </c>
      <c r="EO116">
        <v>255</v>
      </c>
      <c r="EP116">
        <v>255</v>
      </c>
      <c r="EQ116">
        <v>255</v>
      </c>
      <c r="ER116" t="s">
        <v>208</v>
      </c>
      <c r="ES116" t="s">
        <v>209</v>
      </c>
      <c r="ET116" t="s">
        <v>209</v>
      </c>
      <c r="EU116">
        <v>0</v>
      </c>
      <c r="EV116">
        <v>16.2</v>
      </c>
      <c r="EW116">
        <v>-114.7</v>
      </c>
      <c r="EX116">
        <v>-10.6</v>
      </c>
      <c r="EY116">
        <v>0</v>
      </c>
      <c r="EZ116">
        <v>0</v>
      </c>
      <c r="FA116">
        <v>0</v>
      </c>
      <c r="FB116" t="s">
        <v>198</v>
      </c>
      <c r="FC116" t="s">
        <v>198</v>
      </c>
      <c r="FD116" t="s">
        <v>198</v>
      </c>
      <c r="FE116" t="s">
        <v>198</v>
      </c>
      <c r="FF116" t="s">
        <v>198</v>
      </c>
      <c r="FG116" t="s">
        <v>198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 t="s">
        <v>203</v>
      </c>
      <c r="FP116" t="s">
        <v>203</v>
      </c>
      <c r="FQ116" t="s">
        <v>203</v>
      </c>
      <c r="FR116" t="s">
        <v>203</v>
      </c>
      <c r="FS116" t="s">
        <v>203</v>
      </c>
      <c r="FT116" t="s">
        <v>203</v>
      </c>
      <c r="FU116" t="s">
        <v>198</v>
      </c>
      <c r="FV116" t="s">
        <v>198</v>
      </c>
      <c r="FW116" t="s">
        <v>198</v>
      </c>
      <c r="FX116" t="s">
        <v>198</v>
      </c>
      <c r="FY116" t="s">
        <v>198</v>
      </c>
      <c r="FZ116" t="s">
        <v>198</v>
      </c>
      <c r="GA116">
        <v>31.13</v>
      </c>
      <c r="GB116">
        <v>31.13</v>
      </c>
      <c r="GC116" t="s">
        <v>203</v>
      </c>
      <c r="GD116">
        <v>0</v>
      </c>
      <c r="GE116">
        <v>504</v>
      </c>
      <c r="GF116">
        <v>0</v>
      </c>
      <c r="GG116">
        <v>0.1</v>
      </c>
      <c r="GH116">
        <v>0.5</v>
      </c>
      <c r="GI116">
        <v>0</v>
      </c>
      <c r="GJ116">
        <v>0</v>
      </c>
      <c r="GK116">
        <v>0</v>
      </c>
      <c r="GL116" t="s">
        <v>198</v>
      </c>
      <c r="GM116" t="s">
        <v>198</v>
      </c>
      <c r="GN116" t="s">
        <v>198</v>
      </c>
    </row>
    <row r="117" spans="1:196">
      <c r="A117" s="19">
        <v>46316.90523545139</v>
      </c>
      <c r="B117">
        <v>0.3</v>
      </c>
      <c r="C117">
        <v>0</v>
      </c>
      <c r="D117">
        <v>278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-0.5</v>
      </c>
      <c r="L117">
        <v>10</v>
      </c>
      <c r="M117">
        <v>594.2</v>
      </c>
      <c r="N117">
        <v>9.699999999999999</v>
      </c>
      <c r="O117">
        <v>9.99</v>
      </c>
      <c r="P117">
        <v>9.977</v>
      </c>
      <c r="Q117">
        <v>0</v>
      </c>
      <c r="R117">
        <v>0</v>
      </c>
      <c r="S117">
        <v>115.6</v>
      </c>
      <c r="T117" t="s">
        <v>439</v>
      </c>
      <c r="U117">
        <v>115.7</v>
      </c>
      <c r="V117">
        <v>110638.4</v>
      </c>
      <c r="W117">
        <v>3</v>
      </c>
      <c r="X117" t="s">
        <v>197</v>
      </c>
      <c r="Y117">
        <v>0</v>
      </c>
      <c r="Z117">
        <v>98</v>
      </c>
      <c r="AA117">
        <v>278</v>
      </c>
      <c r="AB117" t="s">
        <v>197</v>
      </c>
      <c r="AC117" t="s">
        <v>198</v>
      </c>
      <c r="AD117" t="s">
        <v>199</v>
      </c>
      <c r="AE117">
        <v>32</v>
      </c>
      <c r="AF117">
        <v>44</v>
      </c>
      <c r="AG117">
        <v>255</v>
      </c>
      <c r="AH117">
        <v>0</v>
      </c>
      <c r="AI117">
        <v>0</v>
      </c>
      <c r="AJ117">
        <v>0</v>
      </c>
      <c r="AK117">
        <v>12.6</v>
      </c>
      <c r="AL117">
        <v>0</v>
      </c>
      <c r="AM117">
        <v>0</v>
      </c>
      <c r="AN117" t="s">
        <v>197</v>
      </c>
      <c r="AO117">
        <v>100</v>
      </c>
      <c r="AP117" t="s">
        <v>197</v>
      </c>
      <c r="AQ117" t="s">
        <v>200</v>
      </c>
      <c r="AR117">
        <v>1</v>
      </c>
      <c r="AS117">
        <v>0</v>
      </c>
      <c r="AT117" t="s">
        <v>440</v>
      </c>
      <c r="AU117" t="s">
        <v>440</v>
      </c>
      <c r="AV117" t="s">
        <v>202</v>
      </c>
      <c r="AW117" t="s">
        <v>203</v>
      </c>
      <c r="AX117" t="s">
        <v>203</v>
      </c>
      <c r="AY117" t="s">
        <v>203</v>
      </c>
      <c r="AZ117" t="s">
        <v>203</v>
      </c>
      <c r="BA117" t="s">
        <v>203</v>
      </c>
      <c r="BB117" t="s">
        <v>203</v>
      </c>
      <c r="BC117" t="s">
        <v>203</v>
      </c>
      <c r="BD117" t="s">
        <v>203</v>
      </c>
      <c r="BE117" t="s">
        <v>203</v>
      </c>
      <c r="BF117">
        <v>7.42</v>
      </c>
      <c r="BG117">
        <v>0.2</v>
      </c>
      <c r="BH117">
        <v>50</v>
      </c>
      <c r="BI117">
        <v>0</v>
      </c>
      <c r="BJ117" t="s">
        <v>198</v>
      </c>
      <c r="BK117" t="s">
        <v>198</v>
      </c>
      <c r="BL117" t="s">
        <v>198</v>
      </c>
      <c r="BM117" t="s">
        <v>198</v>
      </c>
      <c r="BN117" t="s">
        <v>198</v>
      </c>
      <c r="BO117" t="s">
        <v>198</v>
      </c>
      <c r="BP117" t="s">
        <v>198</v>
      </c>
      <c r="BQ117" t="s">
        <v>198</v>
      </c>
      <c r="BR117" t="s">
        <v>198</v>
      </c>
      <c r="BS117" t="s">
        <v>198</v>
      </c>
      <c r="BT117" t="s">
        <v>198</v>
      </c>
      <c r="BU117" t="s">
        <v>198</v>
      </c>
      <c r="BV117" t="s">
        <v>198</v>
      </c>
      <c r="BW117" t="s">
        <v>198</v>
      </c>
      <c r="BX117" t="s">
        <v>198</v>
      </c>
      <c r="BY117" t="s">
        <v>198</v>
      </c>
      <c r="BZ117" t="s">
        <v>198</v>
      </c>
      <c r="CA117" t="s">
        <v>198</v>
      </c>
      <c r="CB117" t="s">
        <v>204</v>
      </c>
      <c r="CC117" t="s">
        <v>204</v>
      </c>
      <c r="CD117" t="s">
        <v>204</v>
      </c>
      <c r="CE117" t="s">
        <v>204</v>
      </c>
      <c r="CF117" t="s">
        <v>204</v>
      </c>
      <c r="CG117" t="s">
        <v>204</v>
      </c>
      <c r="CH117" t="s">
        <v>204</v>
      </c>
      <c r="CI117" t="s">
        <v>204</v>
      </c>
      <c r="CJ117" t="s">
        <v>204</v>
      </c>
      <c r="CK117" t="s">
        <v>204</v>
      </c>
      <c r="CL117" t="s">
        <v>204</v>
      </c>
      <c r="CM117" t="s">
        <v>204</v>
      </c>
      <c r="CN117" t="s">
        <v>203</v>
      </c>
      <c r="CO117" t="s">
        <v>203</v>
      </c>
      <c r="CP117" t="s">
        <v>203</v>
      </c>
      <c r="CQ117" t="s">
        <v>203</v>
      </c>
      <c r="CR117" t="s">
        <v>203</v>
      </c>
      <c r="CS117" t="s">
        <v>203</v>
      </c>
      <c r="CT117" t="s">
        <v>203</v>
      </c>
      <c r="CU117" t="s">
        <v>203</v>
      </c>
      <c r="CV117">
        <v>0</v>
      </c>
      <c r="CW117">
        <v>0</v>
      </c>
      <c r="CX117" t="s">
        <v>198</v>
      </c>
      <c r="CY117" t="s">
        <v>198</v>
      </c>
      <c r="CZ117" t="s">
        <v>198</v>
      </c>
      <c r="DA117" t="s">
        <v>198</v>
      </c>
      <c r="DB117" t="s">
        <v>198</v>
      </c>
      <c r="DC117">
        <v>0</v>
      </c>
      <c r="DD117">
        <v>0</v>
      </c>
      <c r="DE117">
        <v>0</v>
      </c>
      <c r="DF117">
        <v>0</v>
      </c>
      <c r="DG117">
        <v>-35.3631166</v>
      </c>
      <c r="DH117">
        <v>149.1639735</v>
      </c>
      <c r="DI117" t="s">
        <v>360</v>
      </c>
      <c r="DJ117">
        <v>1.2</v>
      </c>
      <c r="DK117">
        <v>2</v>
      </c>
      <c r="DL117">
        <v>356.7</v>
      </c>
      <c r="DM117">
        <v>0</v>
      </c>
      <c r="DN117">
        <v>6</v>
      </c>
      <c r="DO117">
        <v>10</v>
      </c>
      <c r="DP117">
        <v>0</v>
      </c>
      <c r="DQ117">
        <v>255</v>
      </c>
      <c r="DR117">
        <v>255</v>
      </c>
      <c r="DS117">
        <v>255</v>
      </c>
      <c r="DT117">
        <v>255</v>
      </c>
      <c r="DU117">
        <v>255</v>
      </c>
      <c r="DV117">
        <v>255</v>
      </c>
      <c r="DW117">
        <v>255</v>
      </c>
      <c r="DX117" t="s">
        <v>206</v>
      </c>
      <c r="DY117" t="s">
        <v>206</v>
      </c>
      <c r="DZ117" t="s">
        <v>207</v>
      </c>
      <c r="EA117" t="s">
        <v>198</v>
      </c>
      <c r="EB117" t="s">
        <v>198</v>
      </c>
      <c r="EC117" t="s">
        <v>198</v>
      </c>
      <c r="ED117">
        <v>0</v>
      </c>
      <c r="EE117">
        <v>0</v>
      </c>
      <c r="EF117">
        <v>0</v>
      </c>
      <c r="EG117">
        <v>0</v>
      </c>
      <c r="EH117">
        <v>255</v>
      </c>
      <c r="EI117">
        <v>255</v>
      </c>
      <c r="EJ117">
        <v>255</v>
      </c>
      <c r="EK117">
        <v>255</v>
      </c>
      <c r="EL117">
        <v>255</v>
      </c>
      <c r="EM117">
        <v>255</v>
      </c>
      <c r="EN117">
        <v>255</v>
      </c>
      <c r="EO117">
        <v>255</v>
      </c>
      <c r="EP117">
        <v>255</v>
      </c>
      <c r="EQ117">
        <v>255</v>
      </c>
      <c r="ER117" t="s">
        <v>208</v>
      </c>
      <c r="ES117" t="s">
        <v>209</v>
      </c>
      <c r="ET117" t="s">
        <v>209</v>
      </c>
      <c r="EU117">
        <v>0</v>
      </c>
      <c r="EV117">
        <v>16.2</v>
      </c>
      <c r="EW117">
        <v>-114.7</v>
      </c>
      <c r="EX117">
        <v>-10.2</v>
      </c>
      <c r="EY117">
        <v>0</v>
      </c>
      <c r="EZ117">
        <v>0</v>
      </c>
      <c r="FA117">
        <v>0.5</v>
      </c>
      <c r="FB117" t="s">
        <v>198</v>
      </c>
      <c r="FC117" t="s">
        <v>198</v>
      </c>
      <c r="FD117" t="s">
        <v>198</v>
      </c>
      <c r="FE117" t="s">
        <v>198</v>
      </c>
      <c r="FF117" t="s">
        <v>198</v>
      </c>
      <c r="FG117" t="s">
        <v>198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 t="s">
        <v>203</v>
      </c>
      <c r="FP117" t="s">
        <v>203</v>
      </c>
      <c r="FQ117" t="s">
        <v>203</v>
      </c>
      <c r="FR117" t="s">
        <v>203</v>
      </c>
      <c r="FS117" t="s">
        <v>203</v>
      </c>
      <c r="FT117" t="s">
        <v>203</v>
      </c>
      <c r="FU117" t="s">
        <v>198</v>
      </c>
      <c r="FV117" t="s">
        <v>198</v>
      </c>
      <c r="FW117" t="s">
        <v>198</v>
      </c>
      <c r="FX117" t="s">
        <v>198</v>
      </c>
      <c r="FY117" t="s">
        <v>198</v>
      </c>
      <c r="FZ117" t="s">
        <v>198</v>
      </c>
      <c r="GA117">
        <v>31.13</v>
      </c>
      <c r="GB117">
        <v>31.13</v>
      </c>
      <c r="GC117" t="s">
        <v>203</v>
      </c>
      <c r="GD117">
        <v>0</v>
      </c>
      <c r="GE117">
        <v>504</v>
      </c>
      <c r="GF117">
        <v>0</v>
      </c>
      <c r="GG117">
        <v>0.1</v>
      </c>
      <c r="GH117">
        <v>0.6</v>
      </c>
      <c r="GI117">
        <v>0</v>
      </c>
      <c r="GJ117">
        <v>0</v>
      </c>
      <c r="GK117">
        <v>0</v>
      </c>
      <c r="GL117" t="s">
        <v>198</v>
      </c>
      <c r="GM117" t="s">
        <v>198</v>
      </c>
      <c r="GN117" t="s">
        <v>198</v>
      </c>
    </row>
    <row r="118" spans="1:196">
      <c r="A118" s="19">
        <v>46316.90524702546</v>
      </c>
      <c r="B118">
        <v>0.3</v>
      </c>
      <c r="C118">
        <v>0</v>
      </c>
      <c r="D118">
        <v>278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-0.5</v>
      </c>
      <c r="L118">
        <v>9.5</v>
      </c>
      <c r="M118">
        <v>593.7</v>
      </c>
      <c r="N118">
        <v>9.199999999999999</v>
      </c>
      <c r="O118">
        <v>9.470000000000001</v>
      </c>
      <c r="P118">
        <v>9.478</v>
      </c>
      <c r="Q118">
        <v>0</v>
      </c>
      <c r="R118">
        <v>0</v>
      </c>
      <c r="S118">
        <v>115.6</v>
      </c>
      <c r="T118" t="s">
        <v>441</v>
      </c>
      <c r="U118">
        <v>115.7</v>
      </c>
      <c r="V118">
        <v>88903.8</v>
      </c>
      <c r="W118">
        <v>3</v>
      </c>
      <c r="X118" t="s">
        <v>197</v>
      </c>
      <c r="Y118">
        <v>0</v>
      </c>
      <c r="Z118">
        <v>98</v>
      </c>
      <c r="AA118">
        <v>278</v>
      </c>
      <c r="AB118" t="s">
        <v>197</v>
      </c>
      <c r="AC118" t="s">
        <v>198</v>
      </c>
      <c r="AD118" t="s">
        <v>199</v>
      </c>
      <c r="AE118">
        <v>32</v>
      </c>
      <c r="AF118">
        <v>44</v>
      </c>
      <c r="AG118">
        <v>255</v>
      </c>
      <c r="AH118">
        <v>0</v>
      </c>
      <c r="AI118">
        <v>0</v>
      </c>
      <c r="AJ118">
        <v>0</v>
      </c>
      <c r="AK118">
        <v>12.6</v>
      </c>
      <c r="AL118">
        <v>0</v>
      </c>
      <c r="AM118">
        <v>0</v>
      </c>
      <c r="AN118" t="s">
        <v>197</v>
      </c>
      <c r="AO118">
        <v>100</v>
      </c>
      <c r="AP118" t="s">
        <v>197</v>
      </c>
      <c r="AQ118" t="s">
        <v>200</v>
      </c>
      <c r="AR118">
        <v>1</v>
      </c>
      <c r="AS118">
        <v>0</v>
      </c>
      <c r="AT118" t="s">
        <v>442</v>
      </c>
      <c r="AU118" t="s">
        <v>442</v>
      </c>
      <c r="AV118" t="s">
        <v>202</v>
      </c>
      <c r="AW118" t="s">
        <v>203</v>
      </c>
      <c r="AX118" t="s">
        <v>203</v>
      </c>
      <c r="AY118" t="s">
        <v>203</v>
      </c>
      <c r="AZ118" t="s">
        <v>203</v>
      </c>
      <c r="BA118" t="s">
        <v>203</v>
      </c>
      <c r="BB118" t="s">
        <v>203</v>
      </c>
      <c r="BC118" t="s">
        <v>203</v>
      </c>
      <c r="BD118" t="s">
        <v>203</v>
      </c>
      <c r="BE118" t="s">
        <v>203</v>
      </c>
      <c r="BF118">
        <v>6.91</v>
      </c>
      <c r="BG118">
        <v>0.2</v>
      </c>
      <c r="BH118">
        <v>50</v>
      </c>
      <c r="BI118">
        <v>0</v>
      </c>
      <c r="BJ118" t="s">
        <v>198</v>
      </c>
      <c r="BK118" t="s">
        <v>198</v>
      </c>
      <c r="BL118" t="s">
        <v>198</v>
      </c>
      <c r="BM118" t="s">
        <v>198</v>
      </c>
      <c r="BN118" t="s">
        <v>198</v>
      </c>
      <c r="BO118" t="s">
        <v>198</v>
      </c>
      <c r="BP118" t="s">
        <v>198</v>
      </c>
      <c r="BQ118" t="s">
        <v>198</v>
      </c>
      <c r="BR118" t="s">
        <v>198</v>
      </c>
      <c r="BS118" t="s">
        <v>198</v>
      </c>
      <c r="BT118" t="s">
        <v>198</v>
      </c>
      <c r="BU118" t="s">
        <v>198</v>
      </c>
      <c r="BV118" t="s">
        <v>198</v>
      </c>
      <c r="BW118" t="s">
        <v>198</v>
      </c>
      <c r="BX118" t="s">
        <v>198</v>
      </c>
      <c r="BY118" t="s">
        <v>198</v>
      </c>
      <c r="BZ118" t="s">
        <v>198</v>
      </c>
      <c r="CA118" t="s">
        <v>198</v>
      </c>
      <c r="CB118" t="s">
        <v>204</v>
      </c>
      <c r="CC118" t="s">
        <v>204</v>
      </c>
      <c r="CD118" t="s">
        <v>204</v>
      </c>
      <c r="CE118" t="s">
        <v>204</v>
      </c>
      <c r="CF118" t="s">
        <v>204</v>
      </c>
      <c r="CG118" t="s">
        <v>204</v>
      </c>
      <c r="CH118" t="s">
        <v>204</v>
      </c>
      <c r="CI118" t="s">
        <v>204</v>
      </c>
      <c r="CJ118" t="s">
        <v>204</v>
      </c>
      <c r="CK118" t="s">
        <v>204</v>
      </c>
      <c r="CL118" t="s">
        <v>204</v>
      </c>
      <c r="CM118" t="s">
        <v>204</v>
      </c>
      <c r="CN118" t="s">
        <v>203</v>
      </c>
      <c r="CO118" t="s">
        <v>203</v>
      </c>
      <c r="CP118" t="s">
        <v>203</v>
      </c>
      <c r="CQ118" t="s">
        <v>203</v>
      </c>
      <c r="CR118" t="s">
        <v>203</v>
      </c>
      <c r="CS118" t="s">
        <v>203</v>
      </c>
      <c r="CT118" t="s">
        <v>203</v>
      </c>
      <c r="CU118" t="s">
        <v>203</v>
      </c>
      <c r="CV118">
        <v>0</v>
      </c>
      <c r="CW118">
        <v>0</v>
      </c>
      <c r="CX118" t="s">
        <v>198</v>
      </c>
      <c r="CY118" t="s">
        <v>198</v>
      </c>
      <c r="CZ118" t="s">
        <v>198</v>
      </c>
      <c r="DA118" t="s">
        <v>198</v>
      </c>
      <c r="DB118" t="s">
        <v>198</v>
      </c>
      <c r="DC118">
        <v>0</v>
      </c>
      <c r="DD118">
        <v>0</v>
      </c>
      <c r="DE118">
        <v>0</v>
      </c>
      <c r="DF118">
        <v>0</v>
      </c>
      <c r="DG118">
        <v>-35.3631166</v>
      </c>
      <c r="DH118">
        <v>149.1639735</v>
      </c>
      <c r="DI118" t="s">
        <v>360</v>
      </c>
      <c r="DJ118">
        <v>1.2</v>
      </c>
      <c r="DK118">
        <v>2</v>
      </c>
      <c r="DL118">
        <v>48.2</v>
      </c>
      <c r="DM118">
        <v>0</v>
      </c>
      <c r="DN118">
        <v>6</v>
      </c>
      <c r="DO118">
        <v>10</v>
      </c>
      <c r="DP118">
        <v>0</v>
      </c>
      <c r="DQ118">
        <v>255</v>
      </c>
      <c r="DR118">
        <v>255</v>
      </c>
      <c r="DS118">
        <v>255</v>
      </c>
      <c r="DT118">
        <v>255</v>
      </c>
      <c r="DU118">
        <v>255</v>
      </c>
      <c r="DV118">
        <v>255</v>
      </c>
      <c r="DW118">
        <v>255</v>
      </c>
      <c r="DX118" t="s">
        <v>206</v>
      </c>
      <c r="DY118" t="s">
        <v>206</v>
      </c>
      <c r="DZ118" t="s">
        <v>207</v>
      </c>
      <c r="EA118" t="s">
        <v>198</v>
      </c>
      <c r="EB118" t="s">
        <v>198</v>
      </c>
      <c r="EC118" t="s">
        <v>198</v>
      </c>
      <c r="ED118">
        <v>0</v>
      </c>
      <c r="EE118">
        <v>0</v>
      </c>
      <c r="EF118">
        <v>0</v>
      </c>
      <c r="EG118">
        <v>0</v>
      </c>
      <c r="EH118">
        <v>255</v>
      </c>
      <c r="EI118">
        <v>255</v>
      </c>
      <c r="EJ118">
        <v>255</v>
      </c>
      <c r="EK118">
        <v>255</v>
      </c>
      <c r="EL118">
        <v>255</v>
      </c>
      <c r="EM118">
        <v>255</v>
      </c>
      <c r="EN118">
        <v>255</v>
      </c>
      <c r="EO118">
        <v>255</v>
      </c>
      <c r="EP118">
        <v>255</v>
      </c>
      <c r="EQ118">
        <v>255</v>
      </c>
      <c r="ER118" t="s">
        <v>208</v>
      </c>
      <c r="ES118" t="s">
        <v>209</v>
      </c>
      <c r="ET118" t="s">
        <v>209</v>
      </c>
      <c r="EU118">
        <v>0</v>
      </c>
      <c r="EV118">
        <v>16.2</v>
      </c>
      <c r="EW118">
        <v>-114.7</v>
      </c>
      <c r="EX118">
        <v>-9.699999999999999</v>
      </c>
      <c r="EY118">
        <v>0</v>
      </c>
      <c r="EZ118">
        <v>0</v>
      </c>
      <c r="FA118">
        <v>0.5</v>
      </c>
      <c r="FB118" t="s">
        <v>198</v>
      </c>
      <c r="FC118" t="s">
        <v>198</v>
      </c>
      <c r="FD118" t="s">
        <v>198</v>
      </c>
      <c r="FE118" t="s">
        <v>198</v>
      </c>
      <c r="FF118" t="s">
        <v>198</v>
      </c>
      <c r="FG118" t="s">
        <v>198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203</v>
      </c>
      <c r="FP118" t="s">
        <v>203</v>
      </c>
      <c r="FQ118" t="s">
        <v>203</v>
      </c>
      <c r="FR118" t="s">
        <v>203</v>
      </c>
      <c r="FS118" t="s">
        <v>203</v>
      </c>
      <c r="FT118" t="s">
        <v>203</v>
      </c>
      <c r="FU118" t="s">
        <v>198</v>
      </c>
      <c r="FV118" t="s">
        <v>198</v>
      </c>
      <c r="FW118" t="s">
        <v>198</v>
      </c>
      <c r="FX118" t="s">
        <v>198</v>
      </c>
      <c r="FY118" t="s">
        <v>198</v>
      </c>
      <c r="FZ118" t="s">
        <v>198</v>
      </c>
      <c r="GA118">
        <v>31.14</v>
      </c>
      <c r="GB118">
        <v>31.14</v>
      </c>
      <c r="GC118" t="s">
        <v>203</v>
      </c>
      <c r="GD118">
        <v>0</v>
      </c>
      <c r="GE118">
        <v>504</v>
      </c>
      <c r="GF118">
        <v>0</v>
      </c>
      <c r="GG118">
        <v>0.1</v>
      </c>
      <c r="GH118">
        <v>0.6</v>
      </c>
      <c r="GI118">
        <v>0</v>
      </c>
      <c r="GJ118">
        <v>0</v>
      </c>
      <c r="GK118">
        <v>0</v>
      </c>
      <c r="GL118" t="s">
        <v>198</v>
      </c>
      <c r="GM118" t="s">
        <v>198</v>
      </c>
      <c r="GN118" t="s">
        <v>198</v>
      </c>
    </row>
    <row r="119" spans="1:196">
      <c r="A119" s="19">
        <v>46316.90525858796</v>
      </c>
      <c r="B119">
        <v>-0.2</v>
      </c>
      <c r="C119">
        <v>0</v>
      </c>
      <c r="D119">
        <v>278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-0.5</v>
      </c>
      <c r="L119">
        <v>9</v>
      </c>
      <c r="M119">
        <v>593.2</v>
      </c>
      <c r="N119">
        <v>8.699999999999999</v>
      </c>
      <c r="O119">
        <v>8.970000000000001</v>
      </c>
      <c r="P119">
        <v>8.978</v>
      </c>
      <c r="Q119">
        <v>0</v>
      </c>
      <c r="R119">
        <v>0</v>
      </c>
      <c r="S119">
        <v>115.6</v>
      </c>
      <c r="T119" t="s">
        <v>443</v>
      </c>
      <c r="U119">
        <v>115.7</v>
      </c>
      <c r="V119">
        <v>78856.2</v>
      </c>
      <c r="W119">
        <v>3</v>
      </c>
      <c r="X119" t="s">
        <v>197</v>
      </c>
      <c r="Y119">
        <v>0</v>
      </c>
      <c r="Z119">
        <v>98</v>
      </c>
      <c r="AA119">
        <v>278</v>
      </c>
      <c r="AB119" t="s">
        <v>197</v>
      </c>
      <c r="AC119" t="s">
        <v>198</v>
      </c>
      <c r="AD119" t="s">
        <v>199</v>
      </c>
      <c r="AE119">
        <v>32</v>
      </c>
      <c r="AF119">
        <v>44</v>
      </c>
      <c r="AG119">
        <v>255</v>
      </c>
      <c r="AH119">
        <v>0</v>
      </c>
      <c r="AI119">
        <v>0</v>
      </c>
      <c r="AJ119">
        <v>0</v>
      </c>
      <c r="AK119">
        <v>12.6</v>
      </c>
      <c r="AL119">
        <v>0</v>
      </c>
      <c r="AM119">
        <v>0</v>
      </c>
      <c r="AN119" t="s">
        <v>197</v>
      </c>
      <c r="AO119">
        <v>100</v>
      </c>
      <c r="AP119" t="s">
        <v>197</v>
      </c>
      <c r="AQ119" t="s">
        <v>200</v>
      </c>
      <c r="AR119">
        <v>1</v>
      </c>
      <c r="AS119">
        <v>0</v>
      </c>
      <c r="AT119" t="s">
        <v>444</v>
      </c>
      <c r="AU119" t="s">
        <v>444</v>
      </c>
      <c r="AV119" t="s">
        <v>202</v>
      </c>
      <c r="AW119" t="s">
        <v>203</v>
      </c>
      <c r="AX119" t="s">
        <v>203</v>
      </c>
      <c r="AY119" t="s">
        <v>203</v>
      </c>
      <c r="AZ119" t="s">
        <v>203</v>
      </c>
      <c r="BA119" t="s">
        <v>203</v>
      </c>
      <c r="BB119" t="s">
        <v>203</v>
      </c>
      <c r="BC119" t="s">
        <v>203</v>
      </c>
      <c r="BD119" t="s">
        <v>203</v>
      </c>
      <c r="BE119" t="s">
        <v>203</v>
      </c>
      <c r="BF119">
        <v>6.41</v>
      </c>
      <c r="BG119">
        <v>0.2</v>
      </c>
      <c r="BH119">
        <v>50</v>
      </c>
      <c r="BI119">
        <v>0</v>
      </c>
      <c r="BJ119" t="s">
        <v>198</v>
      </c>
      <c r="BK119" t="s">
        <v>198</v>
      </c>
      <c r="BL119" t="s">
        <v>198</v>
      </c>
      <c r="BM119" t="s">
        <v>198</v>
      </c>
      <c r="BN119" t="s">
        <v>198</v>
      </c>
      <c r="BO119" t="s">
        <v>198</v>
      </c>
      <c r="BP119" t="s">
        <v>198</v>
      </c>
      <c r="BQ119" t="s">
        <v>198</v>
      </c>
      <c r="BR119" t="s">
        <v>198</v>
      </c>
      <c r="BS119" t="s">
        <v>198</v>
      </c>
      <c r="BT119" t="s">
        <v>198</v>
      </c>
      <c r="BU119" t="s">
        <v>198</v>
      </c>
      <c r="BV119" t="s">
        <v>198</v>
      </c>
      <c r="BW119" t="s">
        <v>198</v>
      </c>
      <c r="BX119" t="s">
        <v>198</v>
      </c>
      <c r="BY119" t="s">
        <v>198</v>
      </c>
      <c r="BZ119" t="s">
        <v>198</v>
      </c>
      <c r="CA119" t="s">
        <v>198</v>
      </c>
      <c r="CB119" t="s">
        <v>204</v>
      </c>
      <c r="CC119" t="s">
        <v>204</v>
      </c>
      <c r="CD119" t="s">
        <v>204</v>
      </c>
      <c r="CE119" t="s">
        <v>204</v>
      </c>
      <c r="CF119" t="s">
        <v>204</v>
      </c>
      <c r="CG119" t="s">
        <v>204</v>
      </c>
      <c r="CH119" t="s">
        <v>204</v>
      </c>
      <c r="CI119" t="s">
        <v>204</v>
      </c>
      <c r="CJ119" t="s">
        <v>204</v>
      </c>
      <c r="CK119" t="s">
        <v>204</v>
      </c>
      <c r="CL119" t="s">
        <v>204</v>
      </c>
      <c r="CM119" t="s">
        <v>204</v>
      </c>
      <c r="CN119" t="s">
        <v>203</v>
      </c>
      <c r="CO119" t="s">
        <v>203</v>
      </c>
      <c r="CP119" t="s">
        <v>203</v>
      </c>
      <c r="CQ119" t="s">
        <v>203</v>
      </c>
      <c r="CR119" t="s">
        <v>203</v>
      </c>
      <c r="CS119" t="s">
        <v>203</v>
      </c>
      <c r="CT119" t="s">
        <v>203</v>
      </c>
      <c r="CU119" t="s">
        <v>203</v>
      </c>
      <c r="CV119">
        <v>0</v>
      </c>
      <c r="CW119">
        <v>0</v>
      </c>
      <c r="CX119" t="s">
        <v>198</v>
      </c>
      <c r="CY119" t="s">
        <v>198</v>
      </c>
      <c r="CZ119" t="s">
        <v>198</v>
      </c>
      <c r="DA119" t="s">
        <v>198</v>
      </c>
      <c r="DB119" t="s">
        <v>198</v>
      </c>
      <c r="DC119">
        <v>0</v>
      </c>
      <c r="DD119">
        <v>0</v>
      </c>
      <c r="DE119">
        <v>0</v>
      </c>
      <c r="DF119">
        <v>0</v>
      </c>
      <c r="DG119">
        <v>-35.3631166</v>
      </c>
      <c r="DH119">
        <v>149.1639735</v>
      </c>
      <c r="DI119" t="s">
        <v>360</v>
      </c>
      <c r="DJ119">
        <v>1.2</v>
      </c>
      <c r="DK119">
        <v>2</v>
      </c>
      <c r="DL119">
        <v>118.8</v>
      </c>
      <c r="DM119">
        <v>0</v>
      </c>
      <c r="DN119">
        <v>6</v>
      </c>
      <c r="DO119">
        <v>10</v>
      </c>
      <c r="DP119">
        <v>0</v>
      </c>
      <c r="DQ119">
        <v>255</v>
      </c>
      <c r="DR119">
        <v>255</v>
      </c>
      <c r="DS119">
        <v>255</v>
      </c>
      <c r="DT119">
        <v>255</v>
      </c>
      <c r="DU119">
        <v>255</v>
      </c>
      <c r="DV119">
        <v>255</v>
      </c>
      <c r="DW119">
        <v>255</v>
      </c>
      <c r="DX119" t="s">
        <v>206</v>
      </c>
      <c r="DY119" t="s">
        <v>206</v>
      </c>
      <c r="DZ119" t="s">
        <v>207</v>
      </c>
      <c r="EA119" t="s">
        <v>198</v>
      </c>
      <c r="EB119" t="s">
        <v>198</v>
      </c>
      <c r="EC119" t="s">
        <v>198</v>
      </c>
      <c r="ED119">
        <v>0</v>
      </c>
      <c r="EE119">
        <v>0</v>
      </c>
      <c r="EF119">
        <v>0</v>
      </c>
      <c r="EG119">
        <v>0</v>
      </c>
      <c r="EH119">
        <v>255</v>
      </c>
      <c r="EI119">
        <v>255</v>
      </c>
      <c r="EJ119">
        <v>255</v>
      </c>
      <c r="EK119">
        <v>255</v>
      </c>
      <c r="EL119">
        <v>255</v>
      </c>
      <c r="EM119">
        <v>255</v>
      </c>
      <c r="EN119">
        <v>255</v>
      </c>
      <c r="EO119">
        <v>255</v>
      </c>
      <c r="EP119">
        <v>255</v>
      </c>
      <c r="EQ119">
        <v>255</v>
      </c>
      <c r="ER119" t="s">
        <v>208</v>
      </c>
      <c r="ES119" t="s">
        <v>209</v>
      </c>
      <c r="ET119" t="s">
        <v>209</v>
      </c>
      <c r="EU119">
        <v>0</v>
      </c>
      <c r="EV119">
        <v>16.2</v>
      </c>
      <c r="EW119">
        <v>-114.7</v>
      </c>
      <c r="EX119">
        <v>-9.199999999999999</v>
      </c>
      <c r="EY119">
        <v>0</v>
      </c>
      <c r="EZ119">
        <v>0</v>
      </c>
      <c r="FA119">
        <v>0.5</v>
      </c>
      <c r="FB119" t="s">
        <v>198</v>
      </c>
      <c r="FC119" t="s">
        <v>198</v>
      </c>
      <c r="FD119" t="s">
        <v>198</v>
      </c>
      <c r="FE119" t="s">
        <v>198</v>
      </c>
      <c r="FF119" t="s">
        <v>198</v>
      </c>
      <c r="FG119" t="s">
        <v>198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 t="s">
        <v>203</v>
      </c>
      <c r="FP119" t="s">
        <v>203</v>
      </c>
      <c r="FQ119" t="s">
        <v>203</v>
      </c>
      <c r="FR119" t="s">
        <v>203</v>
      </c>
      <c r="FS119" t="s">
        <v>203</v>
      </c>
      <c r="FT119" t="s">
        <v>203</v>
      </c>
      <c r="FU119" t="s">
        <v>198</v>
      </c>
      <c r="FV119" t="s">
        <v>198</v>
      </c>
      <c r="FW119" t="s">
        <v>198</v>
      </c>
      <c r="FX119" t="s">
        <v>198</v>
      </c>
      <c r="FY119" t="s">
        <v>198</v>
      </c>
      <c r="FZ119" t="s">
        <v>198</v>
      </c>
      <c r="GA119">
        <v>31.14</v>
      </c>
      <c r="GB119">
        <v>31.14</v>
      </c>
      <c r="GC119" t="s">
        <v>203</v>
      </c>
      <c r="GD119">
        <v>0</v>
      </c>
      <c r="GE119">
        <v>504</v>
      </c>
      <c r="GF119">
        <v>0</v>
      </c>
      <c r="GG119">
        <v>0.1</v>
      </c>
      <c r="GH119">
        <v>0.6</v>
      </c>
      <c r="GI119">
        <v>0</v>
      </c>
      <c r="GJ119">
        <v>0</v>
      </c>
      <c r="GK119">
        <v>0</v>
      </c>
      <c r="GL119" t="s">
        <v>198</v>
      </c>
      <c r="GM119" t="s">
        <v>198</v>
      </c>
      <c r="GN119" t="s">
        <v>198</v>
      </c>
    </row>
    <row r="120" spans="1:196">
      <c r="A120" s="19">
        <v>46316.90527017361</v>
      </c>
      <c r="B120">
        <v>0.1</v>
      </c>
      <c r="C120">
        <v>0</v>
      </c>
      <c r="D120">
        <v>278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-0.5</v>
      </c>
      <c r="L120">
        <v>8.6</v>
      </c>
      <c r="M120">
        <v>592.8</v>
      </c>
      <c r="N120">
        <v>8.199999999999999</v>
      </c>
      <c r="O120">
        <v>8.6</v>
      </c>
      <c r="P120">
        <v>8.603</v>
      </c>
      <c r="Q120">
        <v>0</v>
      </c>
      <c r="R120">
        <v>0</v>
      </c>
      <c r="S120">
        <v>115.6</v>
      </c>
      <c r="T120" t="s">
        <v>445</v>
      </c>
      <c r="U120">
        <v>115.7</v>
      </c>
      <c r="V120">
        <v>93362.10000000001</v>
      </c>
      <c r="W120">
        <v>3</v>
      </c>
      <c r="X120" t="s">
        <v>197</v>
      </c>
      <c r="Y120">
        <v>0</v>
      </c>
      <c r="Z120">
        <v>98</v>
      </c>
      <c r="AA120">
        <v>278</v>
      </c>
      <c r="AB120" t="s">
        <v>197</v>
      </c>
      <c r="AC120" t="s">
        <v>198</v>
      </c>
      <c r="AD120" t="s">
        <v>199</v>
      </c>
      <c r="AE120">
        <v>32</v>
      </c>
      <c r="AF120">
        <v>44</v>
      </c>
      <c r="AG120">
        <v>255</v>
      </c>
      <c r="AH120">
        <v>0</v>
      </c>
      <c r="AI120">
        <v>0</v>
      </c>
      <c r="AJ120">
        <v>0</v>
      </c>
      <c r="AK120">
        <v>12.6</v>
      </c>
      <c r="AL120">
        <v>0</v>
      </c>
      <c r="AM120">
        <v>0</v>
      </c>
      <c r="AN120" t="s">
        <v>197</v>
      </c>
      <c r="AO120">
        <v>100</v>
      </c>
      <c r="AP120" t="s">
        <v>197</v>
      </c>
      <c r="AQ120" t="s">
        <v>200</v>
      </c>
      <c r="AR120">
        <v>1</v>
      </c>
      <c r="AS120">
        <v>0</v>
      </c>
      <c r="AT120" t="s">
        <v>446</v>
      </c>
      <c r="AU120" t="s">
        <v>446</v>
      </c>
      <c r="AV120" t="s">
        <v>202</v>
      </c>
      <c r="AW120" t="s">
        <v>203</v>
      </c>
      <c r="AX120" t="s">
        <v>203</v>
      </c>
      <c r="AY120" t="s">
        <v>203</v>
      </c>
      <c r="AZ120" t="s">
        <v>203</v>
      </c>
      <c r="BA120" t="s">
        <v>203</v>
      </c>
      <c r="BB120" t="s">
        <v>203</v>
      </c>
      <c r="BC120" t="s">
        <v>203</v>
      </c>
      <c r="BD120" t="s">
        <v>203</v>
      </c>
      <c r="BE120" t="s">
        <v>203</v>
      </c>
      <c r="BF120">
        <v>6.03</v>
      </c>
      <c r="BG120">
        <v>0.2</v>
      </c>
      <c r="BH120">
        <v>50</v>
      </c>
      <c r="BI120">
        <v>0</v>
      </c>
      <c r="BJ120" t="s">
        <v>198</v>
      </c>
      <c r="BK120" t="s">
        <v>198</v>
      </c>
      <c r="BL120" t="s">
        <v>198</v>
      </c>
      <c r="BM120" t="s">
        <v>198</v>
      </c>
      <c r="BN120" t="s">
        <v>198</v>
      </c>
      <c r="BO120" t="s">
        <v>198</v>
      </c>
      <c r="BP120" t="s">
        <v>198</v>
      </c>
      <c r="BQ120" t="s">
        <v>198</v>
      </c>
      <c r="BR120" t="s">
        <v>198</v>
      </c>
      <c r="BS120" t="s">
        <v>198</v>
      </c>
      <c r="BT120" t="s">
        <v>198</v>
      </c>
      <c r="BU120" t="s">
        <v>198</v>
      </c>
      <c r="BV120" t="s">
        <v>198</v>
      </c>
      <c r="BW120" t="s">
        <v>198</v>
      </c>
      <c r="BX120" t="s">
        <v>198</v>
      </c>
      <c r="BY120" t="s">
        <v>198</v>
      </c>
      <c r="BZ120" t="s">
        <v>198</v>
      </c>
      <c r="CA120" t="s">
        <v>198</v>
      </c>
      <c r="CB120" t="s">
        <v>204</v>
      </c>
      <c r="CC120" t="s">
        <v>204</v>
      </c>
      <c r="CD120" t="s">
        <v>204</v>
      </c>
      <c r="CE120" t="s">
        <v>204</v>
      </c>
      <c r="CF120" t="s">
        <v>204</v>
      </c>
      <c r="CG120" t="s">
        <v>204</v>
      </c>
      <c r="CH120" t="s">
        <v>204</v>
      </c>
      <c r="CI120" t="s">
        <v>204</v>
      </c>
      <c r="CJ120" t="s">
        <v>204</v>
      </c>
      <c r="CK120" t="s">
        <v>204</v>
      </c>
      <c r="CL120" t="s">
        <v>204</v>
      </c>
      <c r="CM120" t="s">
        <v>204</v>
      </c>
      <c r="CN120" t="s">
        <v>203</v>
      </c>
      <c r="CO120" t="s">
        <v>203</v>
      </c>
      <c r="CP120" t="s">
        <v>203</v>
      </c>
      <c r="CQ120" t="s">
        <v>203</v>
      </c>
      <c r="CR120" t="s">
        <v>203</v>
      </c>
      <c r="CS120" t="s">
        <v>203</v>
      </c>
      <c r="CT120" t="s">
        <v>203</v>
      </c>
      <c r="CU120" t="s">
        <v>203</v>
      </c>
      <c r="CV120">
        <v>0</v>
      </c>
      <c r="CW120">
        <v>0</v>
      </c>
      <c r="CX120" t="s">
        <v>198</v>
      </c>
      <c r="CY120" t="s">
        <v>198</v>
      </c>
      <c r="CZ120" t="s">
        <v>198</v>
      </c>
      <c r="DA120" t="s">
        <v>198</v>
      </c>
      <c r="DB120" t="s">
        <v>198</v>
      </c>
      <c r="DC120">
        <v>0</v>
      </c>
      <c r="DD120">
        <v>0</v>
      </c>
      <c r="DE120">
        <v>0</v>
      </c>
      <c r="DF120">
        <v>0</v>
      </c>
      <c r="DG120">
        <v>-35.3631166</v>
      </c>
      <c r="DH120">
        <v>149.1639735</v>
      </c>
      <c r="DI120" t="s">
        <v>360</v>
      </c>
      <c r="DJ120">
        <v>1.2</v>
      </c>
      <c r="DK120">
        <v>2</v>
      </c>
      <c r="DL120">
        <v>195</v>
      </c>
      <c r="DM120">
        <v>0</v>
      </c>
      <c r="DN120">
        <v>6</v>
      </c>
      <c r="DO120">
        <v>10</v>
      </c>
      <c r="DP120">
        <v>0</v>
      </c>
      <c r="DQ120">
        <v>255</v>
      </c>
      <c r="DR120">
        <v>255</v>
      </c>
      <c r="DS120">
        <v>255</v>
      </c>
      <c r="DT120">
        <v>255</v>
      </c>
      <c r="DU120">
        <v>255</v>
      </c>
      <c r="DV120">
        <v>255</v>
      </c>
      <c r="DW120">
        <v>255</v>
      </c>
      <c r="DX120" t="s">
        <v>206</v>
      </c>
      <c r="DY120" t="s">
        <v>206</v>
      </c>
      <c r="DZ120" t="s">
        <v>207</v>
      </c>
      <c r="EA120" t="s">
        <v>198</v>
      </c>
      <c r="EB120" t="s">
        <v>198</v>
      </c>
      <c r="EC120" t="s">
        <v>198</v>
      </c>
      <c r="ED120">
        <v>0</v>
      </c>
      <c r="EE120">
        <v>0</v>
      </c>
      <c r="EF120">
        <v>0</v>
      </c>
      <c r="EG120">
        <v>0</v>
      </c>
      <c r="EH120">
        <v>255</v>
      </c>
      <c r="EI120">
        <v>255</v>
      </c>
      <c r="EJ120">
        <v>255</v>
      </c>
      <c r="EK120">
        <v>255</v>
      </c>
      <c r="EL120">
        <v>255</v>
      </c>
      <c r="EM120">
        <v>255</v>
      </c>
      <c r="EN120">
        <v>255</v>
      </c>
      <c r="EO120">
        <v>255</v>
      </c>
      <c r="EP120">
        <v>255</v>
      </c>
      <c r="EQ120">
        <v>255</v>
      </c>
      <c r="ER120" t="s">
        <v>208</v>
      </c>
      <c r="ES120" t="s">
        <v>209</v>
      </c>
      <c r="ET120" t="s">
        <v>209</v>
      </c>
      <c r="EU120">
        <v>0</v>
      </c>
      <c r="EV120">
        <v>16.2</v>
      </c>
      <c r="EW120">
        <v>-114.7</v>
      </c>
      <c r="EX120">
        <v>-8.800000000000001</v>
      </c>
      <c r="EY120">
        <v>0</v>
      </c>
      <c r="EZ120">
        <v>0</v>
      </c>
      <c r="FA120">
        <v>0.5</v>
      </c>
      <c r="FB120" t="s">
        <v>198</v>
      </c>
      <c r="FC120" t="s">
        <v>198</v>
      </c>
      <c r="FD120" t="s">
        <v>198</v>
      </c>
      <c r="FE120" t="s">
        <v>198</v>
      </c>
      <c r="FF120" t="s">
        <v>198</v>
      </c>
      <c r="FG120" t="s">
        <v>198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 t="s">
        <v>203</v>
      </c>
      <c r="FP120" t="s">
        <v>203</v>
      </c>
      <c r="FQ120" t="s">
        <v>203</v>
      </c>
      <c r="FR120" t="s">
        <v>203</v>
      </c>
      <c r="FS120" t="s">
        <v>203</v>
      </c>
      <c r="FT120" t="s">
        <v>203</v>
      </c>
      <c r="FU120" t="s">
        <v>198</v>
      </c>
      <c r="FV120" t="s">
        <v>198</v>
      </c>
      <c r="FW120" t="s">
        <v>198</v>
      </c>
      <c r="FX120" t="s">
        <v>198</v>
      </c>
      <c r="FY120" t="s">
        <v>198</v>
      </c>
      <c r="FZ120" t="s">
        <v>198</v>
      </c>
      <c r="GA120">
        <v>31.14</v>
      </c>
      <c r="GB120">
        <v>31.14</v>
      </c>
      <c r="GC120" t="s">
        <v>203</v>
      </c>
      <c r="GD120">
        <v>0</v>
      </c>
      <c r="GE120">
        <v>504</v>
      </c>
      <c r="GF120">
        <v>0</v>
      </c>
      <c r="GG120">
        <v>0.1</v>
      </c>
      <c r="GH120">
        <v>0.6</v>
      </c>
      <c r="GI120">
        <v>0</v>
      </c>
      <c r="GJ120">
        <v>0</v>
      </c>
      <c r="GK120">
        <v>0</v>
      </c>
      <c r="GL120" t="s">
        <v>198</v>
      </c>
      <c r="GM120" t="s">
        <v>198</v>
      </c>
      <c r="GN120" t="s">
        <v>198</v>
      </c>
    </row>
    <row r="121" spans="1:196">
      <c r="A121" s="19">
        <v>46316.90528174768</v>
      </c>
      <c r="B121">
        <v>-0.4</v>
      </c>
      <c r="C121">
        <v>0</v>
      </c>
      <c r="D121">
        <v>278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0.001</v>
      </c>
      <c r="K121">
        <v>-0.5</v>
      </c>
      <c r="L121">
        <v>8.1</v>
      </c>
      <c r="M121">
        <v>592.3</v>
      </c>
      <c r="N121">
        <v>7.5</v>
      </c>
      <c r="O121">
        <v>8.1</v>
      </c>
      <c r="P121">
        <v>8.103</v>
      </c>
      <c r="Q121">
        <v>0</v>
      </c>
      <c r="R121">
        <v>0</v>
      </c>
      <c r="S121">
        <v>115.6</v>
      </c>
      <c r="T121" t="s">
        <v>447</v>
      </c>
      <c r="U121">
        <v>115.7</v>
      </c>
      <c r="V121">
        <v>86821.3</v>
      </c>
      <c r="W121">
        <v>3</v>
      </c>
      <c r="X121" t="s">
        <v>197</v>
      </c>
      <c r="Y121">
        <v>0</v>
      </c>
      <c r="Z121">
        <v>98</v>
      </c>
      <c r="AA121">
        <v>278</v>
      </c>
      <c r="AB121" t="s">
        <v>197</v>
      </c>
      <c r="AC121" t="s">
        <v>198</v>
      </c>
      <c r="AD121" t="s">
        <v>199</v>
      </c>
      <c r="AE121">
        <v>32</v>
      </c>
      <c r="AF121">
        <v>44</v>
      </c>
      <c r="AG121">
        <v>255</v>
      </c>
      <c r="AH121">
        <v>0</v>
      </c>
      <c r="AI121">
        <v>0</v>
      </c>
      <c r="AJ121">
        <v>0</v>
      </c>
      <c r="AK121">
        <v>12.6</v>
      </c>
      <c r="AL121">
        <v>0</v>
      </c>
      <c r="AM121">
        <v>0</v>
      </c>
      <c r="AN121" t="s">
        <v>197</v>
      </c>
      <c r="AO121">
        <v>100</v>
      </c>
      <c r="AP121" t="s">
        <v>197</v>
      </c>
      <c r="AQ121" t="s">
        <v>200</v>
      </c>
      <c r="AR121">
        <v>1</v>
      </c>
      <c r="AS121">
        <v>0</v>
      </c>
      <c r="AT121" t="s">
        <v>448</v>
      </c>
      <c r="AU121" t="s">
        <v>448</v>
      </c>
      <c r="AV121" t="s">
        <v>202</v>
      </c>
      <c r="AW121" t="s">
        <v>203</v>
      </c>
      <c r="AX121" t="s">
        <v>203</v>
      </c>
      <c r="AY121" t="s">
        <v>203</v>
      </c>
      <c r="AZ121" t="s">
        <v>203</v>
      </c>
      <c r="BA121" t="s">
        <v>203</v>
      </c>
      <c r="BB121" t="s">
        <v>203</v>
      </c>
      <c r="BC121" t="s">
        <v>203</v>
      </c>
      <c r="BD121" t="s">
        <v>203</v>
      </c>
      <c r="BE121" t="s">
        <v>203</v>
      </c>
      <c r="BF121">
        <v>5.53</v>
      </c>
      <c r="BG121">
        <v>0.2</v>
      </c>
      <c r="BH121">
        <v>50</v>
      </c>
      <c r="BI121">
        <v>0</v>
      </c>
      <c r="BJ121" t="s">
        <v>198</v>
      </c>
      <c r="BK121" t="s">
        <v>198</v>
      </c>
      <c r="BL121" t="s">
        <v>198</v>
      </c>
      <c r="BM121" t="s">
        <v>198</v>
      </c>
      <c r="BN121" t="s">
        <v>198</v>
      </c>
      <c r="BO121" t="s">
        <v>198</v>
      </c>
      <c r="BP121" t="s">
        <v>198</v>
      </c>
      <c r="BQ121" t="s">
        <v>198</v>
      </c>
      <c r="BR121" t="s">
        <v>198</v>
      </c>
      <c r="BS121" t="s">
        <v>198</v>
      </c>
      <c r="BT121" t="s">
        <v>198</v>
      </c>
      <c r="BU121" t="s">
        <v>198</v>
      </c>
      <c r="BV121" t="s">
        <v>198</v>
      </c>
      <c r="BW121" t="s">
        <v>198</v>
      </c>
      <c r="BX121" t="s">
        <v>198</v>
      </c>
      <c r="BY121" t="s">
        <v>198</v>
      </c>
      <c r="BZ121" t="s">
        <v>198</v>
      </c>
      <c r="CA121" t="s">
        <v>198</v>
      </c>
      <c r="CB121" t="s">
        <v>204</v>
      </c>
      <c r="CC121" t="s">
        <v>204</v>
      </c>
      <c r="CD121" t="s">
        <v>204</v>
      </c>
      <c r="CE121" t="s">
        <v>204</v>
      </c>
      <c r="CF121" t="s">
        <v>204</v>
      </c>
      <c r="CG121" t="s">
        <v>204</v>
      </c>
      <c r="CH121" t="s">
        <v>204</v>
      </c>
      <c r="CI121" t="s">
        <v>204</v>
      </c>
      <c r="CJ121" t="s">
        <v>204</v>
      </c>
      <c r="CK121" t="s">
        <v>204</v>
      </c>
      <c r="CL121" t="s">
        <v>204</v>
      </c>
      <c r="CM121" t="s">
        <v>204</v>
      </c>
      <c r="CN121" t="s">
        <v>203</v>
      </c>
      <c r="CO121" t="s">
        <v>203</v>
      </c>
      <c r="CP121" t="s">
        <v>203</v>
      </c>
      <c r="CQ121" t="s">
        <v>203</v>
      </c>
      <c r="CR121" t="s">
        <v>203</v>
      </c>
      <c r="CS121" t="s">
        <v>203</v>
      </c>
      <c r="CT121" t="s">
        <v>203</v>
      </c>
      <c r="CU121" t="s">
        <v>203</v>
      </c>
      <c r="CV121">
        <v>0</v>
      </c>
      <c r="CW121">
        <v>0</v>
      </c>
      <c r="CX121" t="s">
        <v>198</v>
      </c>
      <c r="CY121" t="s">
        <v>198</v>
      </c>
      <c r="CZ121" t="s">
        <v>198</v>
      </c>
      <c r="DA121" t="s">
        <v>198</v>
      </c>
      <c r="DB121" t="s">
        <v>198</v>
      </c>
      <c r="DC121">
        <v>0</v>
      </c>
      <c r="DD121">
        <v>0</v>
      </c>
      <c r="DE121">
        <v>0</v>
      </c>
      <c r="DF121">
        <v>0</v>
      </c>
      <c r="DG121">
        <v>-35.3631166</v>
      </c>
      <c r="DH121">
        <v>149.1639735</v>
      </c>
      <c r="DI121" t="s">
        <v>360</v>
      </c>
      <c r="DJ121">
        <v>1.2</v>
      </c>
      <c r="DK121">
        <v>2</v>
      </c>
      <c r="DL121">
        <v>2.5</v>
      </c>
      <c r="DM121">
        <v>0</v>
      </c>
      <c r="DN121">
        <v>6</v>
      </c>
      <c r="DO121">
        <v>10</v>
      </c>
      <c r="DP121">
        <v>0</v>
      </c>
      <c r="DQ121">
        <v>255</v>
      </c>
      <c r="DR121">
        <v>255</v>
      </c>
      <c r="DS121">
        <v>255</v>
      </c>
      <c r="DT121">
        <v>255</v>
      </c>
      <c r="DU121">
        <v>255</v>
      </c>
      <c r="DV121">
        <v>255</v>
      </c>
      <c r="DW121">
        <v>255</v>
      </c>
      <c r="DX121" t="s">
        <v>206</v>
      </c>
      <c r="DY121" t="s">
        <v>206</v>
      </c>
      <c r="DZ121" t="s">
        <v>207</v>
      </c>
      <c r="EA121" t="s">
        <v>198</v>
      </c>
      <c r="EB121" t="s">
        <v>198</v>
      </c>
      <c r="EC121" t="s">
        <v>198</v>
      </c>
      <c r="ED121">
        <v>0</v>
      </c>
      <c r="EE121">
        <v>0</v>
      </c>
      <c r="EF121">
        <v>0</v>
      </c>
      <c r="EG121">
        <v>0</v>
      </c>
      <c r="EH121">
        <v>255</v>
      </c>
      <c r="EI121">
        <v>255</v>
      </c>
      <c r="EJ121">
        <v>255</v>
      </c>
      <c r="EK121">
        <v>255</v>
      </c>
      <c r="EL121">
        <v>255</v>
      </c>
      <c r="EM121">
        <v>255</v>
      </c>
      <c r="EN121">
        <v>255</v>
      </c>
      <c r="EO121">
        <v>255</v>
      </c>
      <c r="EP121">
        <v>255</v>
      </c>
      <c r="EQ121">
        <v>255</v>
      </c>
      <c r="ER121" t="s">
        <v>208</v>
      </c>
      <c r="ES121" t="s">
        <v>209</v>
      </c>
      <c r="ET121" t="s">
        <v>209</v>
      </c>
      <c r="EU121">
        <v>0</v>
      </c>
      <c r="EV121">
        <v>16.2</v>
      </c>
      <c r="EW121">
        <v>-114.7</v>
      </c>
      <c r="EX121">
        <v>-8.300000000000001</v>
      </c>
      <c r="EY121">
        <v>0</v>
      </c>
      <c r="EZ121">
        <v>0</v>
      </c>
      <c r="FA121">
        <v>0.5</v>
      </c>
      <c r="FB121" t="s">
        <v>198</v>
      </c>
      <c r="FC121" t="s">
        <v>198</v>
      </c>
      <c r="FD121" t="s">
        <v>198</v>
      </c>
      <c r="FE121" t="s">
        <v>198</v>
      </c>
      <c r="FF121" t="s">
        <v>198</v>
      </c>
      <c r="FG121" t="s">
        <v>198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 t="s">
        <v>203</v>
      </c>
      <c r="FP121" t="s">
        <v>203</v>
      </c>
      <c r="FQ121" t="s">
        <v>203</v>
      </c>
      <c r="FR121" t="s">
        <v>203</v>
      </c>
      <c r="FS121" t="s">
        <v>203</v>
      </c>
      <c r="FT121" t="s">
        <v>203</v>
      </c>
      <c r="FU121" t="s">
        <v>198</v>
      </c>
      <c r="FV121" t="s">
        <v>198</v>
      </c>
      <c r="FW121" t="s">
        <v>198</v>
      </c>
      <c r="FX121" t="s">
        <v>198</v>
      </c>
      <c r="FY121" t="s">
        <v>198</v>
      </c>
      <c r="FZ121" t="s">
        <v>198</v>
      </c>
      <c r="GA121">
        <v>31.15</v>
      </c>
      <c r="GB121">
        <v>31.14</v>
      </c>
      <c r="GC121" t="s">
        <v>203</v>
      </c>
      <c r="GD121">
        <v>0</v>
      </c>
      <c r="GE121">
        <v>504</v>
      </c>
      <c r="GF121">
        <v>0</v>
      </c>
      <c r="GG121">
        <v>0.1</v>
      </c>
      <c r="GH121">
        <v>0.6</v>
      </c>
      <c r="GI121">
        <v>0</v>
      </c>
      <c r="GJ121">
        <v>0</v>
      </c>
      <c r="GK121">
        <v>0</v>
      </c>
      <c r="GL121" t="s">
        <v>198</v>
      </c>
      <c r="GM121" t="s">
        <v>198</v>
      </c>
      <c r="GN121" t="s">
        <v>198</v>
      </c>
    </row>
    <row r="122" spans="1:196">
      <c r="A122" s="19">
        <v>46316.90529331018</v>
      </c>
      <c r="B122">
        <v>-0.1</v>
      </c>
      <c r="C122">
        <v>0</v>
      </c>
      <c r="D122">
        <v>278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-0.5</v>
      </c>
      <c r="L122">
        <v>7.6</v>
      </c>
      <c r="M122">
        <v>591.8</v>
      </c>
      <c r="N122">
        <v>7</v>
      </c>
      <c r="O122">
        <v>7.6</v>
      </c>
      <c r="P122">
        <v>7.603</v>
      </c>
      <c r="Q122">
        <v>0</v>
      </c>
      <c r="R122">
        <v>0</v>
      </c>
      <c r="S122">
        <v>115.6</v>
      </c>
      <c r="T122" t="s">
        <v>449</v>
      </c>
      <c r="U122">
        <v>115.7</v>
      </c>
      <c r="V122">
        <v>45083.7</v>
      </c>
      <c r="W122">
        <v>3</v>
      </c>
      <c r="X122" t="s">
        <v>197</v>
      </c>
      <c r="Y122">
        <v>0</v>
      </c>
      <c r="Z122">
        <v>98</v>
      </c>
      <c r="AA122">
        <v>278</v>
      </c>
      <c r="AB122" t="s">
        <v>197</v>
      </c>
      <c r="AC122" t="s">
        <v>198</v>
      </c>
      <c r="AD122" t="s">
        <v>199</v>
      </c>
      <c r="AE122">
        <v>32</v>
      </c>
      <c r="AF122">
        <v>44</v>
      </c>
      <c r="AG122">
        <v>255</v>
      </c>
      <c r="AH122">
        <v>0</v>
      </c>
      <c r="AI122">
        <v>0</v>
      </c>
      <c r="AJ122">
        <v>0</v>
      </c>
      <c r="AK122">
        <v>12.6</v>
      </c>
      <c r="AL122">
        <v>0</v>
      </c>
      <c r="AM122">
        <v>0</v>
      </c>
      <c r="AN122" t="s">
        <v>197</v>
      </c>
      <c r="AO122">
        <v>100</v>
      </c>
      <c r="AP122" t="s">
        <v>197</v>
      </c>
      <c r="AQ122" t="s">
        <v>200</v>
      </c>
      <c r="AR122">
        <v>1</v>
      </c>
      <c r="AS122">
        <v>0</v>
      </c>
      <c r="AT122" t="s">
        <v>450</v>
      </c>
      <c r="AU122" t="s">
        <v>450</v>
      </c>
      <c r="AV122" t="s">
        <v>202</v>
      </c>
      <c r="AW122" t="s">
        <v>203</v>
      </c>
      <c r="AX122" t="s">
        <v>203</v>
      </c>
      <c r="AY122" t="s">
        <v>203</v>
      </c>
      <c r="AZ122" t="s">
        <v>203</v>
      </c>
      <c r="BA122" t="s">
        <v>203</v>
      </c>
      <c r="BB122" t="s">
        <v>203</v>
      </c>
      <c r="BC122" t="s">
        <v>203</v>
      </c>
      <c r="BD122" t="s">
        <v>203</v>
      </c>
      <c r="BE122" t="s">
        <v>203</v>
      </c>
      <c r="BF122">
        <v>5.03</v>
      </c>
      <c r="BG122">
        <v>0.2</v>
      </c>
      <c r="BH122">
        <v>50</v>
      </c>
      <c r="BI122">
        <v>0</v>
      </c>
      <c r="BJ122" t="s">
        <v>198</v>
      </c>
      <c r="BK122" t="s">
        <v>198</v>
      </c>
      <c r="BL122" t="s">
        <v>198</v>
      </c>
      <c r="BM122" t="s">
        <v>198</v>
      </c>
      <c r="BN122" t="s">
        <v>198</v>
      </c>
      <c r="BO122" t="s">
        <v>198</v>
      </c>
      <c r="BP122" t="s">
        <v>198</v>
      </c>
      <c r="BQ122" t="s">
        <v>198</v>
      </c>
      <c r="BR122" t="s">
        <v>198</v>
      </c>
      <c r="BS122" t="s">
        <v>198</v>
      </c>
      <c r="BT122" t="s">
        <v>198</v>
      </c>
      <c r="BU122" t="s">
        <v>198</v>
      </c>
      <c r="BV122" t="s">
        <v>198</v>
      </c>
      <c r="BW122" t="s">
        <v>198</v>
      </c>
      <c r="BX122" t="s">
        <v>198</v>
      </c>
      <c r="BY122" t="s">
        <v>198</v>
      </c>
      <c r="BZ122" t="s">
        <v>198</v>
      </c>
      <c r="CA122" t="s">
        <v>198</v>
      </c>
      <c r="CB122" t="s">
        <v>204</v>
      </c>
      <c r="CC122" t="s">
        <v>204</v>
      </c>
      <c r="CD122" t="s">
        <v>204</v>
      </c>
      <c r="CE122" t="s">
        <v>204</v>
      </c>
      <c r="CF122" t="s">
        <v>204</v>
      </c>
      <c r="CG122" t="s">
        <v>204</v>
      </c>
      <c r="CH122" t="s">
        <v>204</v>
      </c>
      <c r="CI122" t="s">
        <v>204</v>
      </c>
      <c r="CJ122" t="s">
        <v>204</v>
      </c>
      <c r="CK122" t="s">
        <v>204</v>
      </c>
      <c r="CL122" t="s">
        <v>204</v>
      </c>
      <c r="CM122" t="s">
        <v>204</v>
      </c>
      <c r="CN122" t="s">
        <v>203</v>
      </c>
      <c r="CO122" t="s">
        <v>203</v>
      </c>
      <c r="CP122" t="s">
        <v>203</v>
      </c>
      <c r="CQ122" t="s">
        <v>203</v>
      </c>
      <c r="CR122" t="s">
        <v>203</v>
      </c>
      <c r="CS122" t="s">
        <v>203</v>
      </c>
      <c r="CT122" t="s">
        <v>203</v>
      </c>
      <c r="CU122" t="s">
        <v>203</v>
      </c>
      <c r="CV122">
        <v>0</v>
      </c>
      <c r="CW122">
        <v>0</v>
      </c>
      <c r="CX122" t="s">
        <v>198</v>
      </c>
      <c r="CY122" t="s">
        <v>198</v>
      </c>
      <c r="CZ122" t="s">
        <v>198</v>
      </c>
      <c r="DA122" t="s">
        <v>198</v>
      </c>
      <c r="DB122" t="s">
        <v>198</v>
      </c>
      <c r="DC122">
        <v>0</v>
      </c>
      <c r="DD122">
        <v>0</v>
      </c>
      <c r="DE122">
        <v>0</v>
      </c>
      <c r="DF122">
        <v>0</v>
      </c>
      <c r="DG122">
        <v>-35.3631166</v>
      </c>
      <c r="DH122">
        <v>149.1639735</v>
      </c>
      <c r="DI122" t="s">
        <v>360</v>
      </c>
      <c r="DJ122">
        <v>1.2</v>
      </c>
      <c r="DK122">
        <v>2</v>
      </c>
      <c r="DL122">
        <v>150.7</v>
      </c>
      <c r="DM122">
        <v>0</v>
      </c>
      <c r="DN122">
        <v>6</v>
      </c>
      <c r="DO122">
        <v>10</v>
      </c>
      <c r="DP122">
        <v>0</v>
      </c>
      <c r="DQ122">
        <v>255</v>
      </c>
      <c r="DR122">
        <v>255</v>
      </c>
      <c r="DS122">
        <v>255</v>
      </c>
      <c r="DT122">
        <v>255</v>
      </c>
      <c r="DU122">
        <v>255</v>
      </c>
      <c r="DV122">
        <v>255</v>
      </c>
      <c r="DW122">
        <v>255</v>
      </c>
      <c r="DX122" t="s">
        <v>206</v>
      </c>
      <c r="DY122" t="s">
        <v>206</v>
      </c>
      <c r="DZ122" t="s">
        <v>207</v>
      </c>
      <c r="EA122" t="s">
        <v>198</v>
      </c>
      <c r="EB122" t="s">
        <v>198</v>
      </c>
      <c r="EC122" t="s">
        <v>198</v>
      </c>
      <c r="ED122">
        <v>0</v>
      </c>
      <c r="EE122">
        <v>0</v>
      </c>
      <c r="EF122">
        <v>0</v>
      </c>
      <c r="EG122">
        <v>0</v>
      </c>
      <c r="EH122">
        <v>255</v>
      </c>
      <c r="EI122">
        <v>255</v>
      </c>
      <c r="EJ122">
        <v>255</v>
      </c>
      <c r="EK122">
        <v>255</v>
      </c>
      <c r="EL122">
        <v>255</v>
      </c>
      <c r="EM122">
        <v>255</v>
      </c>
      <c r="EN122">
        <v>255</v>
      </c>
      <c r="EO122">
        <v>255</v>
      </c>
      <c r="EP122">
        <v>255</v>
      </c>
      <c r="EQ122">
        <v>255</v>
      </c>
      <c r="ER122" t="s">
        <v>208</v>
      </c>
      <c r="ES122" t="s">
        <v>209</v>
      </c>
      <c r="ET122" t="s">
        <v>209</v>
      </c>
      <c r="EU122">
        <v>0</v>
      </c>
      <c r="EV122">
        <v>16.2</v>
      </c>
      <c r="EW122">
        <v>-114.7</v>
      </c>
      <c r="EX122">
        <v>-7.8</v>
      </c>
      <c r="EY122">
        <v>0</v>
      </c>
      <c r="EZ122">
        <v>0</v>
      </c>
      <c r="FA122">
        <v>0.5</v>
      </c>
      <c r="FB122" t="s">
        <v>198</v>
      </c>
      <c r="FC122" t="s">
        <v>198</v>
      </c>
      <c r="FD122" t="s">
        <v>198</v>
      </c>
      <c r="FE122" t="s">
        <v>198</v>
      </c>
      <c r="FF122" t="s">
        <v>198</v>
      </c>
      <c r="FG122" t="s">
        <v>198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203</v>
      </c>
      <c r="FP122" t="s">
        <v>203</v>
      </c>
      <c r="FQ122" t="s">
        <v>203</v>
      </c>
      <c r="FR122" t="s">
        <v>203</v>
      </c>
      <c r="FS122" t="s">
        <v>203</v>
      </c>
      <c r="FT122" t="s">
        <v>203</v>
      </c>
      <c r="FU122" t="s">
        <v>198</v>
      </c>
      <c r="FV122" t="s">
        <v>198</v>
      </c>
      <c r="FW122" t="s">
        <v>198</v>
      </c>
      <c r="FX122" t="s">
        <v>198</v>
      </c>
      <c r="FY122" t="s">
        <v>198</v>
      </c>
      <c r="FZ122" t="s">
        <v>198</v>
      </c>
      <c r="GA122">
        <v>31.15</v>
      </c>
      <c r="GB122">
        <v>31.15</v>
      </c>
      <c r="GC122" t="s">
        <v>203</v>
      </c>
      <c r="GD122">
        <v>0</v>
      </c>
      <c r="GE122">
        <v>504</v>
      </c>
      <c r="GF122">
        <v>0</v>
      </c>
      <c r="GG122">
        <v>0.1</v>
      </c>
      <c r="GH122">
        <v>0.6</v>
      </c>
      <c r="GI122">
        <v>0</v>
      </c>
      <c r="GJ122">
        <v>0</v>
      </c>
      <c r="GK122">
        <v>0</v>
      </c>
      <c r="GL122" t="s">
        <v>198</v>
      </c>
      <c r="GM122" t="s">
        <v>198</v>
      </c>
      <c r="GN122" t="s">
        <v>198</v>
      </c>
    </row>
    <row r="123" spans="1:196">
      <c r="A123" s="19">
        <v>46316.90530489583</v>
      </c>
      <c r="B123">
        <v>0.3</v>
      </c>
      <c r="C123">
        <v>0</v>
      </c>
      <c r="D123">
        <v>278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-0.5</v>
      </c>
      <c r="L123">
        <v>7.1</v>
      </c>
      <c r="M123">
        <v>591.3</v>
      </c>
      <c r="N123">
        <v>6.5</v>
      </c>
      <c r="O123">
        <v>7.1</v>
      </c>
      <c r="P123">
        <v>7.103</v>
      </c>
      <c r="Q123">
        <v>0</v>
      </c>
      <c r="R123">
        <v>0</v>
      </c>
      <c r="S123">
        <v>115.6</v>
      </c>
      <c r="T123" t="s">
        <v>451</v>
      </c>
      <c r="U123">
        <v>115.7</v>
      </c>
      <c r="V123">
        <v>80646.8</v>
      </c>
      <c r="W123">
        <v>3</v>
      </c>
      <c r="X123" t="s">
        <v>197</v>
      </c>
      <c r="Y123">
        <v>0</v>
      </c>
      <c r="Z123">
        <v>98</v>
      </c>
      <c r="AA123">
        <v>278</v>
      </c>
      <c r="AB123" t="s">
        <v>197</v>
      </c>
      <c r="AC123" t="s">
        <v>198</v>
      </c>
      <c r="AD123" t="s">
        <v>199</v>
      </c>
      <c r="AE123">
        <v>32</v>
      </c>
      <c r="AF123">
        <v>44</v>
      </c>
      <c r="AG123">
        <v>255</v>
      </c>
      <c r="AH123">
        <v>0</v>
      </c>
      <c r="AI123">
        <v>0</v>
      </c>
      <c r="AJ123">
        <v>0</v>
      </c>
      <c r="AK123">
        <v>12.6</v>
      </c>
      <c r="AL123">
        <v>0</v>
      </c>
      <c r="AM123">
        <v>0</v>
      </c>
      <c r="AN123" t="s">
        <v>197</v>
      </c>
      <c r="AO123">
        <v>100</v>
      </c>
      <c r="AP123" t="s">
        <v>197</v>
      </c>
      <c r="AQ123" t="s">
        <v>200</v>
      </c>
      <c r="AR123">
        <v>1</v>
      </c>
      <c r="AS123">
        <v>0</v>
      </c>
      <c r="AT123" t="s">
        <v>452</v>
      </c>
      <c r="AU123" t="s">
        <v>452</v>
      </c>
      <c r="AV123" t="s">
        <v>202</v>
      </c>
      <c r="AW123" t="s">
        <v>203</v>
      </c>
      <c r="AX123" t="s">
        <v>203</v>
      </c>
      <c r="AY123" t="s">
        <v>203</v>
      </c>
      <c r="AZ123" t="s">
        <v>203</v>
      </c>
      <c r="BA123" t="s">
        <v>203</v>
      </c>
      <c r="BB123" t="s">
        <v>203</v>
      </c>
      <c r="BC123" t="s">
        <v>203</v>
      </c>
      <c r="BD123" t="s">
        <v>203</v>
      </c>
      <c r="BE123" t="s">
        <v>203</v>
      </c>
      <c r="BF123">
        <v>4.53</v>
      </c>
      <c r="BG123">
        <v>0.2</v>
      </c>
      <c r="BH123">
        <v>50</v>
      </c>
      <c r="BI123">
        <v>0</v>
      </c>
      <c r="BJ123" t="s">
        <v>198</v>
      </c>
      <c r="BK123" t="s">
        <v>198</v>
      </c>
      <c r="BL123" t="s">
        <v>198</v>
      </c>
      <c r="BM123" t="s">
        <v>198</v>
      </c>
      <c r="BN123" t="s">
        <v>198</v>
      </c>
      <c r="BO123" t="s">
        <v>198</v>
      </c>
      <c r="BP123" t="s">
        <v>198</v>
      </c>
      <c r="BQ123" t="s">
        <v>198</v>
      </c>
      <c r="BR123" t="s">
        <v>198</v>
      </c>
      <c r="BS123" t="s">
        <v>198</v>
      </c>
      <c r="BT123" t="s">
        <v>198</v>
      </c>
      <c r="BU123" t="s">
        <v>198</v>
      </c>
      <c r="BV123" t="s">
        <v>198</v>
      </c>
      <c r="BW123" t="s">
        <v>198</v>
      </c>
      <c r="BX123" t="s">
        <v>198</v>
      </c>
      <c r="BY123" t="s">
        <v>198</v>
      </c>
      <c r="BZ123" t="s">
        <v>198</v>
      </c>
      <c r="CA123" t="s">
        <v>198</v>
      </c>
      <c r="CB123" t="s">
        <v>204</v>
      </c>
      <c r="CC123" t="s">
        <v>204</v>
      </c>
      <c r="CD123" t="s">
        <v>204</v>
      </c>
      <c r="CE123" t="s">
        <v>204</v>
      </c>
      <c r="CF123" t="s">
        <v>204</v>
      </c>
      <c r="CG123" t="s">
        <v>204</v>
      </c>
      <c r="CH123" t="s">
        <v>204</v>
      </c>
      <c r="CI123" t="s">
        <v>204</v>
      </c>
      <c r="CJ123" t="s">
        <v>204</v>
      </c>
      <c r="CK123" t="s">
        <v>204</v>
      </c>
      <c r="CL123" t="s">
        <v>204</v>
      </c>
      <c r="CM123" t="s">
        <v>204</v>
      </c>
      <c r="CN123" t="s">
        <v>203</v>
      </c>
      <c r="CO123" t="s">
        <v>203</v>
      </c>
      <c r="CP123" t="s">
        <v>203</v>
      </c>
      <c r="CQ123" t="s">
        <v>203</v>
      </c>
      <c r="CR123" t="s">
        <v>203</v>
      </c>
      <c r="CS123" t="s">
        <v>203</v>
      </c>
      <c r="CT123" t="s">
        <v>203</v>
      </c>
      <c r="CU123" t="s">
        <v>203</v>
      </c>
      <c r="CV123">
        <v>0</v>
      </c>
      <c r="CW123">
        <v>0</v>
      </c>
      <c r="CX123" t="s">
        <v>198</v>
      </c>
      <c r="CY123" t="s">
        <v>198</v>
      </c>
      <c r="CZ123" t="s">
        <v>198</v>
      </c>
      <c r="DA123" t="s">
        <v>198</v>
      </c>
      <c r="DB123" t="s">
        <v>198</v>
      </c>
      <c r="DC123">
        <v>0</v>
      </c>
      <c r="DD123">
        <v>0</v>
      </c>
      <c r="DE123">
        <v>0</v>
      </c>
      <c r="DF123">
        <v>0</v>
      </c>
      <c r="DG123">
        <v>-35.3631166</v>
      </c>
      <c r="DH123">
        <v>149.1639735</v>
      </c>
      <c r="DI123" t="s">
        <v>360</v>
      </c>
      <c r="DJ123">
        <v>1.2</v>
      </c>
      <c r="DK123">
        <v>2</v>
      </c>
      <c r="DL123">
        <v>201.9</v>
      </c>
      <c r="DM123">
        <v>0</v>
      </c>
      <c r="DN123">
        <v>6</v>
      </c>
      <c r="DO123">
        <v>10</v>
      </c>
      <c r="DP123">
        <v>0</v>
      </c>
      <c r="DQ123">
        <v>255</v>
      </c>
      <c r="DR123">
        <v>255</v>
      </c>
      <c r="DS123">
        <v>255</v>
      </c>
      <c r="DT123">
        <v>255</v>
      </c>
      <c r="DU123">
        <v>255</v>
      </c>
      <c r="DV123">
        <v>255</v>
      </c>
      <c r="DW123">
        <v>255</v>
      </c>
      <c r="DX123" t="s">
        <v>206</v>
      </c>
      <c r="DY123" t="s">
        <v>206</v>
      </c>
      <c r="DZ123" t="s">
        <v>207</v>
      </c>
      <c r="EA123" t="s">
        <v>198</v>
      </c>
      <c r="EB123" t="s">
        <v>198</v>
      </c>
      <c r="EC123" t="s">
        <v>198</v>
      </c>
      <c r="ED123">
        <v>0</v>
      </c>
      <c r="EE123">
        <v>0</v>
      </c>
      <c r="EF123">
        <v>0</v>
      </c>
      <c r="EG123">
        <v>0</v>
      </c>
      <c r="EH123">
        <v>255</v>
      </c>
      <c r="EI123">
        <v>255</v>
      </c>
      <c r="EJ123">
        <v>255</v>
      </c>
      <c r="EK123">
        <v>255</v>
      </c>
      <c r="EL123">
        <v>255</v>
      </c>
      <c r="EM123">
        <v>255</v>
      </c>
      <c r="EN123">
        <v>255</v>
      </c>
      <c r="EO123">
        <v>255</v>
      </c>
      <c r="EP123">
        <v>255</v>
      </c>
      <c r="EQ123">
        <v>255</v>
      </c>
      <c r="ER123" t="s">
        <v>208</v>
      </c>
      <c r="ES123" t="s">
        <v>209</v>
      </c>
      <c r="ET123" t="s">
        <v>209</v>
      </c>
      <c r="EU123">
        <v>0</v>
      </c>
      <c r="EV123">
        <v>16.2</v>
      </c>
      <c r="EW123">
        <v>-114.7</v>
      </c>
      <c r="EX123">
        <v>-7.3</v>
      </c>
      <c r="EY123">
        <v>0</v>
      </c>
      <c r="EZ123">
        <v>0</v>
      </c>
      <c r="FA123">
        <v>0.5</v>
      </c>
      <c r="FB123" t="s">
        <v>198</v>
      </c>
      <c r="FC123" t="s">
        <v>198</v>
      </c>
      <c r="FD123" t="s">
        <v>198</v>
      </c>
      <c r="FE123" t="s">
        <v>198</v>
      </c>
      <c r="FF123" t="s">
        <v>198</v>
      </c>
      <c r="FG123" t="s">
        <v>198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 t="s">
        <v>203</v>
      </c>
      <c r="FP123" t="s">
        <v>203</v>
      </c>
      <c r="FQ123" t="s">
        <v>203</v>
      </c>
      <c r="FR123" t="s">
        <v>203</v>
      </c>
      <c r="FS123" t="s">
        <v>203</v>
      </c>
      <c r="FT123" t="s">
        <v>203</v>
      </c>
      <c r="FU123" t="s">
        <v>198</v>
      </c>
      <c r="FV123" t="s">
        <v>198</v>
      </c>
      <c r="FW123" t="s">
        <v>198</v>
      </c>
      <c r="FX123" t="s">
        <v>198</v>
      </c>
      <c r="FY123" t="s">
        <v>198</v>
      </c>
      <c r="FZ123" t="s">
        <v>198</v>
      </c>
      <c r="GA123">
        <v>31.15</v>
      </c>
      <c r="GB123">
        <v>31.15</v>
      </c>
      <c r="GC123" t="s">
        <v>203</v>
      </c>
      <c r="GD123">
        <v>0</v>
      </c>
      <c r="GE123">
        <v>504</v>
      </c>
      <c r="GF123">
        <v>0</v>
      </c>
      <c r="GG123">
        <v>0.1</v>
      </c>
      <c r="GH123">
        <v>0.6</v>
      </c>
      <c r="GI123">
        <v>0</v>
      </c>
      <c r="GJ123">
        <v>0</v>
      </c>
      <c r="GK123">
        <v>0</v>
      </c>
      <c r="GL123" t="s">
        <v>198</v>
      </c>
      <c r="GM123" t="s">
        <v>198</v>
      </c>
      <c r="GN123" t="s">
        <v>198</v>
      </c>
    </row>
    <row r="124" spans="1:196">
      <c r="A124" s="19">
        <v>46316.90531646991</v>
      </c>
      <c r="B124">
        <v>0.3</v>
      </c>
      <c r="C124">
        <v>0</v>
      </c>
      <c r="D124">
        <v>278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-0.5</v>
      </c>
      <c r="L124">
        <v>6.6</v>
      </c>
      <c r="M124">
        <v>590.8</v>
      </c>
      <c r="N124">
        <v>6</v>
      </c>
      <c r="O124">
        <v>6.6</v>
      </c>
      <c r="P124">
        <v>6.603</v>
      </c>
      <c r="Q124">
        <v>0</v>
      </c>
      <c r="R124">
        <v>0</v>
      </c>
      <c r="S124">
        <v>115.6</v>
      </c>
      <c r="T124" t="s">
        <v>453</v>
      </c>
      <c r="U124">
        <v>115.7</v>
      </c>
      <c r="V124">
        <v>65602.39999999999</v>
      </c>
      <c r="W124">
        <v>3</v>
      </c>
      <c r="X124" t="s">
        <v>197</v>
      </c>
      <c r="Y124">
        <v>0</v>
      </c>
      <c r="Z124">
        <v>98</v>
      </c>
      <c r="AA124">
        <v>278</v>
      </c>
      <c r="AB124" t="s">
        <v>197</v>
      </c>
      <c r="AC124" t="s">
        <v>198</v>
      </c>
      <c r="AD124" t="s">
        <v>199</v>
      </c>
      <c r="AE124">
        <v>32</v>
      </c>
      <c r="AF124">
        <v>44</v>
      </c>
      <c r="AG124">
        <v>255</v>
      </c>
      <c r="AH124">
        <v>0</v>
      </c>
      <c r="AI124">
        <v>0</v>
      </c>
      <c r="AJ124">
        <v>0</v>
      </c>
      <c r="AK124">
        <v>12.6</v>
      </c>
      <c r="AL124">
        <v>0</v>
      </c>
      <c r="AM124">
        <v>0</v>
      </c>
      <c r="AN124" t="s">
        <v>197</v>
      </c>
      <c r="AO124">
        <v>100</v>
      </c>
      <c r="AP124" t="s">
        <v>197</v>
      </c>
      <c r="AQ124" t="s">
        <v>200</v>
      </c>
      <c r="AR124">
        <v>1</v>
      </c>
      <c r="AS124">
        <v>0</v>
      </c>
      <c r="AT124" t="s">
        <v>454</v>
      </c>
      <c r="AU124" t="s">
        <v>454</v>
      </c>
      <c r="AV124" t="s">
        <v>202</v>
      </c>
      <c r="AW124" t="s">
        <v>203</v>
      </c>
      <c r="AX124" t="s">
        <v>203</v>
      </c>
      <c r="AY124" t="s">
        <v>203</v>
      </c>
      <c r="AZ124" t="s">
        <v>203</v>
      </c>
      <c r="BA124" t="s">
        <v>203</v>
      </c>
      <c r="BB124" t="s">
        <v>203</v>
      </c>
      <c r="BC124" t="s">
        <v>203</v>
      </c>
      <c r="BD124" t="s">
        <v>203</v>
      </c>
      <c r="BE124" t="s">
        <v>203</v>
      </c>
      <c r="BF124">
        <v>4.04</v>
      </c>
      <c r="BG124">
        <v>0.2</v>
      </c>
      <c r="BH124">
        <v>50</v>
      </c>
      <c r="BI124">
        <v>0</v>
      </c>
      <c r="BJ124" t="s">
        <v>198</v>
      </c>
      <c r="BK124" t="s">
        <v>198</v>
      </c>
      <c r="BL124" t="s">
        <v>198</v>
      </c>
      <c r="BM124" t="s">
        <v>198</v>
      </c>
      <c r="BN124" t="s">
        <v>198</v>
      </c>
      <c r="BO124" t="s">
        <v>198</v>
      </c>
      <c r="BP124" t="s">
        <v>198</v>
      </c>
      <c r="BQ124" t="s">
        <v>198</v>
      </c>
      <c r="BR124" t="s">
        <v>198</v>
      </c>
      <c r="BS124" t="s">
        <v>198</v>
      </c>
      <c r="BT124" t="s">
        <v>198</v>
      </c>
      <c r="BU124" t="s">
        <v>198</v>
      </c>
      <c r="BV124" t="s">
        <v>198</v>
      </c>
      <c r="BW124" t="s">
        <v>198</v>
      </c>
      <c r="BX124" t="s">
        <v>198</v>
      </c>
      <c r="BY124" t="s">
        <v>198</v>
      </c>
      <c r="BZ124" t="s">
        <v>198</v>
      </c>
      <c r="CA124" t="s">
        <v>198</v>
      </c>
      <c r="CB124" t="s">
        <v>204</v>
      </c>
      <c r="CC124" t="s">
        <v>204</v>
      </c>
      <c r="CD124" t="s">
        <v>204</v>
      </c>
      <c r="CE124" t="s">
        <v>204</v>
      </c>
      <c r="CF124" t="s">
        <v>204</v>
      </c>
      <c r="CG124" t="s">
        <v>204</v>
      </c>
      <c r="CH124" t="s">
        <v>204</v>
      </c>
      <c r="CI124" t="s">
        <v>204</v>
      </c>
      <c r="CJ124" t="s">
        <v>204</v>
      </c>
      <c r="CK124" t="s">
        <v>204</v>
      </c>
      <c r="CL124" t="s">
        <v>204</v>
      </c>
      <c r="CM124" t="s">
        <v>204</v>
      </c>
      <c r="CN124" t="s">
        <v>203</v>
      </c>
      <c r="CO124" t="s">
        <v>203</v>
      </c>
      <c r="CP124" t="s">
        <v>203</v>
      </c>
      <c r="CQ124" t="s">
        <v>203</v>
      </c>
      <c r="CR124" t="s">
        <v>203</v>
      </c>
      <c r="CS124" t="s">
        <v>203</v>
      </c>
      <c r="CT124" t="s">
        <v>203</v>
      </c>
      <c r="CU124" t="s">
        <v>203</v>
      </c>
      <c r="CV124">
        <v>0</v>
      </c>
      <c r="CW124">
        <v>0</v>
      </c>
      <c r="CX124" t="s">
        <v>198</v>
      </c>
      <c r="CY124" t="s">
        <v>198</v>
      </c>
      <c r="CZ124" t="s">
        <v>198</v>
      </c>
      <c r="DA124" t="s">
        <v>198</v>
      </c>
      <c r="DB124" t="s">
        <v>198</v>
      </c>
      <c r="DC124">
        <v>0</v>
      </c>
      <c r="DD124">
        <v>0</v>
      </c>
      <c r="DE124">
        <v>0</v>
      </c>
      <c r="DF124">
        <v>0</v>
      </c>
      <c r="DG124">
        <v>-35.3631166</v>
      </c>
      <c r="DH124">
        <v>149.1639735</v>
      </c>
      <c r="DI124" t="s">
        <v>360</v>
      </c>
      <c r="DJ124">
        <v>1.2</v>
      </c>
      <c r="DK124">
        <v>2</v>
      </c>
      <c r="DL124">
        <v>338.9</v>
      </c>
      <c r="DM124">
        <v>0</v>
      </c>
      <c r="DN124">
        <v>6</v>
      </c>
      <c r="DO124">
        <v>10</v>
      </c>
      <c r="DP124">
        <v>0</v>
      </c>
      <c r="DQ124">
        <v>255</v>
      </c>
      <c r="DR124">
        <v>255</v>
      </c>
      <c r="DS124">
        <v>255</v>
      </c>
      <c r="DT124">
        <v>255</v>
      </c>
      <c r="DU124">
        <v>255</v>
      </c>
      <c r="DV124">
        <v>255</v>
      </c>
      <c r="DW124">
        <v>255</v>
      </c>
      <c r="DX124" t="s">
        <v>206</v>
      </c>
      <c r="DY124" t="s">
        <v>206</v>
      </c>
      <c r="DZ124" t="s">
        <v>207</v>
      </c>
      <c r="EA124" t="s">
        <v>198</v>
      </c>
      <c r="EB124" t="s">
        <v>198</v>
      </c>
      <c r="EC124" t="s">
        <v>198</v>
      </c>
      <c r="ED124">
        <v>0</v>
      </c>
      <c r="EE124">
        <v>0</v>
      </c>
      <c r="EF124">
        <v>0</v>
      </c>
      <c r="EG124">
        <v>0</v>
      </c>
      <c r="EH124">
        <v>255</v>
      </c>
      <c r="EI124">
        <v>255</v>
      </c>
      <c r="EJ124">
        <v>255</v>
      </c>
      <c r="EK124">
        <v>255</v>
      </c>
      <c r="EL124">
        <v>255</v>
      </c>
      <c r="EM124">
        <v>255</v>
      </c>
      <c r="EN124">
        <v>255</v>
      </c>
      <c r="EO124">
        <v>255</v>
      </c>
      <c r="EP124">
        <v>255</v>
      </c>
      <c r="EQ124">
        <v>255</v>
      </c>
      <c r="ER124" t="s">
        <v>208</v>
      </c>
      <c r="ES124" t="s">
        <v>209</v>
      </c>
      <c r="ET124" t="s">
        <v>209</v>
      </c>
      <c r="EU124">
        <v>0</v>
      </c>
      <c r="EV124">
        <v>16.2</v>
      </c>
      <c r="EW124">
        <v>-114.7</v>
      </c>
      <c r="EX124">
        <v>-6.8</v>
      </c>
      <c r="EY124">
        <v>0</v>
      </c>
      <c r="EZ124">
        <v>0</v>
      </c>
      <c r="FA124">
        <v>0.5</v>
      </c>
      <c r="FB124" t="s">
        <v>198</v>
      </c>
      <c r="FC124" t="s">
        <v>198</v>
      </c>
      <c r="FD124" t="s">
        <v>198</v>
      </c>
      <c r="FE124" t="s">
        <v>198</v>
      </c>
      <c r="FF124" t="s">
        <v>198</v>
      </c>
      <c r="FG124" t="s">
        <v>198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 t="s">
        <v>203</v>
      </c>
      <c r="FP124" t="s">
        <v>203</v>
      </c>
      <c r="FQ124" t="s">
        <v>203</v>
      </c>
      <c r="FR124" t="s">
        <v>203</v>
      </c>
      <c r="FS124" t="s">
        <v>203</v>
      </c>
      <c r="FT124" t="s">
        <v>203</v>
      </c>
      <c r="FU124" t="s">
        <v>198</v>
      </c>
      <c r="FV124" t="s">
        <v>198</v>
      </c>
      <c r="FW124" t="s">
        <v>198</v>
      </c>
      <c r="FX124" t="s">
        <v>198</v>
      </c>
      <c r="FY124" t="s">
        <v>198</v>
      </c>
      <c r="FZ124" t="s">
        <v>198</v>
      </c>
      <c r="GA124">
        <v>31.16</v>
      </c>
      <c r="GB124">
        <v>31.16</v>
      </c>
      <c r="GC124" t="s">
        <v>203</v>
      </c>
      <c r="GD124">
        <v>0</v>
      </c>
      <c r="GE124">
        <v>504</v>
      </c>
      <c r="GF124">
        <v>0</v>
      </c>
      <c r="GG124">
        <v>0.1</v>
      </c>
      <c r="GH124">
        <v>0.6</v>
      </c>
      <c r="GI124">
        <v>0</v>
      </c>
      <c r="GJ124">
        <v>0</v>
      </c>
      <c r="GK124">
        <v>0</v>
      </c>
      <c r="GL124" t="s">
        <v>198</v>
      </c>
      <c r="GM124" t="s">
        <v>198</v>
      </c>
      <c r="GN124" t="s">
        <v>198</v>
      </c>
    </row>
    <row r="125" spans="1:196">
      <c r="A125" s="19">
        <v>46316.90532804398</v>
      </c>
      <c r="B125">
        <v>-0.3</v>
      </c>
      <c r="C125">
        <v>0</v>
      </c>
      <c r="D125">
        <v>278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-0.5</v>
      </c>
      <c r="L125">
        <v>6.1</v>
      </c>
      <c r="M125">
        <v>590.3</v>
      </c>
      <c r="N125">
        <v>5.5</v>
      </c>
      <c r="O125">
        <v>6.1</v>
      </c>
      <c r="P125">
        <v>6.103</v>
      </c>
      <c r="Q125">
        <v>0</v>
      </c>
      <c r="R125">
        <v>0</v>
      </c>
      <c r="S125">
        <v>115.6</v>
      </c>
      <c r="T125" t="s">
        <v>455</v>
      </c>
      <c r="U125">
        <v>115.7</v>
      </c>
      <c r="V125">
        <v>59437.5</v>
      </c>
      <c r="W125">
        <v>3</v>
      </c>
      <c r="X125" t="s">
        <v>197</v>
      </c>
      <c r="Y125">
        <v>0</v>
      </c>
      <c r="Z125">
        <v>98</v>
      </c>
      <c r="AA125">
        <v>278</v>
      </c>
      <c r="AB125" t="s">
        <v>197</v>
      </c>
      <c r="AC125" t="s">
        <v>198</v>
      </c>
      <c r="AD125" t="s">
        <v>199</v>
      </c>
      <c r="AE125">
        <v>32</v>
      </c>
      <c r="AF125">
        <v>44</v>
      </c>
      <c r="AG125">
        <v>255</v>
      </c>
      <c r="AH125">
        <v>0</v>
      </c>
      <c r="AI125">
        <v>0</v>
      </c>
      <c r="AJ125">
        <v>0</v>
      </c>
      <c r="AK125">
        <v>12.6</v>
      </c>
      <c r="AL125">
        <v>0</v>
      </c>
      <c r="AM125">
        <v>0</v>
      </c>
      <c r="AN125" t="s">
        <v>197</v>
      </c>
      <c r="AO125">
        <v>100</v>
      </c>
      <c r="AP125" t="s">
        <v>197</v>
      </c>
      <c r="AQ125" t="s">
        <v>200</v>
      </c>
      <c r="AR125">
        <v>1</v>
      </c>
      <c r="AS125">
        <v>0</v>
      </c>
      <c r="AT125" t="s">
        <v>456</v>
      </c>
      <c r="AU125" t="s">
        <v>456</v>
      </c>
      <c r="AV125" t="s">
        <v>202</v>
      </c>
      <c r="AW125" t="s">
        <v>203</v>
      </c>
      <c r="AX125" t="s">
        <v>203</v>
      </c>
      <c r="AY125" t="s">
        <v>203</v>
      </c>
      <c r="AZ125" t="s">
        <v>203</v>
      </c>
      <c r="BA125" t="s">
        <v>203</v>
      </c>
      <c r="BB125" t="s">
        <v>203</v>
      </c>
      <c r="BC125" t="s">
        <v>203</v>
      </c>
      <c r="BD125" t="s">
        <v>203</v>
      </c>
      <c r="BE125" t="s">
        <v>203</v>
      </c>
      <c r="BF125">
        <v>3.53</v>
      </c>
      <c r="BG125">
        <v>0.2</v>
      </c>
      <c r="BH125">
        <v>50</v>
      </c>
      <c r="BI125">
        <v>0</v>
      </c>
      <c r="BJ125" t="s">
        <v>198</v>
      </c>
      <c r="BK125" t="s">
        <v>198</v>
      </c>
      <c r="BL125" t="s">
        <v>198</v>
      </c>
      <c r="BM125" t="s">
        <v>198</v>
      </c>
      <c r="BN125" t="s">
        <v>198</v>
      </c>
      <c r="BO125" t="s">
        <v>198</v>
      </c>
      <c r="BP125" t="s">
        <v>198</v>
      </c>
      <c r="BQ125" t="s">
        <v>198</v>
      </c>
      <c r="BR125" t="s">
        <v>198</v>
      </c>
      <c r="BS125" t="s">
        <v>198</v>
      </c>
      <c r="BT125" t="s">
        <v>198</v>
      </c>
      <c r="BU125" t="s">
        <v>198</v>
      </c>
      <c r="BV125" t="s">
        <v>198</v>
      </c>
      <c r="BW125" t="s">
        <v>198</v>
      </c>
      <c r="BX125" t="s">
        <v>198</v>
      </c>
      <c r="BY125" t="s">
        <v>198</v>
      </c>
      <c r="BZ125" t="s">
        <v>198</v>
      </c>
      <c r="CA125" t="s">
        <v>198</v>
      </c>
      <c r="CB125" t="s">
        <v>204</v>
      </c>
      <c r="CC125" t="s">
        <v>204</v>
      </c>
      <c r="CD125" t="s">
        <v>204</v>
      </c>
      <c r="CE125" t="s">
        <v>204</v>
      </c>
      <c r="CF125" t="s">
        <v>204</v>
      </c>
      <c r="CG125" t="s">
        <v>204</v>
      </c>
      <c r="CH125" t="s">
        <v>204</v>
      </c>
      <c r="CI125" t="s">
        <v>204</v>
      </c>
      <c r="CJ125" t="s">
        <v>204</v>
      </c>
      <c r="CK125" t="s">
        <v>204</v>
      </c>
      <c r="CL125" t="s">
        <v>204</v>
      </c>
      <c r="CM125" t="s">
        <v>204</v>
      </c>
      <c r="CN125" t="s">
        <v>203</v>
      </c>
      <c r="CO125" t="s">
        <v>203</v>
      </c>
      <c r="CP125" t="s">
        <v>203</v>
      </c>
      <c r="CQ125" t="s">
        <v>203</v>
      </c>
      <c r="CR125" t="s">
        <v>203</v>
      </c>
      <c r="CS125" t="s">
        <v>203</v>
      </c>
      <c r="CT125" t="s">
        <v>203</v>
      </c>
      <c r="CU125" t="s">
        <v>203</v>
      </c>
      <c r="CV125">
        <v>0</v>
      </c>
      <c r="CW125">
        <v>0</v>
      </c>
      <c r="CX125" t="s">
        <v>198</v>
      </c>
      <c r="CY125" t="s">
        <v>198</v>
      </c>
      <c r="CZ125" t="s">
        <v>198</v>
      </c>
      <c r="DA125" t="s">
        <v>198</v>
      </c>
      <c r="DB125" t="s">
        <v>198</v>
      </c>
      <c r="DC125">
        <v>0</v>
      </c>
      <c r="DD125">
        <v>0</v>
      </c>
      <c r="DE125">
        <v>0</v>
      </c>
      <c r="DF125">
        <v>0</v>
      </c>
      <c r="DG125">
        <v>-35.3631166</v>
      </c>
      <c r="DH125">
        <v>149.1639735</v>
      </c>
      <c r="DI125" t="s">
        <v>360</v>
      </c>
      <c r="DJ125">
        <v>1.2</v>
      </c>
      <c r="DK125">
        <v>2</v>
      </c>
      <c r="DL125">
        <v>67.5</v>
      </c>
      <c r="DM125">
        <v>0</v>
      </c>
      <c r="DN125">
        <v>6</v>
      </c>
      <c r="DO125">
        <v>10</v>
      </c>
      <c r="DP125">
        <v>0</v>
      </c>
      <c r="DQ125">
        <v>255</v>
      </c>
      <c r="DR125">
        <v>255</v>
      </c>
      <c r="DS125">
        <v>255</v>
      </c>
      <c r="DT125">
        <v>255</v>
      </c>
      <c r="DU125">
        <v>255</v>
      </c>
      <c r="DV125">
        <v>255</v>
      </c>
      <c r="DW125">
        <v>255</v>
      </c>
      <c r="DX125" t="s">
        <v>206</v>
      </c>
      <c r="DY125" t="s">
        <v>206</v>
      </c>
      <c r="DZ125" t="s">
        <v>207</v>
      </c>
      <c r="EA125" t="s">
        <v>198</v>
      </c>
      <c r="EB125" t="s">
        <v>198</v>
      </c>
      <c r="EC125" t="s">
        <v>198</v>
      </c>
      <c r="ED125">
        <v>0</v>
      </c>
      <c r="EE125">
        <v>0</v>
      </c>
      <c r="EF125">
        <v>0</v>
      </c>
      <c r="EG125">
        <v>0</v>
      </c>
      <c r="EH125">
        <v>255</v>
      </c>
      <c r="EI125">
        <v>255</v>
      </c>
      <c r="EJ125">
        <v>255</v>
      </c>
      <c r="EK125">
        <v>255</v>
      </c>
      <c r="EL125">
        <v>255</v>
      </c>
      <c r="EM125">
        <v>255</v>
      </c>
      <c r="EN125">
        <v>255</v>
      </c>
      <c r="EO125">
        <v>255</v>
      </c>
      <c r="EP125">
        <v>255</v>
      </c>
      <c r="EQ125">
        <v>255</v>
      </c>
      <c r="ER125" t="s">
        <v>208</v>
      </c>
      <c r="ES125" t="s">
        <v>209</v>
      </c>
      <c r="ET125" t="s">
        <v>209</v>
      </c>
      <c r="EU125">
        <v>0</v>
      </c>
      <c r="EV125">
        <v>16.2</v>
      </c>
      <c r="EW125">
        <v>-114.7</v>
      </c>
      <c r="EX125">
        <v>-6.3</v>
      </c>
      <c r="EY125">
        <v>0</v>
      </c>
      <c r="EZ125">
        <v>0</v>
      </c>
      <c r="FA125">
        <v>0.5</v>
      </c>
      <c r="FB125" t="s">
        <v>198</v>
      </c>
      <c r="FC125" t="s">
        <v>198</v>
      </c>
      <c r="FD125" t="s">
        <v>198</v>
      </c>
      <c r="FE125" t="s">
        <v>198</v>
      </c>
      <c r="FF125" t="s">
        <v>198</v>
      </c>
      <c r="FG125" t="s">
        <v>198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 t="s">
        <v>203</v>
      </c>
      <c r="FP125" t="s">
        <v>203</v>
      </c>
      <c r="FQ125" t="s">
        <v>203</v>
      </c>
      <c r="FR125" t="s">
        <v>203</v>
      </c>
      <c r="FS125" t="s">
        <v>203</v>
      </c>
      <c r="FT125" t="s">
        <v>203</v>
      </c>
      <c r="FU125" t="s">
        <v>198</v>
      </c>
      <c r="FV125" t="s">
        <v>198</v>
      </c>
      <c r="FW125" t="s">
        <v>198</v>
      </c>
      <c r="FX125" t="s">
        <v>198</v>
      </c>
      <c r="FY125" t="s">
        <v>198</v>
      </c>
      <c r="FZ125" t="s">
        <v>198</v>
      </c>
      <c r="GA125">
        <v>31.16</v>
      </c>
      <c r="GB125">
        <v>31.16</v>
      </c>
      <c r="GC125" t="s">
        <v>203</v>
      </c>
      <c r="GD125">
        <v>0</v>
      </c>
      <c r="GE125">
        <v>504</v>
      </c>
      <c r="GF125">
        <v>0</v>
      </c>
      <c r="GG125">
        <v>0.1</v>
      </c>
      <c r="GH125">
        <v>0.6</v>
      </c>
      <c r="GI125">
        <v>0</v>
      </c>
      <c r="GJ125">
        <v>0</v>
      </c>
      <c r="GK125">
        <v>0</v>
      </c>
      <c r="GL125" t="s">
        <v>198</v>
      </c>
      <c r="GM125" t="s">
        <v>198</v>
      </c>
      <c r="GN125" t="s">
        <v>198</v>
      </c>
    </row>
    <row r="126" spans="1:196">
      <c r="A126" s="19">
        <v>46316.90533961805</v>
      </c>
      <c r="B126">
        <v>-0.4</v>
      </c>
      <c r="C126">
        <v>0</v>
      </c>
      <c r="D126">
        <v>278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-0.5</v>
      </c>
      <c r="L126">
        <v>5.6</v>
      </c>
      <c r="M126">
        <v>589.8</v>
      </c>
      <c r="N126">
        <v>5</v>
      </c>
      <c r="O126">
        <v>5.6</v>
      </c>
      <c r="P126">
        <v>5.603</v>
      </c>
      <c r="Q126">
        <v>0</v>
      </c>
      <c r="R126">
        <v>0</v>
      </c>
      <c r="S126">
        <v>115.6</v>
      </c>
      <c r="T126" t="s">
        <v>457</v>
      </c>
      <c r="U126">
        <v>115.7</v>
      </c>
      <c r="V126">
        <v>1519037.7</v>
      </c>
      <c r="W126">
        <v>3</v>
      </c>
      <c r="X126" t="s">
        <v>197</v>
      </c>
      <c r="Y126">
        <v>0</v>
      </c>
      <c r="Z126">
        <v>98</v>
      </c>
      <c r="AA126">
        <v>278</v>
      </c>
      <c r="AB126" t="s">
        <v>197</v>
      </c>
      <c r="AC126" t="s">
        <v>198</v>
      </c>
      <c r="AD126" t="s">
        <v>199</v>
      </c>
      <c r="AE126">
        <v>32</v>
      </c>
      <c r="AF126">
        <v>44</v>
      </c>
      <c r="AG126">
        <v>255</v>
      </c>
      <c r="AH126">
        <v>0</v>
      </c>
      <c r="AI126">
        <v>0</v>
      </c>
      <c r="AJ126">
        <v>0</v>
      </c>
      <c r="AK126">
        <v>12.6</v>
      </c>
      <c r="AL126">
        <v>0</v>
      </c>
      <c r="AM126">
        <v>0</v>
      </c>
      <c r="AN126" t="s">
        <v>197</v>
      </c>
      <c r="AO126">
        <v>100</v>
      </c>
      <c r="AP126" t="s">
        <v>197</v>
      </c>
      <c r="AQ126" t="s">
        <v>200</v>
      </c>
      <c r="AR126">
        <v>1</v>
      </c>
      <c r="AS126">
        <v>0</v>
      </c>
      <c r="AT126" t="s">
        <v>458</v>
      </c>
      <c r="AU126" t="s">
        <v>458</v>
      </c>
      <c r="AV126" t="s">
        <v>202</v>
      </c>
      <c r="AW126" t="s">
        <v>203</v>
      </c>
      <c r="AX126" t="s">
        <v>203</v>
      </c>
      <c r="AY126" t="s">
        <v>203</v>
      </c>
      <c r="AZ126" t="s">
        <v>203</v>
      </c>
      <c r="BA126" t="s">
        <v>203</v>
      </c>
      <c r="BB126" t="s">
        <v>203</v>
      </c>
      <c r="BC126" t="s">
        <v>203</v>
      </c>
      <c r="BD126" t="s">
        <v>203</v>
      </c>
      <c r="BE126" t="s">
        <v>203</v>
      </c>
      <c r="BF126">
        <v>3.03</v>
      </c>
      <c r="BG126">
        <v>0.2</v>
      </c>
      <c r="BH126">
        <v>50</v>
      </c>
      <c r="BI126">
        <v>0</v>
      </c>
      <c r="BJ126" t="s">
        <v>198</v>
      </c>
      <c r="BK126" t="s">
        <v>198</v>
      </c>
      <c r="BL126" t="s">
        <v>198</v>
      </c>
      <c r="BM126" t="s">
        <v>198</v>
      </c>
      <c r="BN126" t="s">
        <v>198</v>
      </c>
      <c r="BO126" t="s">
        <v>198</v>
      </c>
      <c r="BP126" t="s">
        <v>198</v>
      </c>
      <c r="BQ126" t="s">
        <v>198</v>
      </c>
      <c r="BR126" t="s">
        <v>198</v>
      </c>
      <c r="BS126" t="s">
        <v>198</v>
      </c>
      <c r="BT126" t="s">
        <v>198</v>
      </c>
      <c r="BU126" t="s">
        <v>198</v>
      </c>
      <c r="BV126" t="s">
        <v>198</v>
      </c>
      <c r="BW126" t="s">
        <v>198</v>
      </c>
      <c r="BX126" t="s">
        <v>198</v>
      </c>
      <c r="BY126" t="s">
        <v>198</v>
      </c>
      <c r="BZ126" t="s">
        <v>198</v>
      </c>
      <c r="CA126" t="s">
        <v>198</v>
      </c>
      <c r="CB126" t="s">
        <v>204</v>
      </c>
      <c r="CC126" t="s">
        <v>204</v>
      </c>
      <c r="CD126" t="s">
        <v>204</v>
      </c>
      <c r="CE126" t="s">
        <v>204</v>
      </c>
      <c r="CF126" t="s">
        <v>204</v>
      </c>
      <c r="CG126" t="s">
        <v>204</v>
      </c>
      <c r="CH126" t="s">
        <v>204</v>
      </c>
      <c r="CI126" t="s">
        <v>204</v>
      </c>
      <c r="CJ126" t="s">
        <v>204</v>
      </c>
      <c r="CK126" t="s">
        <v>204</v>
      </c>
      <c r="CL126" t="s">
        <v>204</v>
      </c>
      <c r="CM126" t="s">
        <v>204</v>
      </c>
      <c r="CN126" t="s">
        <v>203</v>
      </c>
      <c r="CO126" t="s">
        <v>203</v>
      </c>
      <c r="CP126" t="s">
        <v>203</v>
      </c>
      <c r="CQ126" t="s">
        <v>203</v>
      </c>
      <c r="CR126" t="s">
        <v>203</v>
      </c>
      <c r="CS126" t="s">
        <v>203</v>
      </c>
      <c r="CT126" t="s">
        <v>203</v>
      </c>
      <c r="CU126" t="s">
        <v>203</v>
      </c>
      <c r="CV126">
        <v>0</v>
      </c>
      <c r="CW126">
        <v>0</v>
      </c>
      <c r="CX126" t="s">
        <v>198</v>
      </c>
      <c r="CY126" t="s">
        <v>198</v>
      </c>
      <c r="CZ126" t="s">
        <v>198</v>
      </c>
      <c r="DA126" t="s">
        <v>198</v>
      </c>
      <c r="DB126" t="s">
        <v>198</v>
      </c>
      <c r="DC126">
        <v>0</v>
      </c>
      <c r="DD126">
        <v>0</v>
      </c>
      <c r="DE126">
        <v>0</v>
      </c>
      <c r="DF126">
        <v>0</v>
      </c>
      <c r="DG126">
        <v>-35.3631166</v>
      </c>
      <c r="DH126">
        <v>149.1639735</v>
      </c>
      <c r="DI126" t="s">
        <v>360</v>
      </c>
      <c r="DJ126">
        <v>1.2</v>
      </c>
      <c r="DK126">
        <v>2</v>
      </c>
      <c r="DL126">
        <v>12.4</v>
      </c>
      <c r="DM126">
        <v>0</v>
      </c>
      <c r="DN126">
        <v>6</v>
      </c>
      <c r="DO126">
        <v>10</v>
      </c>
      <c r="DP126">
        <v>0</v>
      </c>
      <c r="DQ126">
        <v>255</v>
      </c>
      <c r="DR126">
        <v>255</v>
      </c>
      <c r="DS126">
        <v>255</v>
      </c>
      <c r="DT126">
        <v>255</v>
      </c>
      <c r="DU126">
        <v>255</v>
      </c>
      <c r="DV126">
        <v>255</v>
      </c>
      <c r="DW126">
        <v>255</v>
      </c>
      <c r="DX126" t="s">
        <v>206</v>
      </c>
      <c r="DY126" t="s">
        <v>206</v>
      </c>
      <c r="DZ126" t="s">
        <v>207</v>
      </c>
      <c r="EA126" t="s">
        <v>198</v>
      </c>
      <c r="EB126" t="s">
        <v>198</v>
      </c>
      <c r="EC126" t="s">
        <v>198</v>
      </c>
      <c r="ED126">
        <v>0</v>
      </c>
      <c r="EE126">
        <v>0</v>
      </c>
      <c r="EF126">
        <v>0</v>
      </c>
      <c r="EG126">
        <v>0</v>
      </c>
      <c r="EH126">
        <v>255</v>
      </c>
      <c r="EI126">
        <v>255</v>
      </c>
      <c r="EJ126">
        <v>255</v>
      </c>
      <c r="EK126">
        <v>255</v>
      </c>
      <c r="EL126">
        <v>255</v>
      </c>
      <c r="EM126">
        <v>255</v>
      </c>
      <c r="EN126">
        <v>255</v>
      </c>
      <c r="EO126">
        <v>255</v>
      </c>
      <c r="EP126">
        <v>255</v>
      </c>
      <c r="EQ126">
        <v>255</v>
      </c>
      <c r="ER126" t="s">
        <v>208</v>
      </c>
      <c r="ES126" t="s">
        <v>209</v>
      </c>
      <c r="ET126" t="s">
        <v>209</v>
      </c>
      <c r="EU126">
        <v>0</v>
      </c>
      <c r="EV126">
        <v>16.2</v>
      </c>
      <c r="EW126">
        <v>-114.7</v>
      </c>
      <c r="EX126">
        <v>-5.8</v>
      </c>
      <c r="EY126">
        <v>0</v>
      </c>
      <c r="EZ126">
        <v>0</v>
      </c>
      <c r="FA126">
        <v>0.5</v>
      </c>
      <c r="FB126" t="s">
        <v>198</v>
      </c>
      <c r="FC126" t="s">
        <v>198</v>
      </c>
      <c r="FD126" t="s">
        <v>198</v>
      </c>
      <c r="FE126" t="s">
        <v>198</v>
      </c>
      <c r="FF126" t="s">
        <v>198</v>
      </c>
      <c r="FG126" t="s">
        <v>198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 t="s">
        <v>203</v>
      </c>
      <c r="FP126" t="s">
        <v>203</v>
      </c>
      <c r="FQ126" t="s">
        <v>203</v>
      </c>
      <c r="FR126" t="s">
        <v>203</v>
      </c>
      <c r="FS126" t="s">
        <v>203</v>
      </c>
      <c r="FT126" t="s">
        <v>203</v>
      </c>
      <c r="FU126" t="s">
        <v>198</v>
      </c>
      <c r="FV126" t="s">
        <v>198</v>
      </c>
      <c r="FW126" t="s">
        <v>198</v>
      </c>
      <c r="FX126" t="s">
        <v>198</v>
      </c>
      <c r="FY126" t="s">
        <v>198</v>
      </c>
      <c r="FZ126" t="s">
        <v>198</v>
      </c>
      <c r="GA126">
        <v>31.16</v>
      </c>
      <c r="GB126">
        <v>31.16</v>
      </c>
      <c r="GC126" t="s">
        <v>203</v>
      </c>
      <c r="GD126">
        <v>0</v>
      </c>
      <c r="GE126">
        <v>504</v>
      </c>
      <c r="GF126">
        <v>0</v>
      </c>
      <c r="GG126">
        <v>0.1</v>
      </c>
      <c r="GH126">
        <v>0.6</v>
      </c>
      <c r="GI126">
        <v>0</v>
      </c>
      <c r="GJ126">
        <v>0</v>
      </c>
      <c r="GK126">
        <v>0</v>
      </c>
      <c r="GL126" t="s">
        <v>198</v>
      </c>
      <c r="GM126" t="s">
        <v>198</v>
      </c>
      <c r="GN126" t="s">
        <v>198</v>
      </c>
    </row>
    <row r="127" spans="1:196">
      <c r="A127" s="19">
        <v>46316.90535119213</v>
      </c>
      <c r="B127">
        <v>0.2</v>
      </c>
      <c r="C127">
        <v>0</v>
      </c>
      <c r="D127">
        <v>278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-0.5</v>
      </c>
      <c r="L127">
        <v>5.1</v>
      </c>
      <c r="M127">
        <v>589.3</v>
      </c>
      <c r="N127">
        <v>4.5</v>
      </c>
      <c r="O127">
        <v>5.1</v>
      </c>
      <c r="P127">
        <v>5.103</v>
      </c>
      <c r="Q127">
        <v>0</v>
      </c>
      <c r="R127">
        <v>0</v>
      </c>
      <c r="S127">
        <v>115.6</v>
      </c>
      <c r="T127" t="s">
        <v>459</v>
      </c>
      <c r="U127">
        <v>115.7</v>
      </c>
      <c r="V127">
        <v>130720.5</v>
      </c>
      <c r="W127">
        <v>3</v>
      </c>
      <c r="X127" t="s">
        <v>197</v>
      </c>
      <c r="Y127">
        <v>0</v>
      </c>
      <c r="Z127">
        <v>98</v>
      </c>
      <c r="AA127">
        <v>278</v>
      </c>
      <c r="AB127" t="s">
        <v>197</v>
      </c>
      <c r="AC127" t="s">
        <v>198</v>
      </c>
      <c r="AD127" t="s">
        <v>199</v>
      </c>
      <c r="AE127">
        <v>32</v>
      </c>
      <c r="AF127">
        <v>44</v>
      </c>
      <c r="AG127">
        <v>255</v>
      </c>
      <c r="AH127">
        <v>0</v>
      </c>
      <c r="AI127">
        <v>0</v>
      </c>
      <c r="AJ127">
        <v>0</v>
      </c>
      <c r="AK127">
        <v>12.6</v>
      </c>
      <c r="AL127">
        <v>0</v>
      </c>
      <c r="AM127">
        <v>0</v>
      </c>
      <c r="AN127" t="s">
        <v>197</v>
      </c>
      <c r="AO127">
        <v>100</v>
      </c>
      <c r="AP127" t="s">
        <v>197</v>
      </c>
      <c r="AQ127" t="s">
        <v>200</v>
      </c>
      <c r="AR127">
        <v>1</v>
      </c>
      <c r="AS127">
        <v>0</v>
      </c>
      <c r="AT127" t="s">
        <v>460</v>
      </c>
      <c r="AU127" t="s">
        <v>460</v>
      </c>
      <c r="AV127" t="s">
        <v>202</v>
      </c>
      <c r="AW127" t="s">
        <v>203</v>
      </c>
      <c r="AX127" t="s">
        <v>203</v>
      </c>
      <c r="AY127" t="s">
        <v>203</v>
      </c>
      <c r="AZ127" t="s">
        <v>203</v>
      </c>
      <c r="BA127" t="s">
        <v>203</v>
      </c>
      <c r="BB127" t="s">
        <v>203</v>
      </c>
      <c r="BC127" t="s">
        <v>203</v>
      </c>
      <c r="BD127" t="s">
        <v>203</v>
      </c>
      <c r="BE127" t="s">
        <v>203</v>
      </c>
      <c r="BF127">
        <v>2.54</v>
      </c>
      <c r="BG127">
        <v>0.2</v>
      </c>
      <c r="BH127">
        <v>50</v>
      </c>
      <c r="BI127">
        <v>0</v>
      </c>
      <c r="BJ127" t="s">
        <v>198</v>
      </c>
      <c r="BK127" t="s">
        <v>198</v>
      </c>
      <c r="BL127" t="s">
        <v>198</v>
      </c>
      <c r="BM127" t="s">
        <v>198</v>
      </c>
      <c r="BN127" t="s">
        <v>198</v>
      </c>
      <c r="BO127" t="s">
        <v>198</v>
      </c>
      <c r="BP127" t="s">
        <v>198</v>
      </c>
      <c r="BQ127" t="s">
        <v>198</v>
      </c>
      <c r="BR127" t="s">
        <v>198</v>
      </c>
      <c r="BS127" t="s">
        <v>198</v>
      </c>
      <c r="BT127" t="s">
        <v>198</v>
      </c>
      <c r="BU127" t="s">
        <v>198</v>
      </c>
      <c r="BV127" t="s">
        <v>198</v>
      </c>
      <c r="BW127" t="s">
        <v>198</v>
      </c>
      <c r="BX127" t="s">
        <v>198</v>
      </c>
      <c r="BY127" t="s">
        <v>198</v>
      </c>
      <c r="BZ127" t="s">
        <v>198</v>
      </c>
      <c r="CA127" t="s">
        <v>198</v>
      </c>
      <c r="CB127" t="s">
        <v>204</v>
      </c>
      <c r="CC127" t="s">
        <v>204</v>
      </c>
      <c r="CD127" t="s">
        <v>204</v>
      </c>
      <c r="CE127" t="s">
        <v>204</v>
      </c>
      <c r="CF127" t="s">
        <v>204</v>
      </c>
      <c r="CG127" t="s">
        <v>204</v>
      </c>
      <c r="CH127" t="s">
        <v>204</v>
      </c>
      <c r="CI127" t="s">
        <v>204</v>
      </c>
      <c r="CJ127" t="s">
        <v>204</v>
      </c>
      <c r="CK127" t="s">
        <v>204</v>
      </c>
      <c r="CL127" t="s">
        <v>204</v>
      </c>
      <c r="CM127" t="s">
        <v>204</v>
      </c>
      <c r="CN127" t="s">
        <v>203</v>
      </c>
      <c r="CO127" t="s">
        <v>203</v>
      </c>
      <c r="CP127" t="s">
        <v>203</v>
      </c>
      <c r="CQ127" t="s">
        <v>203</v>
      </c>
      <c r="CR127" t="s">
        <v>203</v>
      </c>
      <c r="CS127" t="s">
        <v>203</v>
      </c>
      <c r="CT127" t="s">
        <v>203</v>
      </c>
      <c r="CU127" t="s">
        <v>203</v>
      </c>
      <c r="CV127">
        <v>0</v>
      </c>
      <c r="CW127">
        <v>0</v>
      </c>
      <c r="CX127" t="s">
        <v>198</v>
      </c>
      <c r="CY127" t="s">
        <v>198</v>
      </c>
      <c r="CZ127" t="s">
        <v>198</v>
      </c>
      <c r="DA127" t="s">
        <v>198</v>
      </c>
      <c r="DB127" t="s">
        <v>198</v>
      </c>
      <c r="DC127">
        <v>0</v>
      </c>
      <c r="DD127">
        <v>0</v>
      </c>
      <c r="DE127">
        <v>0</v>
      </c>
      <c r="DF127">
        <v>0</v>
      </c>
      <c r="DG127">
        <v>-35.3631166</v>
      </c>
      <c r="DH127">
        <v>149.1639735</v>
      </c>
      <c r="DI127" t="s">
        <v>360</v>
      </c>
      <c r="DJ127">
        <v>1.2</v>
      </c>
      <c r="DK127">
        <v>2</v>
      </c>
      <c r="DL127">
        <v>35.8</v>
      </c>
      <c r="DM127">
        <v>0</v>
      </c>
      <c r="DN127">
        <v>6</v>
      </c>
      <c r="DO127">
        <v>10</v>
      </c>
      <c r="DP127">
        <v>0</v>
      </c>
      <c r="DQ127">
        <v>255</v>
      </c>
      <c r="DR127">
        <v>255</v>
      </c>
      <c r="DS127">
        <v>255</v>
      </c>
      <c r="DT127">
        <v>255</v>
      </c>
      <c r="DU127">
        <v>255</v>
      </c>
      <c r="DV127">
        <v>255</v>
      </c>
      <c r="DW127">
        <v>255</v>
      </c>
      <c r="DX127" t="s">
        <v>206</v>
      </c>
      <c r="DY127" t="s">
        <v>206</v>
      </c>
      <c r="DZ127" t="s">
        <v>207</v>
      </c>
      <c r="EA127" t="s">
        <v>198</v>
      </c>
      <c r="EB127" t="s">
        <v>198</v>
      </c>
      <c r="EC127" t="s">
        <v>198</v>
      </c>
      <c r="ED127">
        <v>0</v>
      </c>
      <c r="EE127">
        <v>0</v>
      </c>
      <c r="EF127">
        <v>0</v>
      </c>
      <c r="EG127">
        <v>0</v>
      </c>
      <c r="EH127">
        <v>255</v>
      </c>
      <c r="EI127">
        <v>255</v>
      </c>
      <c r="EJ127">
        <v>255</v>
      </c>
      <c r="EK127">
        <v>255</v>
      </c>
      <c r="EL127">
        <v>255</v>
      </c>
      <c r="EM127">
        <v>255</v>
      </c>
      <c r="EN127">
        <v>255</v>
      </c>
      <c r="EO127">
        <v>255</v>
      </c>
      <c r="EP127">
        <v>255</v>
      </c>
      <c r="EQ127">
        <v>255</v>
      </c>
      <c r="ER127" t="s">
        <v>208</v>
      </c>
      <c r="ES127" t="s">
        <v>209</v>
      </c>
      <c r="ET127" t="s">
        <v>209</v>
      </c>
      <c r="EU127">
        <v>0</v>
      </c>
      <c r="EV127">
        <v>16.2</v>
      </c>
      <c r="EW127">
        <v>-114.7</v>
      </c>
      <c r="EX127">
        <v>-5.3</v>
      </c>
      <c r="EY127">
        <v>0</v>
      </c>
      <c r="EZ127">
        <v>0</v>
      </c>
      <c r="FA127">
        <v>0.5</v>
      </c>
      <c r="FB127" t="s">
        <v>198</v>
      </c>
      <c r="FC127" t="s">
        <v>198</v>
      </c>
      <c r="FD127" t="s">
        <v>198</v>
      </c>
      <c r="FE127" t="s">
        <v>198</v>
      </c>
      <c r="FF127" t="s">
        <v>198</v>
      </c>
      <c r="FG127" t="s">
        <v>198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 t="s">
        <v>203</v>
      </c>
      <c r="FP127" t="s">
        <v>203</v>
      </c>
      <c r="FQ127" t="s">
        <v>203</v>
      </c>
      <c r="FR127" t="s">
        <v>203</v>
      </c>
      <c r="FS127" t="s">
        <v>203</v>
      </c>
      <c r="FT127" t="s">
        <v>203</v>
      </c>
      <c r="FU127" t="s">
        <v>198</v>
      </c>
      <c r="FV127" t="s">
        <v>198</v>
      </c>
      <c r="FW127" t="s">
        <v>198</v>
      </c>
      <c r="FX127" t="s">
        <v>198</v>
      </c>
      <c r="FY127" t="s">
        <v>198</v>
      </c>
      <c r="FZ127" t="s">
        <v>198</v>
      </c>
      <c r="GA127">
        <v>31.16</v>
      </c>
      <c r="GB127">
        <v>31.16</v>
      </c>
      <c r="GC127" t="s">
        <v>203</v>
      </c>
      <c r="GD127">
        <v>0</v>
      </c>
      <c r="GE127">
        <v>504</v>
      </c>
      <c r="GF127">
        <v>0</v>
      </c>
      <c r="GG127">
        <v>0.1</v>
      </c>
      <c r="GH127">
        <v>0.6</v>
      </c>
      <c r="GI127">
        <v>0</v>
      </c>
      <c r="GJ127">
        <v>0</v>
      </c>
      <c r="GK127">
        <v>0</v>
      </c>
      <c r="GL127" t="s">
        <v>198</v>
      </c>
      <c r="GM127" t="s">
        <v>198</v>
      </c>
      <c r="GN127" t="s">
        <v>198</v>
      </c>
    </row>
    <row r="128" spans="1:196">
      <c r="A128" s="19">
        <v>46316.90536276621</v>
      </c>
      <c r="B128">
        <v>0.4</v>
      </c>
      <c r="C128">
        <v>0</v>
      </c>
      <c r="D128">
        <v>278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-0.5</v>
      </c>
      <c r="L128">
        <v>4.6</v>
      </c>
      <c r="M128">
        <v>588.8</v>
      </c>
      <c r="N128">
        <v>4</v>
      </c>
      <c r="O128">
        <v>4.6</v>
      </c>
      <c r="P128">
        <v>4.603</v>
      </c>
      <c r="Q128">
        <v>0</v>
      </c>
      <c r="R128">
        <v>0</v>
      </c>
      <c r="S128">
        <v>115.6</v>
      </c>
      <c r="T128" t="s">
        <v>461</v>
      </c>
      <c r="U128">
        <v>115.7</v>
      </c>
      <c r="V128">
        <v>272001.7</v>
      </c>
      <c r="W128">
        <v>3</v>
      </c>
      <c r="X128" t="s">
        <v>197</v>
      </c>
      <c r="Y128">
        <v>0</v>
      </c>
      <c r="Z128">
        <v>98</v>
      </c>
      <c r="AA128">
        <v>278</v>
      </c>
      <c r="AB128" t="s">
        <v>197</v>
      </c>
      <c r="AC128" t="s">
        <v>198</v>
      </c>
      <c r="AD128" t="s">
        <v>199</v>
      </c>
      <c r="AE128">
        <v>32</v>
      </c>
      <c r="AF128">
        <v>44</v>
      </c>
      <c r="AG128">
        <v>255</v>
      </c>
      <c r="AH128">
        <v>0</v>
      </c>
      <c r="AI128">
        <v>0</v>
      </c>
      <c r="AJ128">
        <v>0</v>
      </c>
      <c r="AK128">
        <v>12.6</v>
      </c>
      <c r="AL128">
        <v>0</v>
      </c>
      <c r="AM128">
        <v>0</v>
      </c>
      <c r="AN128" t="s">
        <v>197</v>
      </c>
      <c r="AO128">
        <v>100</v>
      </c>
      <c r="AP128" t="s">
        <v>197</v>
      </c>
      <c r="AQ128" t="s">
        <v>200</v>
      </c>
      <c r="AR128">
        <v>1</v>
      </c>
      <c r="AS128">
        <v>0</v>
      </c>
      <c r="AT128" t="s">
        <v>462</v>
      </c>
      <c r="AU128" t="s">
        <v>462</v>
      </c>
      <c r="AV128" t="s">
        <v>202</v>
      </c>
      <c r="AW128" t="s">
        <v>203</v>
      </c>
      <c r="AX128" t="s">
        <v>203</v>
      </c>
      <c r="AY128" t="s">
        <v>203</v>
      </c>
      <c r="AZ128" t="s">
        <v>203</v>
      </c>
      <c r="BA128" t="s">
        <v>203</v>
      </c>
      <c r="BB128" t="s">
        <v>203</v>
      </c>
      <c r="BC128" t="s">
        <v>203</v>
      </c>
      <c r="BD128" t="s">
        <v>203</v>
      </c>
      <c r="BE128" t="s">
        <v>203</v>
      </c>
      <c r="BF128">
        <v>2.03</v>
      </c>
      <c r="BG128">
        <v>0.2</v>
      </c>
      <c r="BH128">
        <v>50</v>
      </c>
      <c r="BI128">
        <v>0</v>
      </c>
      <c r="BJ128" t="s">
        <v>198</v>
      </c>
      <c r="BK128" t="s">
        <v>198</v>
      </c>
      <c r="BL128" t="s">
        <v>198</v>
      </c>
      <c r="BM128" t="s">
        <v>198</v>
      </c>
      <c r="BN128" t="s">
        <v>198</v>
      </c>
      <c r="BO128" t="s">
        <v>198</v>
      </c>
      <c r="BP128" t="s">
        <v>198</v>
      </c>
      <c r="BQ128" t="s">
        <v>198</v>
      </c>
      <c r="BR128" t="s">
        <v>198</v>
      </c>
      <c r="BS128" t="s">
        <v>198</v>
      </c>
      <c r="BT128" t="s">
        <v>198</v>
      </c>
      <c r="BU128" t="s">
        <v>198</v>
      </c>
      <c r="BV128" t="s">
        <v>198</v>
      </c>
      <c r="BW128" t="s">
        <v>198</v>
      </c>
      <c r="BX128" t="s">
        <v>198</v>
      </c>
      <c r="BY128" t="s">
        <v>198</v>
      </c>
      <c r="BZ128" t="s">
        <v>198</v>
      </c>
      <c r="CA128" t="s">
        <v>198</v>
      </c>
      <c r="CB128" t="s">
        <v>204</v>
      </c>
      <c r="CC128" t="s">
        <v>204</v>
      </c>
      <c r="CD128" t="s">
        <v>204</v>
      </c>
      <c r="CE128" t="s">
        <v>204</v>
      </c>
      <c r="CF128" t="s">
        <v>204</v>
      </c>
      <c r="CG128" t="s">
        <v>204</v>
      </c>
      <c r="CH128" t="s">
        <v>204</v>
      </c>
      <c r="CI128" t="s">
        <v>204</v>
      </c>
      <c r="CJ128" t="s">
        <v>204</v>
      </c>
      <c r="CK128" t="s">
        <v>204</v>
      </c>
      <c r="CL128" t="s">
        <v>204</v>
      </c>
      <c r="CM128" t="s">
        <v>204</v>
      </c>
      <c r="CN128" t="s">
        <v>203</v>
      </c>
      <c r="CO128" t="s">
        <v>203</v>
      </c>
      <c r="CP128" t="s">
        <v>203</v>
      </c>
      <c r="CQ128" t="s">
        <v>203</v>
      </c>
      <c r="CR128" t="s">
        <v>203</v>
      </c>
      <c r="CS128" t="s">
        <v>203</v>
      </c>
      <c r="CT128" t="s">
        <v>203</v>
      </c>
      <c r="CU128" t="s">
        <v>203</v>
      </c>
      <c r="CV128">
        <v>0</v>
      </c>
      <c r="CW128">
        <v>0</v>
      </c>
      <c r="CX128" t="s">
        <v>198</v>
      </c>
      <c r="CY128" t="s">
        <v>198</v>
      </c>
      <c r="CZ128" t="s">
        <v>198</v>
      </c>
      <c r="DA128" t="s">
        <v>198</v>
      </c>
      <c r="DB128" t="s">
        <v>198</v>
      </c>
      <c r="DC128">
        <v>0</v>
      </c>
      <c r="DD128">
        <v>0</v>
      </c>
      <c r="DE128">
        <v>0</v>
      </c>
      <c r="DF128">
        <v>0</v>
      </c>
      <c r="DG128">
        <v>-35.3631166</v>
      </c>
      <c r="DH128">
        <v>149.1639735</v>
      </c>
      <c r="DI128" t="s">
        <v>360</v>
      </c>
      <c r="DJ128">
        <v>1.2</v>
      </c>
      <c r="DK128">
        <v>2</v>
      </c>
      <c r="DL128">
        <v>260.6</v>
      </c>
      <c r="DM128">
        <v>0</v>
      </c>
      <c r="DN128">
        <v>6</v>
      </c>
      <c r="DO128">
        <v>10</v>
      </c>
      <c r="DP128">
        <v>0</v>
      </c>
      <c r="DQ128">
        <v>255</v>
      </c>
      <c r="DR128">
        <v>255</v>
      </c>
      <c r="DS128">
        <v>255</v>
      </c>
      <c r="DT128">
        <v>255</v>
      </c>
      <c r="DU128">
        <v>255</v>
      </c>
      <c r="DV128">
        <v>255</v>
      </c>
      <c r="DW128">
        <v>255</v>
      </c>
      <c r="DX128" t="s">
        <v>206</v>
      </c>
      <c r="DY128" t="s">
        <v>206</v>
      </c>
      <c r="DZ128" t="s">
        <v>207</v>
      </c>
      <c r="EA128" t="s">
        <v>198</v>
      </c>
      <c r="EB128" t="s">
        <v>198</v>
      </c>
      <c r="EC128" t="s">
        <v>198</v>
      </c>
      <c r="ED128">
        <v>0</v>
      </c>
      <c r="EE128">
        <v>0</v>
      </c>
      <c r="EF128">
        <v>0</v>
      </c>
      <c r="EG128">
        <v>0</v>
      </c>
      <c r="EH128">
        <v>255</v>
      </c>
      <c r="EI128">
        <v>255</v>
      </c>
      <c r="EJ128">
        <v>255</v>
      </c>
      <c r="EK128">
        <v>255</v>
      </c>
      <c r="EL128">
        <v>255</v>
      </c>
      <c r="EM128">
        <v>255</v>
      </c>
      <c r="EN128">
        <v>255</v>
      </c>
      <c r="EO128">
        <v>255</v>
      </c>
      <c r="EP128">
        <v>255</v>
      </c>
      <c r="EQ128">
        <v>255</v>
      </c>
      <c r="ER128" t="s">
        <v>208</v>
      </c>
      <c r="ES128" t="s">
        <v>209</v>
      </c>
      <c r="ET128" t="s">
        <v>209</v>
      </c>
      <c r="EU128">
        <v>0</v>
      </c>
      <c r="EV128">
        <v>16.2</v>
      </c>
      <c r="EW128">
        <v>-114.7</v>
      </c>
      <c r="EX128">
        <v>-4.8</v>
      </c>
      <c r="EY128">
        <v>0</v>
      </c>
      <c r="EZ128">
        <v>0</v>
      </c>
      <c r="FA128">
        <v>0.5</v>
      </c>
      <c r="FB128" t="s">
        <v>198</v>
      </c>
      <c r="FC128" t="s">
        <v>198</v>
      </c>
      <c r="FD128" t="s">
        <v>198</v>
      </c>
      <c r="FE128" t="s">
        <v>198</v>
      </c>
      <c r="FF128" t="s">
        <v>198</v>
      </c>
      <c r="FG128" t="s">
        <v>198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 t="s">
        <v>203</v>
      </c>
      <c r="FP128" t="s">
        <v>203</v>
      </c>
      <c r="FQ128" t="s">
        <v>203</v>
      </c>
      <c r="FR128" t="s">
        <v>203</v>
      </c>
      <c r="FS128" t="s">
        <v>203</v>
      </c>
      <c r="FT128" t="s">
        <v>203</v>
      </c>
      <c r="FU128" t="s">
        <v>198</v>
      </c>
      <c r="FV128" t="s">
        <v>198</v>
      </c>
      <c r="FW128" t="s">
        <v>198</v>
      </c>
      <c r="FX128" t="s">
        <v>198</v>
      </c>
      <c r="FY128" t="s">
        <v>198</v>
      </c>
      <c r="FZ128" t="s">
        <v>198</v>
      </c>
      <c r="GA128">
        <v>31.17</v>
      </c>
      <c r="GB128">
        <v>31.17</v>
      </c>
      <c r="GC128" t="s">
        <v>203</v>
      </c>
      <c r="GD128">
        <v>0</v>
      </c>
      <c r="GE128">
        <v>504</v>
      </c>
      <c r="GF128">
        <v>0</v>
      </c>
      <c r="GG128">
        <v>0.1</v>
      </c>
      <c r="GH128">
        <v>0.6</v>
      </c>
      <c r="GI128">
        <v>0</v>
      </c>
      <c r="GJ128">
        <v>0</v>
      </c>
      <c r="GK128">
        <v>0</v>
      </c>
      <c r="GL128" t="s">
        <v>198</v>
      </c>
      <c r="GM128" t="s">
        <v>198</v>
      </c>
      <c r="GN128" t="s">
        <v>198</v>
      </c>
    </row>
    <row r="129" spans="1:196">
      <c r="A129" s="19">
        <v>46316.90537434028</v>
      </c>
      <c r="B129">
        <v>0</v>
      </c>
      <c r="C129">
        <v>0</v>
      </c>
      <c r="D129">
        <v>278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-0.5</v>
      </c>
      <c r="L129">
        <v>4.1</v>
      </c>
      <c r="M129">
        <v>588.3</v>
      </c>
      <c r="N129">
        <v>3.5</v>
      </c>
      <c r="O129">
        <v>4.1</v>
      </c>
      <c r="P129">
        <v>4.103</v>
      </c>
      <c r="Q129">
        <v>0</v>
      </c>
      <c r="R129">
        <v>0</v>
      </c>
      <c r="S129">
        <v>115.6</v>
      </c>
      <c r="T129" t="s">
        <v>463</v>
      </c>
      <c r="U129">
        <v>115.7</v>
      </c>
      <c r="V129">
        <v>104050.3</v>
      </c>
      <c r="W129">
        <v>3</v>
      </c>
      <c r="X129" t="s">
        <v>197</v>
      </c>
      <c r="Y129">
        <v>0</v>
      </c>
      <c r="Z129">
        <v>98</v>
      </c>
      <c r="AA129">
        <v>278</v>
      </c>
      <c r="AB129" t="s">
        <v>197</v>
      </c>
      <c r="AC129" t="s">
        <v>198</v>
      </c>
      <c r="AD129" t="s">
        <v>199</v>
      </c>
      <c r="AE129">
        <v>32</v>
      </c>
      <c r="AF129">
        <v>44</v>
      </c>
      <c r="AG129">
        <v>255</v>
      </c>
      <c r="AH129">
        <v>0</v>
      </c>
      <c r="AI129">
        <v>0</v>
      </c>
      <c r="AJ129">
        <v>0</v>
      </c>
      <c r="AK129">
        <v>12.6</v>
      </c>
      <c r="AL129">
        <v>0</v>
      </c>
      <c r="AM129">
        <v>0</v>
      </c>
      <c r="AN129" t="s">
        <v>197</v>
      </c>
      <c r="AO129">
        <v>100</v>
      </c>
      <c r="AP129" t="s">
        <v>197</v>
      </c>
      <c r="AQ129" t="s">
        <v>200</v>
      </c>
      <c r="AR129">
        <v>1</v>
      </c>
      <c r="AS129">
        <v>0</v>
      </c>
      <c r="AT129" t="s">
        <v>464</v>
      </c>
      <c r="AU129" t="s">
        <v>464</v>
      </c>
      <c r="AV129" t="s">
        <v>202</v>
      </c>
      <c r="AW129" t="s">
        <v>203</v>
      </c>
      <c r="AX129" t="s">
        <v>203</v>
      </c>
      <c r="AY129" t="s">
        <v>203</v>
      </c>
      <c r="AZ129" t="s">
        <v>203</v>
      </c>
      <c r="BA129" t="s">
        <v>203</v>
      </c>
      <c r="BB129" t="s">
        <v>203</v>
      </c>
      <c r="BC129" t="s">
        <v>203</v>
      </c>
      <c r="BD129" t="s">
        <v>203</v>
      </c>
      <c r="BE129" t="s">
        <v>203</v>
      </c>
      <c r="BF129">
        <v>1.53</v>
      </c>
      <c r="BG129">
        <v>0.2</v>
      </c>
      <c r="BH129">
        <v>50</v>
      </c>
      <c r="BI129">
        <v>0</v>
      </c>
      <c r="BJ129" t="s">
        <v>198</v>
      </c>
      <c r="BK129" t="s">
        <v>198</v>
      </c>
      <c r="BL129" t="s">
        <v>198</v>
      </c>
      <c r="BM129" t="s">
        <v>198</v>
      </c>
      <c r="BN129" t="s">
        <v>198</v>
      </c>
      <c r="BO129" t="s">
        <v>198</v>
      </c>
      <c r="BP129" t="s">
        <v>198</v>
      </c>
      <c r="BQ129" t="s">
        <v>198</v>
      </c>
      <c r="BR129" t="s">
        <v>198</v>
      </c>
      <c r="BS129" t="s">
        <v>198</v>
      </c>
      <c r="BT129" t="s">
        <v>198</v>
      </c>
      <c r="BU129" t="s">
        <v>198</v>
      </c>
      <c r="BV129" t="s">
        <v>198</v>
      </c>
      <c r="BW129" t="s">
        <v>198</v>
      </c>
      <c r="BX129" t="s">
        <v>198</v>
      </c>
      <c r="BY129" t="s">
        <v>198</v>
      </c>
      <c r="BZ129" t="s">
        <v>198</v>
      </c>
      <c r="CA129" t="s">
        <v>198</v>
      </c>
      <c r="CB129" t="s">
        <v>204</v>
      </c>
      <c r="CC129" t="s">
        <v>204</v>
      </c>
      <c r="CD129" t="s">
        <v>204</v>
      </c>
      <c r="CE129" t="s">
        <v>204</v>
      </c>
      <c r="CF129" t="s">
        <v>204</v>
      </c>
      <c r="CG129" t="s">
        <v>204</v>
      </c>
      <c r="CH129" t="s">
        <v>204</v>
      </c>
      <c r="CI129" t="s">
        <v>204</v>
      </c>
      <c r="CJ129" t="s">
        <v>204</v>
      </c>
      <c r="CK129" t="s">
        <v>204</v>
      </c>
      <c r="CL129" t="s">
        <v>204</v>
      </c>
      <c r="CM129" t="s">
        <v>204</v>
      </c>
      <c r="CN129" t="s">
        <v>203</v>
      </c>
      <c r="CO129" t="s">
        <v>203</v>
      </c>
      <c r="CP129" t="s">
        <v>203</v>
      </c>
      <c r="CQ129" t="s">
        <v>203</v>
      </c>
      <c r="CR129" t="s">
        <v>203</v>
      </c>
      <c r="CS129" t="s">
        <v>203</v>
      </c>
      <c r="CT129" t="s">
        <v>203</v>
      </c>
      <c r="CU129" t="s">
        <v>203</v>
      </c>
      <c r="CV129">
        <v>0</v>
      </c>
      <c r="CW129">
        <v>0</v>
      </c>
      <c r="CX129" t="s">
        <v>198</v>
      </c>
      <c r="CY129" t="s">
        <v>198</v>
      </c>
      <c r="CZ129" t="s">
        <v>198</v>
      </c>
      <c r="DA129" t="s">
        <v>198</v>
      </c>
      <c r="DB129" t="s">
        <v>198</v>
      </c>
      <c r="DC129">
        <v>0</v>
      </c>
      <c r="DD129">
        <v>0</v>
      </c>
      <c r="DE129">
        <v>0</v>
      </c>
      <c r="DF129">
        <v>0</v>
      </c>
      <c r="DG129">
        <v>-35.3631166</v>
      </c>
      <c r="DH129">
        <v>149.1639735</v>
      </c>
      <c r="DI129" t="s">
        <v>360</v>
      </c>
      <c r="DJ129">
        <v>1.2</v>
      </c>
      <c r="DK129">
        <v>2</v>
      </c>
      <c r="DL129">
        <v>203.6</v>
      </c>
      <c r="DM129">
        <v>0</v>
      </c>
      <c r="DN129">
        <v>6</v>
      </c>
      <c r="DO129">
        <v>10</v>
      </c>
      <c r="DP129">
        <v>0</v>
      </c>
      <c r="DQ129">
        <v>255</v>
      </c>
      <c r="DR129">
        <v>255</v>
      </c>
      <c r="DS129">
        <v>255</v>
      </c>
      <c r="DT129">
        <v>255</v>
      </c>
      <c r="DU129">
        <v>255</v>
      </c>
      <c r="DV129">
        <v>255</v>
      </c>
      <c r="DW129">
        <v>255</v>
      </c>
      <c r="DX129" t="s">
        <v>206</v>
      </c>
      <c r="DY129" t="s">
        <v>206</v>
      </c>
      <c r="DZ129" t="s">
        <v>207</v>
      </c>
      <c r="EA129" t="s">
        <v>198</v>
      </c>
      <c r="EB129" t="s">
        <v>198</v>
      </c>
      <c r="EC129" t="s">
        <v>198</v>
      </c>
      <c r="ED129">
        <v>0</v>
      </c>
      <c r="EE129">
        <v>0</v>
      </c>
      <c r="EF129">
        <v>0</v>
      </c>
      <c r="EG129">
        <v>0</v>
      </c>
      <c r="EH129">
        <v>255</v>
      </c>
      <c r="EI129">
        <v>255</v>
      </c>
      <c r="EJ129">
        <v>255</v>
      </c>
      <c r="EK129">
        <v>255</v>
      </c>
      <c r="EL129">
        <v>255</v>
      </c>
      <c r="EM129">
        <v>255</v>
      </c>
      <c r="EN129">
        <v>255</v>
      </c>
      <c r="EO129">
        <v>255</v>
      </c>
      <c r="EP129">
        <v>255</v>
      </c>
      <c r="EQ129">
        <v>255</v>
      </c>
      <c r="ER129" t="s">
        <v>208</v>
      </c>
      <c r="ES129" t="s">
        <v>209</v>
      </c>
      <c r="ET129" t="s">
        <v>209</v>
      </c>
      <c r="EU129">
        <v>0</v>
      </c>
      <c r="EV129">
        <v>16.2</v>
      </c>
      <c r="EW129">
        <v>-114.7</v>
      </c>
      <c r="EX129">
        <v>-4.3</v>
      </c>
      <c r="EY129">
        <v>0</v>
      </c>
      <c r="EZ129">
        <v>0</v>
      </c>
      <c r="FA129">
        <v>0.5</v>
      </c>
      <c r="FB129" t="s">
        <v>198</v>
      </c>
      <c r="FC129" t="s">
        <v>198</v>
      </c>
      <c r="FD129" t="s">
        <v>198</v>
      </c>
      <c r="FE129" t="s">
        <v>198</v>
      </c>
      <c r="FF129" t="s">
        <v>198</v>
      </c>
      <c r="FG129" t="s">
        <v>198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 t="s">
        <v>203</v>
      </c>
      <c r="FP129" t="s">
        <v>203</v>
      </c>
      <c r="FQ129" t="s">
        <v>203</v>
      </c>
      <c r="FR129" t="s">
        <v>203</v>
      </c>
      <c r="FS129" t="s">
        <v>203</v>
      </c>
      <c r="FT129" t="s">
        <v>203</v>
      </c>
      <c r="FU129" t="s">
        <v>198</v>
      </c>
      <c r="FV129" t="s">
        <v>198</v>
      </c>
      <c r="FW129" t="s">
        <v>198</v>
      </c>
      <c r="FX129" t="s">
        <v>198</v>
      </c>
      <c r="FY129" t="s">
        <v>198</v>
      </c>
      <c r="FZ129" t="s">
        <v>198</v>
      </c>
      <c r="GA129">
        <v>31.17</v>
      </c>
      <c r="GB129">
        <v>31.17</v>
      </c>
      <c r="GC129" t="s">
        <v>203</v>
      </c>
      <c r="GD129">
        <v>0</v>
      </c>
      <c r="GE129">
        <v>504</v>
      </c>
      <c r="GF129">
        <v>0</v>
      </c>
      <c r="GG129">
        <v>0.1</v>
      </c>
      <c r="GH129">
        <v>0.6</v>
      </c>
      <c r="GI129">
        <v>0</v>
      </c>
      <c r="GJ129">
        <v>0</v>
      </c>
      <c r="GK129">
        <v>0</v>
      </c>
      <c r="GL129" t="s">
        <v>198</v>
      </c>
      <c r="GM129" t="s">
        <v>198</v>
      </c>
      <c r="GN129" t="s">
        <v>198</v>
      </c>
    </row>
    <row r="130" spans="1:196">
      <c r="A130" s="19">
        <v>46316.90538590278</v>
      </c>
      <c r="B130">
        <v>-0.4</v>
      </c>
      <c r="C130">
        <v>0</v>
      </c>
      <c r="D130">
        <v>278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-0.5</v>
      </c>
      <c r="L130">
        <v>3.6</v>
      </c>
      <c r="M130">
        <v>587.8</v>
      </c>
      <c r="N130">
        <v>3</v>
      </c>
      <c r="O130">
        <v>3.6</v>
      </c>
      <c r="P130">
        <v>3.603</v>
      </c>
      <c r="Q130">
        <v>0</v>
      </c>
      <c r="R130">
        <v>0</v>
      </c>
      <c r="S130">
        <v>115.6</v>
      </c>
      <c r="T130" t="s">
        <v>465</v>
      </c>
      <c r="U130">
        <v>115.7</v>
      </c>
      <c r="V130">
        <v>173196.5</v>
      </c>
      <c r="W130">
        <v>3</v>
      </c>
      <c r="X130" t="s">
        <v>197</v>
      </c>
      <c r="Y130">
        <v>0</v>
      </c>
      <c r="Z130">
        <v>98</v>
      </c>
      <c r="AA130">
        <v>278</v>
      </c>
      <c r="AB130" t="s">
        <v>197</v>
      </c>
      <c r="AC130" t="s">
        <v>198</v>
      </c>
      <c r="AD130" t="s">
        <v>199</v>
      </c>
      <c r="AE130">
        <v>32</v>
      </c>
      <c r="AF130">
        <v>44</v>
      </c>
      <c r="AG130">
        <v>255</v>
      </c>
      <c r="AH130">
        <v>0</v>
      </c>
      <c r="AI130">
        <v>0</v>
      </c>
      <c r="AJ130">
        <v>0</v>
      </c>
      <c r="AK130">
        <v>12.6</v>
      </c>
      <c r="AL130">
        <v>0</v>
      </c>
      <c r="AM130">
        <v>0</v>
      </c>
      <c r="AN130" t="s">
        <v>197</v>
      </c>
      <c r="AO130">
        <v>100</v>
      </c>
      <c r="AP130" t="s">
        <v>197</v>
      </c>
      <c r="AQ130" t="s">
        <v>200</v>
      </c>
      <c r="AR130">
        <v>1</v>
      </c>
      <c r="AS130">
        <v>0</v>
      </c>
      <c r="AT130" t="s">
        <v>466</v>
      </c>
      <c r="AU130" t="s">
        <v>466</v>
      </c>
      <c r="AV130" t="s">
        <v>202</v>
      </c>
      <c r="AW130" t="s">
        <v>203</v>
      </c>
      <c r="AX130" t="s">
        <v>203</v>
      </c>
      <c r="AY130" t="s">
        <v>203</v>
      </c>
      <c r="AZ130" t="s">
        <v>203</v>
      </c>
      <c r="BA130" t="s">
        <v>203</v>
      </c>
      <c r="BB130" t="s">
        <v>203</v>
      </c>
      <c r="BC130" t="s">
        <v>203</v>
      </c>
      <c r="BD130" t="s">
        <v>203</v>
      </c>
      <c r="BE130" t="s">
        <v>203</v>
      </c>
      <c r="BF130">
        <v>1.04</v>
      </c>
      <c r="BG130">
        <v>0.2</v>
      </c>
      <c r="BH130">
        <v>50</v>
      </c>
      <c r="BI130">
        <v>0</v>
      </c>
      <c r="BJ130" t="s">
        <v>198</v>
      </c>
      <c r="BK130" t="s">
        <v>198</v>
      </c>
      <c r="BL130" t="s">
        <v>198</v>
      </c>
      <c r="BM130" t="s">
        <v>198</v>
      </c>
      <c r="BN130" t="s">
        <v>198</v>
      </c>
      <c r="BO130" t="s">
        <v>198</v>
      </c>
      <c r="BP130" t="s">
        <v>198</v>
      </c>
      <c r="BQ130" t="s">
        <v>198</v>
      </c>
      <c r="BR130" t="s">
        <v>198</v>
      </c>
      <c r="BS130" t="s">
        <v>198</v>
      </c>
      <c r="BT130" t="s">
        <v>198</v>
      </c>
      <c r="BU130" t="s">
        <v>198</v>
      </c>
      <c r="BV130" t="s">
        <v>198</v>
      </c>
      <c r="BW130" t="s">
        <v>198</v>
      </c>
      <c r="BX130" t="s">
        <v>198</v>
      </c>
      <c r="BY130" t="s">
        <v>198</v>
      </c>
      <c r="BZ130" t="s">
        <v>198</v>
      </c>
      <c r="CA130" t="s">
        <v>198</v>
      </c>
      <c r="CB130" t="s">
        <v>204</v>
      </c>
      <c r="CC130" t="s">
        <v>204</v>
      </c>
      <c r="CD130" t="s">
        <v>204</v>
      </c>
      <c r="CE130" t="s">
        <v>204</v>
      </c>
      <c r="CF130" t="s">
        <v>204</v>
      </c>
      <c r="CG130" t="s">
        <v>204</v>
      </c>
      <c r="CH130" t="s">
        <v>204</v>
      </c>
      <c r="CI130" t="s">
        <v>204</v>
      </c>
      <c r="CJ130" t="s">
        <v>204</v>
      </c>
      <c r="CK130" t="s">
        <v>204</v>
      </c>
      <c r="CL130" t="s">
        <v>204</v>
      </c>
      <c r="CM130" t="s">
        <v>204</v>
      </c>
      <c r="CN130" t="s">
        <v>203</v>
      </c>
      <c r="CO130" t="s">
        <v>203</v>
      </c>
      <c r="CP130" t="s">
        <v>203</v>
      </c>
      <c r="CQ130" t="s">
        <v>203</v>
      </c>
      <c r="CR130" t="s">
        <v>203</v>
      </c>
      <c r="CS130" t="s">
        <v>203</v>
      </c>
      <c r="CT130" t="s">
        <v>203</v>
      </c>
      <c r="CU130" t="s">
        <v>203</v>
      </c>
      <c r="CV130">
        <v>0</v>
      </c>
      <c r="CW130">
        <v>0</v>
      </c>
      <c r="CX130" t="s">
        <v>198</v>
      </c>
      <c r="CY130" t="s">
        <v>198</v>
      </c>
      <c r="CZ130" t="s">
        <v>198</v>
      </c>
      <c r="DA130" t="s">
        <v>198</v>
      </c>
      <c r="DB130" t="s">
        <v>198</v>
      </c>
      <c r="DC130">
        <v>0</v>
      </c>
      <c r="DD130">
        <v>0</v>
      </c>
      <c r="DE130">
        <v>0</v>
      </c>
      <c r="DF130">
        <v>0</v>
      </c>
      <c r="DG130">
        <v>-35.3631166</v>
      </c>
      <c r="DH130">
        <v>149.1639735</v>
      </c>
      <c r="DI130" t="s">
        <v>360</v>
      </c>
      <c r="DJ130">
        <v>1.2</v>
      </c>
      <c r="DK130">
        <v>2</v>
      </c>
      <c r="DL130">
        <v>70.2</v>
      </c>
      <c r="DM130">
        <v>0</v>
      </c>
      <c r="DN130">
        <v>6</v>
      </c>
      <c r="DO130">
        <v>10</v>
      </c>
      <c r="DP130">
        <v>0</v>
      </c>
      <c r="DQ130">
        <v>255</v>
      </c>
      <c r="DR130">
        <v>255</v>
      </c>
      <c r="DS130">
        <v>255</v>
      </c>
      <c r="DT130">
        <v>255</v>
      </c>
      <c r="DU130">
        <v>255</v>
      </c>
      <c r="DV130">
        <v>255</v>
      </c>
      <c r="DW130">
        <v>255</v>
      </c>
      <c r="DX130" t="s">
        <v>206</v>
      </c>
      <c r="DY130" t="s">
        <v>206</v>
      </c>
      <c r="DZ130" t="s">
        <v>207</v>
      </c>
      <c r="EA130" t="s">
        <v>198</v>
      </c>
      <c r="EB130" t="s">
        <v>198</v>
      </c>
      <c r="EC130" t="s">
        <v>198</v>
      </c>
      <c r="ED130">
        <v>0</v>
      </c>
      <c r="EE130">
        <v>0</v>
      </c>
      <c r="EF130">
        <v>0</v>
      </c>
      <c r="EG130">
        <v>0</v>
      </c>
      <c r="EH130">
        <v>255</v>
      </c>
      <c r="EI130">
        <v>255</v>
      </c>
      <c r="EJ130">
        <v>255</v>
      </c>
      <c r="EK130">
        <v>255</v>
      </c>
      <c r="EL130">
        <v>255</v>
      </c>
      <c r="EM130">
        <v>255</v>
      </c>
      <c r="EN130">
        <v>255</v>
      </c>
      <c r="EO130">
        <v>255</v>
      </c>
      <c r="EP130">
        <v>255</v>
      </c>
      <c r="EQ130">
        <v>255</v>
      </c>
      <c r="ER130" t="s">
        <v>208</v>
      </c>
      <c r="ES130" t="s">
        <v>209</v>
      </c>
      <c r="ET130" t="s">
        <v>209</v>
      </c>
      <c r="EU130">
        <v>0</v>
      </c>
      <c r="EV130">
        <v>16.2</v>
      </c>
      <c r="EW130">
        <v>-114.7</v>
      </c>
      <c r="EX130">
        <v>-3.8</v>
      </c>
      <c r="EY130">
        <v>0</v>
      </c>
      <c r="EZ130">
        <v>0</v>
      </c>
      <c r="FA130">
        <v>0.5</v>
      </c>
      <c r="FB130" t="s">
        <v>198</v>
      </c>
      <c r="FC130" t="s">
        <v>198</v>
      </c>
      <c r="FD130" t="s">
        <v>198</v>
      </c>
      <c r="FE130" t="s">
        <v>198</v>
      </c>
      <c r="FF130" t="s">
        <v>198</v>
      </c>
      <c r="FG130" t="s">
        <v>198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 t="s">
        <v>203</v>
      </c>
      <c r="FP130" t="s">
        <v>203</v>
      </c>
      <c r="FQ130" t="s">
        <v>203</v>
      </c>
      <c r="FR130" t="s">
        <v>203</v>
      </c>
      <c r="FS130" t="s">
        <v>203</v>
      </c>
      <c r="FT130" t="s">
        <v>203</v>
      </c>
      <c r="FU130" t="s">
        <v>198</v>
      </c>
      <c r="FV130" t="s">
        <v>198</v>
      </c>
      <c r="FW130" t="s">
        <v>198</v>
      </c>
      <c r="FX130" t="s">
        <v>198</v>
      </c>
      <c r="FY130" t="s">
        <v>198</v>
      </c>
      <c r="FZ130" t="s">
        <v>198</v>
      </c>
      <c r="GA130">
        <v>31.17</v>
      </c>
      <c r="GB130">
        <v>31.17</v>
      </c>
      <c r="GC130" t="s">
        <v>203</v>
      </c>
      <c r="GD130">
        <v>0</v>
      </c>
      <c r="GE130">
        <v>504</v>
      </c>
      <c r="GF130">
        <v>0</v>
      </c>
      <c r="GG130">
        <v>0.1</v>
      </c>
      <c r="GH130">
        <v>0.6</v>
      </c>
      <c r="GI130">
        <v>0</v>
      </c>
      <c r="GJ130">
        <v>0</v>
      </c>
      <c r="GK130">
        <v>0</v>
      </c>
      <c r="GL130" t="s">
        <v>198</v>
      </c>
      <c r="GM130" t="s">
        <v>198</v>
      </c>
      <c r="GN130" t="s">
        <v>198</v>
      </c>
    </row>
    <row r="131" spans="1:196">
      <c r="A131" s="19">
        <v>46316.90539748842</v>
      </c>
      <c r="B131">
        <v>0</v>
      </c>
      <c r="C131">
        <v>0</v>
      </c>
      <c r="D131">
        <v>278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-0.5</v>
      </c>
      <c r="L131">
        <v>3.1</v>
      </c>
      <c r="M131">
        <v>587.3</v>
      </c>
      <c r="N131">
        <v>2.5</v>
      </c>
      <c r="O131">
        <v>3.1</v>
      </c>
      <c r="P131">
        <v>3.103</v>
      </c>
      <c r="Q131">
        <v>0</v>
      </c>
      <c r="R131">
        <v>0</v>
      </c>
      <c r="S131">
        <v>115.6</v>
      </c>
      <c r="T131" t="s">
        <v>467</v>
      </c>
      <c r="U131">
        <v>115.7</v>
      </c>
      <c r="V131">
        <v>74825.2</v>
      </c>
      <c r="W131">
        <v>3</v>
      </c>
      <c r="X131" t="s">
        <v>197</v>
      </c>
      <c r="Y131">
        <v>0</v>
      </c>
      <c r="Z131">
        <v>98</v>
      </c>
      <c r="AA131">
        <v>278</v>
      </c>
      <c r="AB131" t="s">
        <v>197</v>
      </c>
      <c r="AC131" t="s">
        <v>198</v>
      </c>
      <c r="AD131" t="s">
        <v>199</v>
      </c>
      <c r="AE131">
        <v>32</v>
      </c>
      <c r="AF131">
        <v>44</v>
      </c>
      <c r="AG131">
        <v>255</v>
      </c>
      <c r="AH131">
        <v>0</v>
      </c>
      <c r="AI131">
        <v>0</v>
      </c>
      <c r="AJ131">
        <v>0</v>
      </c>
      <c r="AK131">
        <v>12.6</v>
      </c>
      <c r="AL131">
        <v>0</v>
      </c>
      <c r="AM131">
        <v>0</v>
      </c>
      <c r="AN131" t="s">
        <v>197</v>
      </c>
      <c r="AO131">
        <v>100</v>
      </c>
      <c r="AP131" t="s">
        <v>197</v>
      </c>
      <c r="AQ131" t="s">
        <v>200</v>
      </c>
      <c r="AR131">
        <v>1</v>
      </c>
      <c r="AS131">
        <v>0</v>
      </c>
      <c r="AT131" t="s">
        <v>468</v>
      </c>
      <c r="AU131" t="s">
        <v>468</v>
      </c>
      <c r="AV131" t="s">
        <v>202</v>
      </c>
      <c r="AW131" t="s">
        <v>203</v>
      </c>
      <c r="AX131" t="s">
        <v>203</v>
      </c>
      <c r="AY131" t="s">
        <v>203</v>
      </c>
      <c r="AZ131" t="s">
        <v>203</v>
      </c>
      <c r="BA131" t="s">
        <v>203</v>
      </c>
      <c r="BB131" t="s">
        <v>203</v>
      </c>
      <c r="BC131" t="s">
        <v>203</v>
      </c>
      <c r="BD131" t="s">
        <v>203</v>
      </c>
      <c r="BE131" t="s">
        <v>203</v>
      </c>
      <c r="BF131">
        <v>0.53</v>
      </c>
      <c r="BG131">
        <v>0.2</v>
      </c>
      <c r="BH131">
        <v>50</v>
      </c>
      <c r="BI131">
        <v>0</v>
      </c>
      <c r="BJ131" t="s">
        <v>198</v>
      </c>
      <c r="BK131" t="s">
        <v>198</v>
      </c>
      <c r="BL131" t="s">
        <v>198</v>
      </c>
      <c r="BM131" t="s">
        <v>198</v>
      </c>
      <c r="BN131" t="s">
        <v>198</v>
      </c>
      <c r="BO131" t="s">
        <v>198</v>
      </c>
      <c r="BP131" t="s">
        <v>198</v>
      </c>
      <c r="BQ131" t="s">
        <v>198</v>
      </c>
      <c r="BR131" t="s">
        <v>198</v>
      </c>
      <c r="BS131" t="s">
        <v>198</v>
      </c>
      <c r="BT131" t="s">
        <v>198</v>
      </c>
      <c r="BU131" t="s">
        <v>198</v>
      </c>
      <c r="BV131" t="s">
        <v>198</v>
      </c>
      <c r="BW131" t="s">
        <v>198</v>
      </c>
      <c r="BX131" t="s">
        <v>198</v>
      </c>
      <c r="BY131" t="s">
        <v>198</v>
      </c>
      <c r="BZ131" t="s">
        <v>198</v>
      </c>
      <c r="CA131" t="s">
        <v>198</v>
      </c>
      <c r="CB131" t="s">
        <v>204</v>
      </c>
      <c r="CC131" t="s">
        <v>204</v>
      </c>
      <c r="CD131" t="s">
        <v>204</v>
      </c>
      <c r="CE131" t="s">
        <v>204</v>
      </c>
      <c r="CF131" t="s">
        <v>204</v>
      </c>
      <c r="CG131" t="s">
        <v>204</v>
      </c>
      <c r="CH131" t="s">
        <v>204</v>
      </c>
      <c r="CI131" t="s">
        <v>204</v>
      </c>
      <c r="CJ131" t="s">
        <v>204</v>
      </c>
      <c r="CK131" t="s">
        <v>204</v>
      </c>
      <c r="CL131" t="s">
        <v>204</v>
      </c>
      <c r="CM131" t="s">
        <v>204</v>
      </c>
      <c r="CN131" t="s">
        <v>203</v>
      </c>
      <c r="CO131" t="s">
        <v>203</v>
      </c>
      <c r="CP131" t="s">
        <v>203</v>
      </c>
      <c r="CQ131" t="s">
        <v>203</v>
      </c>
      <c r="CR131" t="s">
        <v>203</v>
      </c>
      <c r="CS131" t="s">
        <v>203</v>
      </c>
      <c r="CT131" t="s">
        <v>203</v>
      </c>
      <c r="CU131" t="s">
        <v>203</v>
      </c>
      <c r="CV131">
        <v>0</v>
      </c>
      <c r="CW131">
        <v>0</v>
      </c>
      <c r="CX131" t="s">
        <v>198</v>
      </c>
      <c r="CY131" t="s">
        <v>198</v>
      </c>
      <c r="CZ131" t="s">
        <v>198</v>
      </c>
      <c r="DA131" t="s">
        <v>198</v>
      </c>
      <c r="DB131" t="s">
        <v>198</v>
      </c>
      <c r="DC131">
        <v>0</v>
      </c>
      <c r="DD131">
        <v>0</v>
      </c>
      <c r="DE131">
        <v>0</v>
      </c>
      <c r="DF131">
        <v>0</v>
      </c>
      <c r="DG131">
        <v>-35.3631166</v>
      </c>
      <c r="DH131">
        <v>149.1639735</v>
      </c>
      <c r="DI131" t="s">
        <v>360</v>
      </c>
      <c r="DJ131">
        <v>1.2</v>
      </c>
      <c r="DK131">
        <v>2</v>
      </c>
      <c r="DL131">
        <v>349.4</v>
      </c>
      <c r="DM131">
        <v>0</v>
      </c>
      <c r="DN131">
        <v>6</v>
      </c>
      <c r="DO131">
        <v>10</v>
      </c>
      <c r="DP131">
        <v>0</v>
      </c>
      <c r="DQ131">
        <v>255</v>
      </c>
      <c r="DR131">
        <v>255</v>
      </c>
      <c r="DS131">
        <v>255</v>
      </c>
      <c r="DT131">
        <v>255</v>
      </c>
      <c r="DU131">
        <v>255</v>
      </c>
      <c r="DV131">
        <v>255</v>
      </c>
      <c r="DW131">
        <v>255</v>
      </c>
      <c r="DX131" t="s">
        <v>206</v>
      </c>
      <c r="DY131" t="s">
        <v>206</v>
      </c>
      <c r="DZ131" t="s">
        <v>207</v>
      </c>
      <c r="EA131" t="s">
        <v>198</v>
      </c>
      <c r="EB131" t="s">
        <v>198</v>
      </c>
      <c r="EC131" t="s">
        <v>198</v>
      </c>
      <c r="ED131">
        <v>0</v>
      </c>
      <c r="EE131">
        <v>0</v>
      </c>
      <c r="EF131">
        <v>0</v>
      </c>
      <c r="EG131">
        <v>0</v>
      </c>
      <c r="EH131">
        <v>255</v>
      </c>
      <c r="EI131">
        <v>255</v>
      </c>
      <c r="EJ131">
        <v>255</v>
      </c>
      <c r="EK131">
        <v>255</v>
      </c>
      <c r="EL131">
        <v>255</v>
      </c>
      <c r="EM131">
        <v>255</v>
      </c>
      <c r="EN131">
        <v>255</v>
      </c>
      <c r="EO131">
        <v>255</v>
      </c>
      <c r="EP131">
        <v>255</v>
      </c>
      <c r="EQ131">
        <v>255</v>
      </c>
      <c r="ER131" t="s">
        <v>208</v>
      </c>
      <c r="ES131" t="s">
        <v>209</v>
      </c>
      <c r="ET131" t="s">
        <v>209</v>
      </c>
      <c r="EU131">
        <v>0</v>
      </c>
      <c r="EV131">
        <v>16.2</v>
      </c>
      <c r="EW131">
        <v>-114.7</v>
      </c>
      <c r="EX131">
        <v>-3.3</v>
      </c>
      <c r="EY131">
        <v>0</v>
      </c>
      <c r="EZ131">
        <v>0</v>
      </c>
      <c r="FA131">
        <v>0.5</v>
      </c>
      <c r="FB131" t="s">
        <v>198</v>
      </c>
      <c r="FC131" t="s">
        <v>198</v>
      </c>
      <c r="FD131" t="s">
        <v>198</v>
      </c>
      <c r="FE131" t="s">
        <v>198</v>
      </c>
      <c r="FF131" t="s">
        <v>198</v>
      </c>
      <c r="FG131" t="s">
        <v>198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 t="s">
        <v>203</v>
      </c>
      <c r="FP131" t="s">
        <v>203</v>
      </c>
      <c r="FQ131" t="s">
        <v>203</v>
      </c>
      <c r="FR131" t="s">
        <v>203</v>
      </c>
      <c r="FS131" t="s">
        <v>203</v>
      </c>
      <c r="FT131" t="s">
        <v>203</v>
      </c>
      <c r="FU131" t="s">
        <v>198</v>
      </c>
      <c r="FV131" t="s">
        <v>198</v>
      </c>
      <c r="FW131" t="s">
        <v>198</v>
      </c>
      <c r="FX131" t="s">
        <v>198</v>
      </c>
      <c r="FY131" t="s">
        <v>198</v>
      </c>
      <c r="FZ131" t="s">
        <v>198</v>
      </c>
      <c r="GA131">
        <v>31.18</v>
      </c>
      <c r="GB131">
        <v>31.18</v>
      </c>
      <c r="GC131" t="s">
        <v>203</v>
      </c>
      <c r="GD131">
        <v>0</v>
      </c>
      <c r="GE131">
        <v>504</v>
      </c>
      <c r="GF131">
        <v>0</v>
      </c>
      <c r="GG131">
        <v>0.1</v>
      </c>
      <c r="GH131">
        <v>0.6</v>
      </c>
      <c r="GI131">
        <v>0</v>
      </c>
      <c r="GJ131">
        <v>0</v>
      </c>
      <c r="GK131">
        <v>0</v>
      </c>
      <c r="GL131" t="s">
        <v>198</v>
      </c>
      <c r="GM131" t="s">
        <v>198</v>
      </c>
      <c r="GN131" t="s">
        <v>198</v>
      </c>
    </row>
    <row r="132" spans="1:196">
      <c r="A132" s="19">
        <v>46316.9054090625</v>
      </c>
      <c r="B132">
        <v>0.4</v>
      </c>
      <c r="C132">
        <v>0</v>
      </c>
      <c r="D132">
        <v>278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0.001</v>
      </c>
      <c r="K132">
        <v>-0.5</v>
      </c>
      <c r="L132">
        <v>2.6</v>
      </c>
      <c r="M132">
        <v>586.8</v>
      </c>
      <c r="N132">
        <v>2</v>
      </c>
      <c r="O132">
        <v>2.6</v>
      </c>
      <c r="P132">
        <v>2.603</v>
      </c>
      <c r="Q132">
        <v>0</v>
      </c>
      <c r="R132">
        <v>0</v>
      </c>
      <c r="S132">
        <v>115.6</v>
      </c>
      <c r="T132" t="s">
        <v>469</v>
      </c>
      <c r="U132">
        <v>115.7</v>
      </c>
      <c r="V132">
        <v>103947.2</v>
      </c>
      <c r="W132">
        <v>3</v>
      </c>
      <c r="X132" t="s">
        <v>197</v>
      </c>
      <c r="Y132">
        <v>0</v>
      </c>
      <c r="Z132">
        <v>98</v>
      </c>
      <c r="AA132">
        <v>278</v>
      </c>
      <c r="AB132" t="s">
        <v>197</v>
      </c>
      <c r="AC132" t="s">
        <v>198</v>
      </c>
      <c r="AD132" t="s">
        <v>199</v>
      </c>
      <c r="AE132">
        <v>32</v>
      </c>
      <c r="AF132">
        <v>44</v>
      </c>
      <c r="AG132">
        <v>255</v>
      </c>
      <c r="AH132">
        <v>0</v>
      </c>
      <c r="AI132">
        <v>0</v>
      </c>
      <c r="AJ132">
        <v>0</v>
      </c>
      <c r="AK132">
        <v>12.6</v>
      </c>
      <c r="AL132">
        <v>0</v>
      </c>
      <c r="AM132">
        <v>0</v>
      </c>
      <c r="AN132" t="s">
        <v>197</v>
      </c>
      <c r="AO132">
        <v>100</v>
      </c>
      <c r="AP132" t="s">
        <v>197</v>
      </c>
      <c r="AQ132" t="s">
        <v>200</v>
      </c>
      <c r="AR132">
        <v>1</v>
      </c>
      <c r="AS132">
        <v>0</v>
      </c>
      <c r="AT132" t="s">
        <v>470</v>
      </c>
      <c r="AU132" t="s">
        <v>470</v>
      </c>
      <c r="AV132" t="s">
        <v>202</v>
      </c>
      <c r="AW132" t="s">
        <v>203</v>
      </c>
      <c r="AX132" t="s">
        <v>203</v>
      </c>
      <c r="AY132" t="s">
        <v>203</v>
      </c>
      <c r="AZ132" t="s">
        <v>203</v>
      </c>
      <c r="BA132" t="s">
        <v>203</v>
      </c>
      <c r="BB132" t="s">
        <v>203</v>
      </c>
      <c r="BC132" t="s">
        <v>203</v>
      </c>
      <c r="BD132" t="s">
        <v>203</v>
      </c>
      <c r="BE132" t="s">
        <v>203</v>
      </c>
      <c r="BF132">
        <v>0.04</v>
      </c>
      <c r="BG132">
        <v>0.2</v>
      </c>
      <c r="BH132">
        <v>50</v>
      </c>
      <c r="BI132">
        <v>0</v>
      </c>
      <c r="BJ132" t="s">
        <v>198</v>
      </c>
      <c r="BK132" t="s">
        <v>198</v>
      </c>
      <c r="BL132" t="s">
        <v>198</v>
      </c>
      <c r="BM132" t="s">
        <v>198</v>
      </c>
      <c r="BN132" t="s">
        <v>198</v>
      </c>
      <c r="BO132" t="s">
        <v>198</v>
      </c>
      <c r="BP132" t="s">
        <v>198</v>
      </c>
      <c r="BQ132" t="s">
        <v>198</v>
      </c>
      <c r="BR132" t="s">
        <v>198</v>
      </c>
      <c r="BS132" t="s">
        <v>198</v>
      </c>
      <c r="BT132" t="s">
        <v>198</v>
      </c>
      <c r="BU132" t="s">
        <v>198</v>
      </c>
      <c r="BV132" t="s">
        <v>198</v>
      </c>
      <c r="BW132" t="s">
        <v>198</v>
      </c>
      <c r="BX132" t="s">
        <v>198</v>
      </c>
      <c r="BY132" t="s">
        <v>198</v>
      </c>
      <c r="BZ132" t="s">
        <v>198</v>
      </c>
      <c r="CA132" t="s">
        <v>198</v>
      </c>
      <c r="CB132" t="s">
        <v>204</v>
      </c>
      <c r="CC132" t="s">
        <v>204</v>
      </c>
      <c r="CD132" t="s">
        <v>204</v>
      </c>
      <c r="CE132" t="s">
        <v>204</v>
      </c>
      <c r="CF132" t="s">
        <v>204</v>
      </c>
      <c r="CG132" t="s">
        <v>204</v>
      </c>
      <c r="CH132" t="s">
        <v>204</v>
      </c>
      <c r="CI132" t="s">
        <v>204</v>
      </c>
      <c r="CJ132" t="s">
        <v>204</v>
      </c>
      <c r="CK132" t="s">
        <v>204</v>
      </c>
      <c r="CL132" t="s">
        <v>204</v>
      </c>
      <c r="CM132" t="s">
        <v>204</v>
      </c>
      <c r="CN132" t="s">
        <v>203</v>
      </c>
      <c r="CO132" t="s">
        <v>203</v>
      </c>
      <c r="CP132" t="s">
        <v>203</v>
      </c>
      <c r="CQ132" t="s">
        <v>203</v>
      </c>
      <c r="CR132" t="s">
        <v>203</v>
      </c>
      <c r="CS132" t="s">
        <v>203</v>
      </c>
      <c r="CT132" t="s">
        <v>203</v>
      </c>
      <c r="CU132" t="s">
        <v>203</v>
      </c>
      <c r="CV132">
        <v>0</v>
      </c>
      <c r="CW132">
        <v>0</v>
      </c>
      <c r="CX132" t="s">
        <v>198</v>
      </c>
      <c r="CY132" t="s">
        <v>198</v>
      </c>
      <c r="CZ132" t="s">
        <v>198</v>
      </c>
      <c r="DA132" t="s">
        <v>198</v>
      </c>
      <c r="DB132" t="s">
        <v>198</v>
      </c>
      <c r="DC132">
        <v>0</v>
      </c>
      <c r="DD132">
        <v>0</v>
      </c>
      <c r="DE132">
        <v>0</v>
      </c>
      <c r="DF132">
        <v>0</v>
      </c>
      <c r="DG132">
        <v>-35.3631166</v>
      </c>
      <c r="DH132">
        <v>149.1639735</v>
      </c>
      <c r="DI132" t="s">
        <v>360</v>
      </c>
      <c r="DJ132">
        <v>1.2</v>
      </c>
      <c r="DK132">
        <v>2</v>
      </c>
      <c r="DL132">
        <v>182.4</v>
      </c>
      <c r="DM132">
        <v>0</v>
      </c>
      <c r="DN132">
        <v>6</v>
      </c>
      <c r="DO132">
        <v>10</v>
      </c>
      <c r="DP132">
        <v>0</v>
      </c>
      <c r="DQ132">
        <v>255</v>
      </c>
      <c r="DR132">
        <v>255</v>
      </c>
      <c r="DS132">
        <v>255</v>
      </c>
      <c r="DT132">
        <v>255</v>
      </c>
      <c r="DU132">
        <v>255</v>
      </c>
      <c r="DV132">
        <v>255</v>
      </c>
      <c r="DW132">
        <v>255</v>
      </c>
      <c r="DX132" t="s">
        <v>206</v>
      </c>
      <c r="DY132" t="s">
        <v>206</v>
      </c>
      <c r="DZ132" t="s">
        <v>207</v>
      </c>
      <c r="EA132" t="s">
        <v>198</v>
      </c>
      <c r="EB132" t="s">
        <v>198</v>
      </c>
      <c r="EC132" t="s">
        <v>198</v>
      </c>
      <c r="ED132">
        <v>0</v>
      </c>
      <c r="EE132">
        <v>0</v>
      </c>
      <c r="EF132">
        <v>0</v>
      </c>
      <c r="EG132">
        <v>0</v>
      </c>
      <c r="EH132">
        <v>255</v>
      </c>
      <c r="EI132">
        <v>255</v>
      </c>
      <c r="EJ132">
        <v>255</v>
      </c>
      <c r="EK132">
        <v>255</v>
      </c>
      <c r="EL132">
        <v>255</v>
      </c>
      <c r="EM132">
        <v>255</v>
      </c>
      <c r="EN132">
        <v>255</v>
      </c>
      <c r="EO132">
        <v>255</v>
      </c>
      <c r="EP132">
        <v>255</v>
      </c>
      <c r="EQ132">
        <v>255</v>
      </c>
      <c r="ER132" t="s">
        <v>208</v>
      </c>
      <c r="ES132" t="s">
        <v>209</v>
      </c>
      <c r="ET132" t="s">
        <v>209</v>
      </c>
      <c r="EU132">
        <v>0</v>
      </c>
      <c r="EV132">
        <v>16.2</v>
      </c>
      <c r="EW132">
        <v>-114.7</v>
      </c>
      <c r="EX132">
        <v>-2.8</v>
      </c>
      <c r="EY132">
        <v>0</v>
      </c>
      <c r="EZ132">
        <v>0</v>
      </c>
      <c r="FA132">
        <v>0.5</v>
      </c>
      <c r="FB132" t="s">
        <v>198</v>
      </c>
      <c r="FC132" t="s">
        <v>198</v>
      </c>
      <c r="FD132" t="s">
        <v>198</v>
      </c>
      <c r="FE132" t="s">
        <v>198</v>
      </c>
      <c r="FF132" t="s">
        <v>198</v>
      </c>
      <c r="FG132" t="s">
        <v>198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 t="s">
        <v>203</v>
      </c>
      <c r="FP132" t="s">
        <v>203</v>
      </c>
      <c r="FQ132" t="s">
        <v>203</v>
      </c>
      <c r="FR132" t="s">
        <v>203</v>
      </c>
      <c r="FS132" t="s">
        <v>203</v>
      </c>
      <c r="FT132" t="s">
        <v>203</v>
      </c>
      <c r="FU132" t="s">
        <v>198</v>
      </c>
      <c r="FV132" t="s">
        <v>198</v>
      </c>
      <c r="FW132" t="s">
        <v>198</v>
      </c>
      <c r="FX132" t="s">
        <v>198</v>
      </c>
      <c r="FY132" t="s">
        <v>198</v>
      </c>
      <c r="FZ132" t="s">
        <v>198</v>
      </c>
      <c r="GA132">
        <v>31.18</v>
      </c>
      <c r="GB132">
        <v>31.18</v>
      </c>
      <c r="GC132" t="s">
        <v>203</v>
      </c>
      <c r="GD132">
        <v>0</v>
      </c>
      <c r="GE132">
        <v>504</v>
      </c>
      <c r="GF132">
        <v>0</v>
      </c>
      <c r="GG132">
        <v>0.1</v>
      </c>
      <c r="GH132">
        <v>0.6</v>
      </c>
      <c r="GI132">
        <v>0</v>
      </c>
      <c r="GJ132">
        <v>0</v>
      </c>
      <c r="GK132">
        <v>0</v>
      </c>
      <c r="GL132" t="s">
        <v>198</v>
      </c>
      <c r="GM132" t="s">
        <v>198</v>
      </c>
      <c r="GN132" t="s">
        <v>198</v>
      </c>
    </row>
    <row r="133" spans="1:196">
      <c r="A133" s="19">
        <v>46316.90542063658</v>
      </c>
      <c r="B133">
        <v>0.1</v>
      </c>
      <c r="C133">
        <v>0</v>
      </c>
      <c r="D133">
        <v>278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-0.5</v>
      </c>
      <c r="L133">
        <v>2.1</v>
      </c>
      <c r="M133">
        <v>586.3</v>
      </c>
      <c r="N133">
        <v>1.5</v>
      </c>
      <c r="O133">
        <v>2.1</v>
      </c>
      <c r="P133">
        <v>2.103</v>
      </c>
      <c r="Q133">
        <v>0</v>
      </c>
      <c r="R133">
        <v>0</v>
      </c>
      <c r="S133">
        <v>115.6</v>
      </c>
      <c r="T133" t="s">
        <v>471</v>
      </c>
      <c r="U133">
        <v>115.7</v>
      </c>
      <c r="V133">
        <v>42910.1</v>
      </c>
      <c r="W133">
        <v>3</v>
      </c>
      <c r="X133" t="s">
        <v>197</v>
      </c>
      <c r="Y133">
        <v>0</v>
      </c>
      <c r="Z133">
        <v>98</v>
      </c>
      <c r="AA133">
        <v>278</v>
      </c>
      <c r="AB133" t="s">
        <v>197</v>
      </c>
      <c r="AC133" t="s">
        <v>198</v>
      </c>
      <c r="AD133" t="s">
        <v>199</v>
      </c>
      <c r="AE133">
        <v>32</v>
      </c>
      <c r="AF133">
        <v>44</v>
      </c>
      <c r="AG133">
        <v>255</v>
      </c>
      <c r="AH133">
        <v>0</v>
      </c>
      <c r="AI133">
        <v>0</v>
      </c>
      <c r="AJ133">
        <v>0</v>
      </c>
      <c r="AK133">
        <v>12.6</v>
      </c>
      <c r="AL133">
        <v>0</v>
      </c>
      <c r="AM133">
        <v>0</v>
      </c>
      <c r="AN133" t="s">
        <v>197</v>
      </c>
      <c r="AO133">
        <v>100</v>
      </c>
      <c r="AP133" t="s">
        <v>197</v>
      </c>
      <c r="AQ133" t="s">
        <v>200</v>
      </c>
      <c r="AR133">
        <v>1</v>
      </c>
      <c r="AS133">
        <v>0</v>
      </c>
      <c r="AT133" t="s">
        <v>472</v>
      </c>
      <c r="AU133" t="s">
        <v>472</v>
      </c>
      <c r="AV133" t="s">
        <v>202</v>
      </c>
      <c r="AW133" t="s">
        <v>203</v>
      </c>
      <c r="AX133" t="s">
        <v>203</v>
      </c>
      <c r="AY133" t="s">
        <v>203</v>
      </c>
      <c r="AZ133" t="s">
        <v>203</v>
      </c>
      <c r="BA133" t="s">
        <v>203</v>
      </c>
      <c r="BB133" t="s">
        <v>203</v>
      </c>
      <c r="BC133" t="s">
        <v>203</v>
      </c>
      <c r="BD133" t="s">
        <v>203</v>
      </c>
      <c r="BE133" t="s">
        <v>203</v>
      </c>
      <c r="BF133">
        <v>0</v>
      </c>
      <c r="BG133">
        <v>0.2</v>
      </c>
      <c r="BH133">
        <v>50</v>
      </c>
      <c r="BI133">
        <v>0</v>
      </c>
      <c r="BJ133" t="s">
        <v>198</v>
      </c>
      <c r="BK133" t="s">
        <v>198</v>
      </c>
      <c r="BL133" t="s">
        <v>198</v>
      </c>
      <c r="BM133" t="s">
        <v>198</v>
      </c>
      <c r="BN133" t="s">
        <v>198</v>
      </c>
      <c r="BO133" t="s">
        <v>198</v>
      </c>
      <c r="BP133" t="s">
        <v>198</v>
      </c>
      <c r="BQ133" t="s">
        <v>198</v>
      </c>
      <c r="BR133" t="s">
        <v>198</v>
      </c>
      <c r="BS133" t="s">
        <v>198</v>
      </c>
      <c r="BT133" t="s">
        <v>198</v>
      </c>
      <c r="BU133" t="s">
        <v>198</v>
      </c>
      <c r="BV133" t="s">
        <v>198</v>
      </c>
      <c r="BW133" t="s">
        <v>198</v>
      </c>
      <c r="BX133" t="s">
        <v>198</v>
      </c>
      <c r="BY133" t="s">
        <v>198</v>
      </c>
      <c r="BZ133" t="s">
        <v>198</v>
      </c>
      <c r="CA133" t="s">
        <v>198</v>
      </c>
      <c r="CB133" t="s">
        <v>204</v>
      </c>
      <c r="CC133" t="s">
        <v>204</v>
      </c>
      <c r="CD133" t="s">
        <v>204</v>
      </c>
      <c r="CE133" t="s">
        <v>204</v>
      </c>
      <c r="CF133" t="s">
        <v>204</v>
      </c>
      <c r="CG133" t="s">
        <v>204</v>
      </c>
      <c r="CH133" t="s">
        <v>204</v>
      </c>
      <c r="CI133" t="s">
        <v>204</v>
      </c>
      <c r="CJ133" t="s">
        <v>204</v>
      </c>
      <c r="CK133" t="s">
        <v>204</v>
      </c>
      <c r="CL133" t="s">
        <v>204</v>
      </c>
      <c r="CM133" t="s">
        <v>204</v>
      </c>
      <c r="CN133" t="s">
        <v>203</v>
      </c>
      <c r="CO133" t="s">
        <v>203</v>
      </c>
      <c r="CP133" t="s">
        <v>203</v>
      </c>
      <c r="CQ133" t="s">
        <v>203</v>
      </c>
      <c r="CR133" t="s">
        <v>203</v>
      </c>
      <c r="CS133" t="s">
        <v>203</v>
      </c>
      <c r="CT133" t="s">
        <v>203</v>
      </c>
      <c r="CU133" t="s">
        <v>203</v>
      </c>
      <c r="CV133">
        <v>0</v>
      </c>
      <c r="CW133">
        <v>0</v>
      </c>
      <c r="CX133" t="s">
        <v>198</v>
      </c>
      <c r="CY133" t="s">
        <v>198</v>
      </c>
      <c r="CZ133" t="s">
        <v>198</v>
      </c>
      <c r="DA133" t="s">
        <v>198</v>
      </c>
      <c r="DB133" t="s">
        <v>198</v>
      </c>
      <c r="DC133">
        <v>0</v>
      </c>
      <c r="DD133">
        <v>0</v>
      </c>
      <c r="DE133">
        <v>0</v>
      </c>
      <c r="DF133">
        <v>0</v>
      </c>
      <c r="DG133">
        <v>-35.3631166</v>
      </c>
      <c r="DH133">
        <v>149.1639735</v>
      </c>
      <c r="DI133" t="s">
        <v>360</v>
      </c>
      <c r="DJ133">
        <v>1.2</v>
      </c>
      <c r="DK133">
        <v>2</v>
      </c>
      <c r="DL133">
        <v>132.3</v>
      </c>
      <c r="DM133">
        <v>0</v>
      </c>
      <c r="DN133">
        <v>6</v>
      </c>
      <c r="DO133">
        <v>10</v>
      </c>
      <c r="DP133">
        <v>0</v>
      </c>
      <c r="DQ133">
        <v>255</v>
      </c>
      <c r="DR133">
        <v>255</v>
      </c>
      <c r="DS133">
        <v>255</v>
      </c>
      <c r="DT133">
        <v>255</v>
      </c>
      <c r="DU133">
        <v>255</v>
      </c>
      <c r="DV133">
        <v>255</v>
      </c>
      <c r="DW133">
        <v>255</v>
      </c>
      <c r="DX133" t="s">
        <v>206</v>
      </c>
      <c r="DY133" t="s">
        <v>206</v>
      </c>
      <c r="DZ133" t="s">
        <v>207</v>
      </c>
      <c r="EA133" t="s">
        <v>198</v>
      </c>
      <c r="EB133" t="s">
        <v>198</v>
      </c>
      <c r="EC133" t="s">
        <v>198</v>
      </c>
      <c r="ED133">
        <v>0</v>
      </c>
      <c r="EE133">
        <v>0</v>
      </c>
      <c r="EF133">
        <v>0</v>
      </c>
      <c r="EG133">
        <v>0</v>
      </c>
      <c r="EH133">
        <v>255</v>
      </c>
      <c r="EI133">
        <v>255</v>
      </c>
      <c r="EJ133">
        <v>255</v>
      </c>
      <c r="EK133">
        <v>255</v>
      </c>
      <c r="EL133">
        <v>255</v>
      </c>
      <c r="EM133">
        <v>255</v>
      </c>
      <c r="EN133">
        <v>255</v>
      </c>
      <c r="EO133">
        <v>255</v>
      </c>
      <c r="EP133">
        <v>255</v>
      </c>
      <c r="EQ133">
        <v>255</v>
      </c>
      <c r="ER133" t="s">
        <v>208</v>
      </c>
      <c r="ES133" t="s">
        <v>209</v>
      </c>
      <c r="ET133" t="s">
        <v>209</v>
      </c>
      <c r="EU133">
        <v>0</v>
      </c>
      <c r="EV133">
        <v>16.2</v>
      </c>
      <c r="EW133">
        <v>-114.7</v>
      </c>
      <c r="EX133">
        <v>-2.3</v>
      </c>
      <c r="EY133">
        <v>0</v>
      </c>
      <c r="EZ133">
        <v>0</v>
      </c>
      <c r="FA133">
        <v>0.5</v>
      </c>
      <c r="FB133" t="s">
        <v>198</v>
      </c>
      <c r="FC133" t="s">
        <v>198</v>
      </c>
      <c r="FD133" t="s">
        <v>198</v>
      </c>
      <c r="FE133" t="s">
        <v>198</v>
      </c>
      <c r="FF133" t="s">
        <v>198</v>
      </c>
      <c r="FG133" t="s">
        <v>198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 t="s">
        <v>203</v>
      </c>
      <c r="FP133" t="s">
        <v>203</v>
      </c>
      <c r="FQ133" t="s">
        <v>203</v>
      </c>
      <c r="FR133" t="s">
        <v>203</v>
      </c>
      <c r="FS133" t="s">
        <v>203</v>
      </c>
      <c r="FT133" t="s">
        <v>203</v>
      </c>
      <c r="FU133" t="s">
        <v>198</v>
      </c>
      <c r="FV133" t="s">
        <v>198</v>
      </c>
      <c r="FW133" t="s">
        <v>198</v>
      </c>
      <c r="FX133" t="s">
        <v>198</v>
      </c>
      <c r="FY133" t="s">
        <v>198</v>
      </c>
      <c r="FZ133" t="s">
        <v>198</v>
      </c>
      <c r="GA133">
        <v>31.18</v>
      </c>
      <c r="GB133">
        <v>31.18</v>
      </c>
      <c r="GC133" t="s">
        <v>203</v>
      </c>
      <c r="GD133">
        <v>0</v>
      </c>
      <c r="GE133">
        <v>504</v>
      </c>
      <c r="GF133">
        <v>0</v>
      </c>
      <c r="GG133">
        <v>0.1</v>
      </c>
      <c r="GH133">
        <v>0.6</v>
      </c>
      <c r="GI133">
        <v>0</v>
      </c>
      <c r="GJ133">
        <v>0</v>
      </c>
      <c r="GK133">
        <v>0</v>
      </c>
      <c r="GL133" t="s">
        <v>198</v>
      </c>
      <c r="GM133" t="s">
        <v>198</v>
      </c>
      <c r="GN133" t="s">
        <v>198</v>
      </c>
    </row>
    <row r="134" spans="1:196">
      <c r="A134" s="19">
        <v>46316.90543221065</v>
      </c>
      <c r="B134">
        <v>-0.4</v>
      </c>
      <c r="C134">
        <v>0</v>
      </c>
      <c r="D134">
        <v>278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-0.5</v>
      </c>
      <c r="L134">
        <v>1.6</v>
      </c>
      <c r="M134">
        <v>585.8</v>
      </c>
      <c r="N134">
        <v>1</v>
      </c>
      <c r="O134">
        <v>1.6</v>
      </c>
      <c r="P134">
        <v>1.603</v>
      </c>
      <c r="Q134">
        <v>0</v>
      </c>
      <c r="R134">
        <v>0</v>
      </c>
      <c r="S134">
        <v>115.6</v>
      </c>
      <c r="T134" t="s">
        <v>473</v>
      </c>
      <c r="U134">
        <v>115.7</v>
      </c>
      <c r="V134">
        <v>129198.4</v>
      </c>
      <c r="W134">
        <v>3</v>
      </c>
      <c r="X134" t="s">
        <v>197</v>
      </c>
      <c r="Y134">
        <v>0</v>
      </c>
      <c r="Z134">
        <v>98</v>
      </c>
      <c r="AA134">
        <v>278</v>
      </c>
      <c r="AB134" t="s">
        <v>197</v>
      </c>
      <c r="AC134" t="s">
        <v>198</v>
      </c>
      <c r="AD134" t="s">
        <v>199</v>
      </c>
      <c r="AE134">
        <v>32</v>
      </c>
      <c r="AF134">
        <v>44</v>
      </c>
      <c r="AG134">
        <v>255</v>
      </c>
      <c r="AH134">
        <v>0</v>
      </c>
      <c r="AI134">
        <v>0</v>
      </c>
      <c r="AJ134">
        <v>0</v>
      </c>
      <c r="AK134">
        <v>12.6</v>
      </c>
      <c r="AL134">
        <v>0</v>
      </c>
      <c r="AM134">
        <v>0</v>
      </c>
      <c r="AN134" t="s">
        <v>197</v>
      </c>
      <c r="AO134">
        <v>100</v>
      </c>
      <c r="AP134" t="s">
        <v>197</v>
      </c>
      <c r="AQ134" t="s">
        <v>200</v>
      </c>
      <c r="AR134">
        <v>1</v>
      </c>
      <c r="AS134">
        <v>0</v>
      </c>
      <c r="AT134" t="s">
        <v>474</v>
      </c>
      <c r="AU134" t="s">
        <v>474</v>
      </c>
      <c r="AV134" t="s">
        <v>202</v>
      </c>
      <c r="AW134" t="s">
        <v>203</v>
      </c>
      <c r="AX134" t="s">
        <v>203</v>
      </c>
      <c r="AY134" t="s">
        <v>203</v>
      </c>
      <c r="AZ134" t="s">
        <v>203</v>
      </c>
      <c r="BA134" t="s">
        <v>203</v>
      </c>
      <c r="BB134" t="s">
        <v>203</v>
      </c>
      <c r="BC134" t="s">
        <v>203</v>
      </c>
      <c r="BD134" t="s">
        <v>203</v>
      </c>
      <c r="BE134" t="s">
        <v>203</v>
      </c>
      <c r="BF134">
        <v>0</v>
      </c>
      <c r="BG134">
        <v>0.2</v>
      </c>
      <c r="BH134">
        <v>50</v>
      </c>
      <c r="BI134">
        <v>0</v>
      </c>
      <c r="BJ134" t="s">
        <v>198</v>
      </c>
      <c r="BK134" t="s">
        <v>198</v>
      </c>
      <c r="BL134" t="s">
        <v>198</v>
      </c>
      <c r="BM134" t="s">
        <v>198</v>
      </c>
      <c r="BN134" t="s">
        <v>198</v>
      </c>
      <c r="BO134" t="s">
        <v>198</v>
      </c>
      <c r="BP134" t="s">
        <v>198</v>
      </c>
      <c r="BQ134" t="s">
        <v>198</v>
      </c>
      <c r="BR134" t="s">
        <v>198</v>
      </c>
      <c r="BS134" t="s">
        <v>198</v>
      </c>
      <c r="BT134" t="s">
        <v>198</v>
      </c>
      <c r="BU134" t="s">
        <v>198</v>
      </c>
      <c r="BV134" t="s">
        <v>198</v>
      </c>
      <c r="BW134" t="s">
        <v>198</v>
      </c>
      <c r="BX134" t="s">
        <v>198</v>
      </c>
      <c r="BY134" t="s">
        <v>198</v>
      </c>
      <c r="BZ134" t="s">
        <v>198</v>
      </c>
      <c r="CA134" t="s">
        <v>198</v>
      </c>
      <c r="CB134" t="s">
        <v>204</v>
      </c>
      <c r="CC134" t="s">
        <v>204</v>
      </c>
      <c r="CD134" t="s">
        <v>204</v>
      </c>
      <c r="CE134" t="s">
        <v>204</v>
      </c>
      <c r="CF134" t="s">
        <v>204</v>
      </c>
      <c r="CG134" t="s">
        <v>204</v>
      </c>
      <c r="CH134" t="s">
        <v>204</v>
      </c>
      <c r="CI134" t="s">
        <v>204</v>
      </c>
      <c r="CJ134" t="s">
        <v>204</v>
      </c>
      <c r="CK134" t="s">
        <v>204</v>
      </c>
      <c r="CL134" t="s">
        <v>204</v>
      </c>
      <c r="CM134" t="s">
        <v>204</v>
      </c>
      <c r="CN134" t="s">
        <v>203</v>
      </c>
      <c r="CO134" t="s">
        <v>203</v>
      </c>
      <c r="CP134" t="s">
        <v>203</v>
      </c>
      <c r="CQ134" t="s">
        <v>203</v>
      </c>
      <c r="CR134" t="s">
        <v>203</v>
      </c>
      <c r="CS134" t="s">
        <v>203</v>
      </c>
      <c r="CT134" t="s">
        <v>203</v>
      </c>
      <c r="CU134" t="s">
        <v>203</v>
      </c>
      <c r="CV134">
        <v>0</v>
      </c>
      <c r="CW134">
        <v>0</v>
      </c>
      <c r="CX134" t="s">
        <v>198</v>
      </c>
      <c r="CY134" t="s">
        <v>198</v>
      </c>
      <c r="CZ134" t="s">
        <v>198</v>
      </c>
      <c r="DA134" t="s">
        <v>198</v>
      </c>
      <c r="DB134" t="s">
        <v>198</v>
      </c>
      <c r="DC134">
        <v>0</v>
      </c>
      <c r="DD134">
        <v>0</v>
      </c>
      <c r="DE134">
        <v>0</v>
      </c>
      <c r="DF134">
        <v>0</v>
      </c>
      <c r="DG134">
        <v>-35.3631166</v>
      </c>
      <c r="DH134">
        <v>149.1639735</v>
      </c>
      <c r="DI134" t="s">
        <v>360</v>
      </c>
      <c r="DJ134">
        <v>1.2</v>
      </c>
      <c r="DK134">
        <v>2</v>
      </c>
      <c r="DL134">
        <v>2.8</v>
      </c>
      <c r="DM134">
        <v>0</v>
      </c>
      <c r="DN134">
        <v>6</v>
      </c>
      <c r="DO134">
        <v>10</v>
      </c>
      <c r="DP134">
        <v>0</v>
      </c>
      <c r="DQ134">
        <v>255</v>
      </c>
      <c r="DR134">
        <v>255</v>
      </c>
      <c r="DS134">
        <v>255</v>
      </c>
      <c r="DT134">
        <v>255</v>
      </c>
      <c r="DU134">
        <v>255</v>
      </c>
      <c r="DV134">
        <v>255</v>
      </c>
      <c r="DW134">
        <v>255</v>
      </c>
      <c r="DX134" t="s">
        <v>206</v>
      </c>
      <c r="DY134" t="s">
        <v>206</v>
      </c>
      <c r="DZ134" t="s">
        <v>207</v>
      </c>
      <c r="EA134" t="s">
        <v>198</v>
      </c>
      <c r="EB134" t="s">
        <v>198</v>
      </c>
      <c r="EC134" t="s">
        <v>198</v>
      </c>
      <c r="ED134">
        <v>0</v>
      </c>
      <c r="EE134">
        <v>0</v>
      </c>
      <c r="EF134">
        <v>0</v>
      </c>
      <c r="EG134">
        <v>0</v>
      </c>
      <c r="EH134">
        <v>255</v>
      </c>
      <c r="EI134">
        <v>255</v>
      </c>
      <c r="EJ134">
        <v>255</v>
      </c>
      <c r="EK134">
        <v>255</v>
      </c>
      <c r="EL134">
        <v>255</v>
      </c>
      <c r="EM134">
        <v>255</v>
      </c>
      <c r="EN134">
        <v>255</v>
      </c>
      <c r="EO134">
        <v>255</v>
      </c>
      <c r="EP134">
        <v>255</v>
      </c>
      <c r="EQ134">
        <v>255</v>
      </c>
      <c r="ER134" t="s">
        <v>208</v>
      </c>
      <c r="ES134" t="s">
        <v>209</v>
      </c>
      <c r="ET134" t="s">
        <v>209</v>
      </c>
      <c r="EU134">
        <v>0</v>
      </c>
      <c r="EV134">
        <v>16.2</v>
      </c>
      <c r="EW134">
        <v>-114.7</v>
      </c>
      <c r="EX134">
        <v>-1.8</v>
      </c>
      <c r="EY134">
        <v>0</v>
      </c>
      <c r="EZ134">
        <v>0</v>
      </c>
      <c r="FA134">
        <v>0.5</v>
      </c>
      <c r="FB134" t="s">
        <v>198</v>
      </c>
      <c r="FC134" t="s">
        <v>198</v>
      </c>
      <c r="FD134" t="s">
        <v>198</v>
      </c>
      <c r="FE134" t="s">
        <v>198</v>
      </c>
      <c r="FF134" t="s">
        <v>198</v>
      </c>
      <c r="FG134" t="s">
        <v>198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 t="s">
        <v>203</v>
      </c>
      <c r="FP134" t="s">
        <v>203</v>
      </c>
      <c r="FQ134" t="s">
        <v>203</v>
      </c>
      <c r="FR134" t="s">
        <v>203</v>
      </c>
      <c r="FS134" t="s">
        <v>203</v>
      </c>
      <c r="FT134" t="s">
        <v>203</v>
      </c>
      <c r="FU134" t="s">
        <v>198</v>
      </c>
      <c r="FV134" t="s">
        <v>198</v>
      </c>
      <c r="FW134" t="s">
        <v>198</v>
      </c>
      <c r="FX134" t="s">
        <v>198</v>
      </c>
      <c r="FY134" t="s">
        <v>198</v>
      </c>
      <c r="FZ134" t="s">
        <v>198</v>
      </c>
      <c r="GA134">
        <v>31.19</v>
      </c>
      <c r="GB134">
        <v>31.19</v>
      </c>
      <c r="GC134" t="s">
        <v>203</v>
      </c>
      <c r="GD134">
        <v>0</v>
      </c>
      <c r="GE134">
        <v>504</v>
      </c>
      <c r="GF134">
        <v>0</v>
      </c>
      <c r="GG134">
        <v>0.1</v>
      </c>
      <c r="GH134">
        <v>0.6</v>
      </c>
      <c r="GI134">
        <v>0</v>
      </c>
      <c r="GJ134">
        <v>0</v>
      </c>
      <c r="GK134">
        <v>0</v>
      </c>
      <c r="GL134" t="s">
        <v>198</v>
      </c>
      <c r="GM134" t="s">
        <v>198</v>
      </c>
      <c r="GN134" t="s">
        <v>198</v>
      </c>
    </row>
    <row r="135" spans="1:196">
      <c r="A135" s="19">
        <v>46316.90544378472</v>
      </c>
      <c r="B135">
        <v>-0.1</v>
      </c>
      <c r="C135">
        <v>0</v>
      </c>
      <c r="D135">
        <v>278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-0.5</v>
      </c>
      <c r="L135">
        <v>1.1</v>
      </c>
      <c r="M135">
        <v>585.3</v>
      </c>
      <c r="N135">
        <v>0.5</v>
      </c>
      <c r="O135">
        <v>1.1</v>
      </c>
      <c r="P135">
        <v>1.103</v>
      </c>
      <c r="Q135">
        <v>0</v>
      </c>
      <c r="R135">
        <v>0</v>
      </c>
      <c r="S135">
        <v>115.6</v>
      </c>
      <c r="T135" t="s">
        <v>475</v>
      </c>
      <c r="U135">
        <v>115.7</v>
      </c>
      <c r="V135">
        <v>68492.8</v>
      </c>
      <c r="W135">
        <v>3</v>
      </c>
      <c r="X135" t="s">
        <v>197</v>
      </c>
      <c r="Y135">
        <v>0</v>
      </c>
      <c r="Z135">
        <v>98</v>
      </c>
      <c r="AA135">
        <v>278</v>
      </c>
      <c r="AB135" t="s">
        <v>197</v>
      </c>
      <c r="AC135" t="s">
        <v>198</v>
      </c>
      <c r="AD135" t="s">
        <v>199</v>
      </c>
      <c r="AE135">
        <v>32</v>
      </c>
      <c r="AF135">
        <v>44</v>
      </c>
      <c r="AG135">
        <v>255</v>
      </c>
      <c r="AH135">
        <v>0</v>
      </c>
      <c r="AI135">
        <v>0</v>
      </c>
      <c r="AJ135">
        <v>0</v>
      </c>
      <c r="AK135">
        <v>12.6</v>
      </c>
      <c r="AL135">
        <v>0</v>
      </c>
      <c r="AM135">
        <v>0</v>
      </c>
      <c r="AN135" t="s">
        <v>197</v>
      </c>
      <c r="AO135">
        <v>100</v>
      </c>
      <c r="AP135" t="s">
        <v>197</v>
      </c>
      <c r="AQ135" t="s">
        <v>200</v>
      </c>
      <c r="AR135">
        <v>1</v>
      </c>
      <c r="AS135">
        <v>0</v>
      </c>
      <c r="AT135" t="s">
        <v>476</v>
      </c>
      <c r="AU135" t="s">
        <v>476</v>
      </c>
      <c r="AV135" t="s">
        <v>202</v>
      </c>
      <c r="AW135" t="s">
        <v>203</v>
      </c>
      <c r="AX135" t="s">
        <v>203</v>
      </c>
      <c r="AY135" t="s">
        <v>203</v>
      </c>
      <c r="AZ135" t="s">
        <v>203</v>
      </c>
      <c r="BA135" t="s">
        <v>203</v>
      </c>
      <c r="BB135" t="s">
        <v>203</v>
      </c>
      <c r="BC135" t="s">
        <v>203</v>
      </c>
      <c r="BD135" t="s">
        <v>203</v>
      </c>
      <c r="BE135" t="s">
        <v>203</v>
      </c>
      <c r="BF135">
        <v>0</v>
      </c>
      <c r="BG135">
        <v>0.2</v>
      </c>
      <c r="BH135">
        <v>50</v>
      </c>
      <c r="BI135">
        <v>0</v>
      </c>
      <c r="BJ135" t="s">
        <v>198</v>
      </c>
      <c r="BK135" t="s">
        <v>198</v>
      </c>
      <c r="BL135" t="s">
        <v>198</v>
      </c>
      <c r="BM135" t="s">
        <v>198</v>
      </c>
      <c r="BN135" t="s">
        <v>198</v>
      </c>
      <c r="BO135" t="s">
        <v>198</v>
      </c>
      <c r="BP135" t="s">
        <v>198</v>
      </c>
      <c r="BQ135" t="s">
        <v>198</v>
      </c>
      <c r="BR135" t="s">
        <v>198</v>
      </c>
      <c r="BS135" t="s">
        <v>198</v>
      </c>
      <c r="BT135" t="s">
        <v>198</v>
      </c>
      <c r="BU135" t="s">
        <v>198</v>
      </c>
      <c r="BV135" t="s">
        <v>198</v>
      </c>
      <c r="BW135" t="s">
        <v>198</v>
      </c>
      <c r="BX135" t="s">
        <v>198</v>
      </c>
      <c r="BY135" t="s">
        <v>198</v>
      </c>
      <c r="BZ135" t="s">
        <v>198</v>
      </c>
      <c r="CA135" t="s">
        <v>198</v>
      </c>
      <c r="CB135" t="s">
        <v>204</v>
      </c>
      <c r="CC135" t="s">
        <v>204</v>
      </c>
      <c r="CD135" t="s">
        <v>204</v>
      </c>
      <c r="CE135" t="s">
        <v>204</v>
      </c>
      <c r="CF135" t="s">
        <v>204</v>
      </c>
      <c r="CG135" t="s">
        <v>204</v>
      </c>
      <c r="CH135" t="s">
        <v>204</v>
      </c>
      <c r="CI135" t="s">
        <v>204</v>
      </c>
      <c r="CJ135" t="s">
        <v>204</v>
      </c>
      <c r="CK135" t="s">
        <v>204</v>
      </c>
      <c r="CL135" t="s">
        <v>204</v>
      </c>
      <c r="CM135" t="s">
        <v>204</v>
      </c>
      <c r="CN135" t="s">
        <v>203</v>
      </c>
      <c r="CO135" t="s">
        <v>203</v>
      </c>
      <c r="CP135" t="s">
        <v>203</v>
      </c>
      <c r="CQ135" t="s">
        <v>203</v>
      </c>
      <c r="CR135" t="s">
        <v>203</v>
      </c>
      <c r="CS135" t="s">
        <v>203</v>
      </c>
      <c r="CT135" t="s">
        <v>203</v>
      </c>
      <c r="CU135" t="s">
        <v>203</v>
      </c>
      <c r="CV135">
        <v>0</v>
      </c>
      <c r="CW135">
        <v>0</v>
      </c>
      <c r="CX135" t="s">
        <v>198</v>
      </c>
      <c r="CY135" t="s">
        <v>198</v>
      </c>
      <c r="CZ135" t="s">
        <v>198</v>
      </c>
      <c r="DA135" t="s">
        <v>198</v>
      </c>
      <c r="DB135" t="s">
        <v>198</v>
      </c>
      <c r="DC135">
        <v>0</v>
      </c>
      <c r="DD135">
        <v>0</v>
      </c>
      <c r="DE135">
        <v>0</v>
      </c>
      <c r="DF135">
        <v>0</v>
      </c>
      <c r="DG135">
        <v>-35.3631166</v>
      </c>
      <c r="DH135">
        <v>149.1639735</v>
      </c>
      <c r="DI135" t="s">
        <v>360</v>
      </c>
      <c r="DJ135">
        <v>1.2</v>
      </c>
      <c r="DK135">
        <v>2</v>
      </c>
      <c r="DL135">
        <v>296.9</v>
      </c>
      <c r="DM135">
        <v>0</v>
      </c>
      <c r="DN135">
        <v>6</v>
      </c>
      <c r="DO135">
        <v>10</v>
      </c>
      <c r="DP135">
        <v>0</v>
      </c>
      <c r="DQ135">
        <v>255</v>
      </c>
      <c r="DR135">
        <v>255</v>
      </c>
      <c r="DS135">
        <v>255</v>
      </c>
      <c r="DT135">
        <v>255</v>
      </c>
      <c r="DU135">
        <v>255</v>
      </c>
      <c r="DV135">
        <v>255</v>
      </c>
      <c r="DW135">
        <v>255</v>
      </c>
      <c r="DX135" t="s">
        <v>206</v>
      </c>
      <c r="DY135" t="s">
        <v>206</v>
      </c>
      <c r="DZ135" t="s">
        <v>207</v>
      </c>
      <c r="EA135" t="s">
        <v>198</v>
      </c>
      <c r="EB135" t="s">
        <v>198</v>
      </c>
      <c r="EC135" t="s">
        <v>198</v>
      </c>
      <c r="ED135">
        <v>0</v>
      </c>
      <c r="EE135">
        <v>0</v>
      </c>
      <c r="EF135">
        <v>0</v>
      </c>
      <c r="EG135">
        <v>0</v>
      </c>
      <c r="EH135">
        <v>255</v>
      </c>
      <c r="EI135">
        <v>255</v>
      </c>
      <c r="EJ135">
        <v>255</v>
      </c>
      <c r="EK135">
        <v>255</v>
      </c>
      <c r="EL135">
        <v>255</v>
      </c>
      <c r="EM135">
        <v>255</v>
      </c>
      <c r="EN135">
        <v>255</v>
      </c>
      <c r="EO135">
        <v>255</v>
      </c>
      <c r="EP135">
        <v>255</v>
      </c>
      <c r="EQ135">
        <v>255</v>
      </c>
      <c r="ER135" t="s">
        <v>208</v>
      </c>
      <c r="ES135" t="s">
        <v>209</v>
      </c>
      <c r="ET135" t="s">
        <v>209</v>
      </c>
      <c r="EU135">
        <v>0</v>
      </c>
      <c r="EV135">
        <v>16.2</v>
      </c>
      <c r="EW135">
        <v>-114.7</v>
      </c>
      <c r="EX135">
        <v>-1.3</v>
      </c>
      <c r="EY135">
        <v>0</v>
      </c>
      <c r="EZ135">
        <v>0</v>
      </c>
      <c r="FA135">
        <v>0.5</v>
      </c>
      <c r="FB135" t="s">
        <v>198</v>
      </c>
      <c r="FC135" t="s">
        <v>198</v>
      </c>
      <c r="FD135" t="s">
        <v>198</v>
      </c>
      <c r="FE135" t="s">
        <v>198</v>
      </c>
      <c r="FF135" t="s">
        <v>198</v>
      </c>
      <c r="FG135" t="s">
        <v>198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 t="s">
        <v>203</v>
      </c>
      <c r="FP135" t="s">
        <v>203</v>
      </c>
      <c r="FQ135" t="s">
        <v>203</v>
      </c>
      <c r="FR135" t="s">
        <v>203</v>
      </c>
      <c r="FS135" t="s">
        <v>203</v>
      </c>
      <c r="FT135" t="s">
        <v>203</v>
      </c>
      <c r="FU135" t="s">
        <v>198</v>
      </c>
      <c r="FV135" t="s">
        <v>198</v>
      </c>
      <c r="FW135" t="s">
        <v>198</v>
      </c>
      <c r="FX135" t="s">
        <v>198</v>
      </c>
      <c r="FY135" t="s">
        <v>198</v>
      </c>
      <c r="FZ135" t="s">
        <v>198</v>
      </c>
      <c r="GA135">
        <v>31.19</v>
      </c>
      <c r="GB135">
        <v>31.19</v>
      </c>
      <c r="GC135" t="s">
        <v>203</v>
      </c>
      <c r="GD135">
        <v>0</v>
      </c>
      <c r="GE135">
        <v>504</v>
      </c>
      <c r="GF135">
        <v>0</v>
      </c>
      <c r="GG135">
        <v>0.1</v>
      </c>
      <c r="GH135">
        <v>0.6</v>
      </c>
      <c r="GI135">
        <v>0</v>
      </c>
      <c r="GJ135">
        <v>0</v>
      </c>
      <c r="GK135">
        <v>0</v>
      </c>
      <c r="GL135" t="s">
        <v>198</v>
      </c>
      <c r="GM135" t="s">
        <v>198</v>
      </c>
      <c r="GN135" t="s">
        <v>198</v>
      </c>
    </row>
    <row r="136" spans="1:196">
      <c r="A136" s="19">
        <v>46316.90545534722</v>
      </c>
      <c r="B136">
        <v>0.4</v>
      </c>
      <c r="C136">
        <v>0</v>
      </c>
      <c r="D136">
        <v>278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-0.5</v>
      </c>
      <c r="L136">
        <v>0.6</v>
      </c>
      <c r="M136">
        <v>584.8</v>
      </c>
      <c r="N136">
        <v>0</v>
      </c>
      <c r="O136">
        <v>0.6</v>
      </c>
      <c r="P136">
        <v>0.603</v>
      </c>
      <c r="Q136">
        <v>0</v>
      </c>
      <c r="R136">
        <v>0</v>
      </c>
      <c r="S136">
        <v>115.6</v>
      </c>
      <c r="T136" t="s">
        <v>477</v>
      </c>
      <c r="U136">
        <v>115.7</v>
      </c>
      <c r="V136">
        <v>73410.8</v>
      </c>
      <c r="W136">
        <v>3</v>
      </c>
      <c r="X136" t="s">
        <v>197</v>
      </c>
      <c r="Y136">
        <v>0</v>
      </c>
      <c r="Z136">
        <v>98</v>
      </c>
      <c r="AA136">
        <v>278</v>
      </c>
      <c r="AB136" t="s">
        <v>197</v>
      </c>
      <c r="AC136" t="s">
        <v>198</v>
      </c>
      <c r="AD136" t="s">
        <v>199</v>
      </c>
      <c r="AE136">
        <v>32</v>
      </c>
      <c r="AF136">
        <v>44</v>
      </c>
      <c r="AG136">
        <v>255</v>
      </c>
      <c r="AH136">
        <v>0</v>
      </c>
      <c r="AI136">
        <v>0</v>
      </c>
      <c r="AJ136">
        <v>0</v>
      </c>
      <c r="AK136">
        <v>12.6</v>
      </c>
      <c r="AL136">
        <v>0</v>
      </c>
      <c r="AM136">
        <v>0</v>
      </c>
      <c r="AN136" t="s">
        <v>197</v>
      </c>
      <c r="AO136">
        <v>100</v>
      </c>
      <c r="AP136" t="s">
        <v>197</v>
      </c>
      <c r="AQ136" t="s">
        <v>200</v>
      </c>
      <c r="AR136">
        <v>1</v>
      </c>
      <c r="AS136">
        <v>0</v>
      </c>
      <c r="AT136" t="s">
        <v>478</v>
      </c>
      <c r="AU136" t="s">
        <v>478</v>
      </c>
      <c r="AV136" t="s">
        <v>202</v>
      </c>
      <c r="AW136" t="s">
        <v>203</v>
      </c>
      <c r="AX136" t="s">
        <v>203</v>
      </c>
      <c r="AY136" t="s">
        <v>203</v>
      </c>
      <c r="AZ136" t="s">
        <v>203</v>
      </c>
      <c r="BA136" t="s">
        <v>203</v>
      </c>
      <c r="BB136" t="s">
        <v>203</v>
      </c>
      <c r="BC136" t="s">
        <v>203</v>
      </c>
      <c r="BD136" t="s">
        <v>203</v>
      </c>
      <c r="BE136" t="s">
        <v>203</v>
      </c>
      <c r="BF136">
        <v>0</v>
      </c>
      <c r="BG136">
        <v>0.2</v>
      </c>
      <c r="BH136">
        <v>50</v>
      </c>
      <c r="BI136">
        <v>0</v>
      </c>
      <c r="BJ136" t="s">
        <v>198</v>
      </c>
      <c r="BK136" t="s">
        <v>198</v>
      </c>
      <c r="BL136" t="s">
        <v>198</v>
      </c>
      <c r="BM136" t="s">
        <v>198</v>
      </c>
      <c r="BN136" t="s">
        <v>198</v>
      </c>
      <c r="BO136" t="s">
        <v>198</v>
      </c>
      <c r="BP136" t="s">
        <v>198</v>
      </c>
      <c r="BQ136" t="s">
        <v>198</v>
      </c>
      <c r="BR136" t="s">
        <v>198</v>
      </c>
      <c r="BS136" t="s">
        <v>198</v>
      </c>
      <c r="BT136" t="s">
        <v>198</v>
      </c>
      <c r="BU136" t="s">
        <v>198</v>
      </c>
      <c r="BV136" t="s">
        <v>198</v>
      </c>
      <c r="BW136" t="s">
        <v>198</v>
      </c>
      <c r="BX136" t="s">
        <v>198</v>
      </c>
      <c r="BY136" t="s">
        <v>198</v>
      </c>
      <c r="BZ136" t="s">
        <v>198</v>
      </c>
      <c r="CA136" t="s">
        <v>198</v>
      </c>
      <c r="CB136" t="s">
        <v>204</v>
      </c>
      <c r="CC136" t="s">
        <v>204</v>
      </c>
      <c r="CD136" t="s">
        <v>204</v>
      </c>
      <c r="CE136" t="s">
        <v>204</v>
      </c>
      <c r="CF136" t="s">
        <v>204</v>
      </c>
      <c r="CG136" t="s">
        <v>204</v>
      </c>
      <c r="CH136" t="s">
        <v>204</v>
      </c>
      <c r="CI136" t="s">
        <v>204</v>
      </c>
      <c r="CJ136" t="s">
        <v>204</v>
      </c>
      <c r="CK136" t="s">
        <v>204</v>
      </c>
      <c r="CL136" t="s">
        <v>204</v>
      </c>
      <c r="CM136" t="s">
        <v>204</v>
      </c>
      <c r="CN136" t="s">
        <v>203</v>
      </c>
      <c r="CO136" t="s">
        <v>203</v>
      </c>
      <c r="CP136" t="s">
        <v>203</v>
      </c>
      <c r="CQ136" t="s">
        <v>203</v>
      </c>
      <c r="CR136" t="s">
        <v>203</v>
      </c>
      <c r="CS136" t="s">
        <v>203</v>
      </c>
      <c r="CT136" t="s">
        <v>203</v>
      </c>
      <c r="CU136" t="s">
        <v>203</v>
      </c>
      <c r="CV136">
        <v>0</v>
      </c>
      <c r="CW136">
        <v>0</v>
      </c>
      <c r="CX136" t="s">
        <v>198</v>
      </c>
      <c r="CY136" t="s">
        <v>198</v>
      </c>
      <c r="CZ136" t="s">
        <v>198</v>
      </c>
      <c r="DA136" t="s">
        <v>198</v>
      </c>
      <c r="DB136" t="s">
        <v>198</v>
      </c>
      <c r="DC136">
        <v>0</v>
      </c>
      <c r="DD136">
        <v>0</v>
      </c>
      <c r="DE136">
        <v>0</v>
      </c>
      <c r="DF136">
        <v>0</v>
      </c>
      <c r="DG136">
        <v>-35.3631166</v>
      </c>
      <c r="DH136">
        <v>149.1639735</v>
      </c>
      <c r="DI136" t="s">
        <v>360</v>
      </c>
      <c r="DJ136">
        <v>1.2</v>
      </c>
      <c r="DK136">
        <v>2</v>
      </c>
      <c r="DL136">
        <v>142.3</v>
      </c>
      <c r="DM136">
        <v>0</v>
      </c>
      <c r="DN136">
        <v>6</v>
      </c>
      <c r="DO136">
        <v>10</v>
      </c>
      <c r="DP136">
        <v>0</v>
      </c>
      <c r="DQ136">
        <v>255</v>
      </c>
      <c r="DR136">
        <v>255</v>
      </c>
      <c r="DS136">
        <v>255</v>
      </c>
      <c r="DT136">
        <v>255</v>
      </c>
      <c r="DU136">
        <v>255</v>
      </c>
      <c r="DV136">
        <v>255</v>
      </c>
      <c r="DW136">
        <v>255</v>
      </c>
      <c r="DX136" t="s">
        <v>206</v>
      </c>
      <c r="DY136" t="s">
        <v>206</v>
      </c>
      <c r="DZ136" t="s">
        <v>207</v>
      </c>
      <c r="EA136" t="s">
        <v>198</v>
      </c>
      <c r="EB136" t="s">
        <v>198</v>
      </c>
      <c r="EC136" t="s">
        <v>198</v>
      </c>
      <c r="ED136">
        <v>0</v>
      </c>
      <c r="EE136">
        <v>0</v>
      </c>
      <c r="EF136">
        <v>0</v>
      </c>
      <c r="EG136">
        <v>0</v>
      </c>
      <c r="EH136">
        <v>255</v>
      </c>
      <c r="EI136">
        <v>255</v>
      </c>
      <c r="EJ136">
        <v>255</v>
      </c>
      <c r="EK136">
        <v>255</v>
      </c>
      <c r="EL136">
        <v>255</v>
      </c>
      <c r="EM136">
        <v>255</v>
      </c>
      <c r="EN136">
        <v>255</v>
      </c>
      <c r="EO136">
        <v>255</v>
      </c>
      <c r="EP136">
        <v>255</v>
      </c>
      <c r="EQ136">
        <v>255</v>
      </c>
      <c r="ER136" t="s">
        <v>208</v>
      </c>
      <c r="ES136" t="s">
        <v>209</v>
      </c>
      <c r="ET136" t="s">
        <v>209</v>
      </c>
      <c r="EU136">
        <v>0</v>
      </c>
      <c r="EV136">
        <v>16.2</v>
      </c>
      <c r="EW136">
        <v>-114.7</v>
      </c>
      <c r="EX136">
        <v>-0.8</v>
      </c>
      <c r="EY136">
        <v>0</v>
      </c>
      <c r="EZ136">
        <v>0</v>
      </c>
      <c r="FA136">
        <v>0.5</v>
      </c>
      <c r="FB136" t="s">
        <v>198</v>
      </c>
      <c r="FC136" t="s">
        <v>198</v>
      </c>
      <c r="FD136" t="s">
        <v>198</v>
      </c>
      <c r="FE136" t="s">
        <v>198</v>
      </c>
      <c r="FF136" t="s">
        <v>198</v>
      </c>
      <c r="FG136" t="s">
        <v>198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 t="s">
        <v>203</v>
      </c>
      <c r="FP136" t="s">
        <v>203</v>
      </c>
      <c r="FQ136" t="s">
        <v>203</v>
      </c>
      <c r="FR136" t="s">
        <v>203</v>
      </c>
      <c r="FS136" t="s">
        <v>203</v>
      </c>
      <c r="FT136" t="s">
        <v>203</v>
      </c>
      <c r="FU136" t="s">
        <v>198</v>
      </c>
      <c r="FV136" t="s">
        <v>198</v>
      </c>
      <c r="FW136" t="s">
        <v>198</v>
      </c>
      <c r="FX136" t="s">
        <v>198</v>
      </c>
      <c r="FY136" t="s">
        <v>198</v>
      </c>
      <c r="FZ136" t="s">
        <v>198</v>
      </c>
      <c r="GA136">
        <v>31.19</v>
      </c>
      <c r="GB136">
        <v>31.19</v>
      </c>
      <c r="GC136" t="s">
        <v>203</v>
      </c>
      <c r="GD136">
        <v>0</v>
      </c>
      <c r="GE136">
        <v>504</v>
      </c>
      <c r="GF136">
        <v>0</v>
      </c>
      <c r="GG136">
        <v>0.1</v>
      </c>
      <c r="GH136">
        <v>0.6</v>
      </c>
      <c r="GI136">
        <v>0</v>
      </c>
      <c r="GJ136">
        <v>0</v>
      </c>
      <c r="GK136">
        <v>0</v>
      </c>
      <c r="GL136" t="s">
        <v>198</v>
      </c>
      <c r="GM136" t="s">
        <v>198</v>
      </c>
      <c r="GN136" t="s">
        <v>198</v>
      </c>
    </row>
    <row r="137" spans="1:196">
      <c r="A137" s="19">
        <v>46316.90546693287</v>
      </c>
      <c r="B137">
        <v>0.2</v>
      </c>
      <c r="C137">
        <v>0</v>
      </c>
      <c r="D137">
        <v>278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0.001</v>
      </c>
      <c r="K137">
        <v>-0.5</v>
      </c>
      <c r="L137">
        <v>0.1</v>
      </c>
      <c r="M137">
        <v>584.3</v>
      </c>
      <c r="N137">
        <v>-0.5</v>
      </c>
      <c r="O137">
        <v>0.1</v>
      </c>
      <c r="P137">
        <v>0.103</v>
      </c>
      <c r="Q137">
        <v>0</v>
      </c>
      <c r="R137">
        <v>0</v>
      </c>
      <c r="S137">
        <v>115.6</v>
      </c>
      <c r="T137" t="s">
        <v>479</v>
      </c>
      <c r="U137">
        <v>115.7</v>
      </c>
      <c r="V137">
        <v>86531.5</v>
      </c>
      <c r="W137">
        <v>3</v>
      </c>
      <c r="X137" t="s">
        <v>197</v>
      </c>
      <c r="Y137">
        <v>0</v>
      </c>
      <c r="Z137">
        <v>98</v>
      </c>
      <c r="AA137">
        <v>278</v>
      </c>
      <c r="AB137" t="s">
        <v>197</v>
      </c>
      <c r="AC137" t="s">
        <v>198</v>
      </c>
      <c r="AD137" t="s">
        <v>199</v>
      </c>
      <c r="AE137">
        <v>32</v>
      </c>
      <c r="AF137">
        <v>44</v>
      </c>
      <c r="AG137">
        <v>255</v>
      </c>
      <c r="AH137">
        <v>0</v>
      </c>
      <c r="AI137">
        <v>0</v>
      </c>
      <c r="AJ137">
        <v>0</v>
      </c>
      <c r="AK137">
        <v>12.6</v>
      </c>
      <c r="AL137">
        <v>0</v>
      </c>
      <c r="AM137">
        <v>0</v>
      </c>
      <c r="AN137" t="s">
        <v>197</v>
      </c>
      <c r="AO137">
        <v>100</v>
      </c>
      <c r="AP137" t="s">
        <v>197</v>
      </c>
      <c r="AQ137" t="s">
        <v>200</v>
      </c>
      <c r="AR137">
        <v>1</v>
      </c>
      <c r="AS137">
        <v>0</v>
      </c>
      <c r="AT137" t="s">
        <v>480</v>
      </c>
      <c r="AU137" t="s">
        <v>480</v>
      </c>
      <c r="AV137" t="s">
        <v>202</v>
      </c>
      <c r="AW137" t="s">
        <v>203</v>
      </c>
      <c r="AX137" t="s">
        <v>203</v>
      </c>
      <c r="AY137" t="s">
        <v>203</v>
      </c>
      <c r="AZ137" t="s">
        <v>203</v>
      </c>
      <c r="BA137" t="s">
        <v>203</v>
      </c>
      <c r="BB137" t="s">
        <v>203</v>
      </c>
      <c r="BC137" t="s">
        <v>203</v>
      </c>
      <c r="BD137" t="s">
        <v>203</v>
      </c>
      <c r="BE137" t="s">
        <v>203</v>
      </c>
      <c r="BF137">
        <v>0</v>
      </c>
      <c r="BG137">
        <v>0.2</v>
      </c>
      <c r="BH137">
        <v>50</v>
      </c>
      <c r="BI137">
        <v>0</v>
      </c>
      <c r="BJ137" t="s">
        <v>198</v>
      </c>
      <c r="BK137" t="s">
        <v>198</v>
      </c>
      <c r="BL137" t="s">
        <v>198</v>
      </c>
      <c r="BM137" t="s">
        <v>198</v>
      </c>
      <c r="BN137" t="s">
        <v>198</v>
      </c>
      <c r="BO137" t="s">
        <v>198</v>
      </c>
      <c r="BP137" t="s">
        <v>198</v>
      </c>
      <c r="BQ137" t="s">
        <v>198</v>
      </c>
      <c r="BR137" t="s">
        <v>198</v>
      </c>
      <c r="BS137" t="s">
        <v>198</v>
      </c>
      <c r="BT137" t="s">
        <v>198</v>
      </c>
      <c r="BU137" t="s">
        <v>198</v>
      </c>
      <c r="BV137" t="s">
        <v>198</v>
      </c>
      <c r="BW137" t="s">
        <v>198</v>
      </c>
      <c r="BX137" t="s">
        <v>198</v>
      </c>
      <c r="BY137" t="s">
        <v>198</v>
      </c>
      <c r="BZ137" t="s">
        <v>198</v>
      </c>
      <c r="CA137" t="s">
        <v>198</v>
      </c>
      <c r="CB137" t="s">
        <v>204</v>
      </c>
      <c r="CC137" t="s">
        <v>204</v>
      </c>
      <c r="CD137" t="s">
        <v>204</v>
      </c>
      <c r="CE137" t="s">
        <v>204</v>
      </c>
      <c r="CF137" t="s">
        <v>204</v>
      </c>
      <c r="CG137" t="s">
        <v>204</v>
      </c>
      <c r="CH137" t="s">
        <v>204</v>
      </c>
      <c r="CI137" t="s">
        <v>204</v>
      </c>
      <c r="CJ137" t="s">
        <v>204</v>
      </c>
      <c r="CK137" t="s">
        <v>204</v>
      </c>
      <c r="CL137" t="s">
        <v>204</v>
      </c>
      <c r="CM137" t="s">
        <v>204</v>
      </c>
      <c r="CN137" t="s">
        <v>203</v>
      </c>
      <c r="CO137" t="s">
        <v>203</v>
      </c>
      <c r="CP137" t="s">
        <v>203</v>
      </c>
      <c r="CQ137" t="s">
        <v>203</v>
      </c>
      <c r="CR137" t="s">
        <v>203</v>
      </c>
      <c r="CS137" t="s">
        <v>203</v>
      </c>
      <c r="CT137" t="s">
        <v>203</v>
      </c>
      <c r="CU137" t="s">
        <v>203</v>
      </c>
      <c r="CV137">
        <v>0</v>
      </c>
      <c r="CW137">
        <v>0</v>
      </c>
      <c r="CX137" t="s">
        <v>198</v>
      </c>
      <c r="CY137" t="s">
        <v>198</v>
      </c>
      <c r="CZ137" t="s">
        <v>198</v>
      </c>
      <c r="DA137" t="s">
        <v>198</v>
      </c>
      <c r="DB137" t="s">
        <v>198</v>
      </c>
      <c r="DC137">
        <v>0</v>
      </c>
      <c r="DD137">
        <v>0</v>
      </c>
      <c r="DE137">
        <v>0</v>
      </c>
      <c r="DF137">
        <v>0</v>
      </c>
      <c r="DG137">
        <v>-35.3631166</v>
      </c>
      <c r="DH137">
        <v>149.1639735</v>
      </c>
      <c r="DI137" t="s">
        <v>360</v>
      </c>
      <c r="DJ137">
        <v>1.2</v>
      </c>
      <c r="DK137">
        <v>2</v>
      </c>
      <c r="DL137">
        <v>186.4</v>
      </c>
      <c r="DM137">
        <v>0</v>
      </c>
      <c r="DN137">
        <v>6</v>
      </c>
      <c r="DO137">
        <v>10</v>
      </c>
      <c r="DP137">
        <v>0</v>
      </c>
      <c r="DQ137">
        <v>255</v>
      </c>
      <c r="DR137">
        <v>255</v>
      </c>
      <c r="DS137">
        <v>255</v>
      </c>
      <c r="DT137">
        <v>255</v>
      </c>
      <c r="DU137">
        <v>255</v>
      </c>
      <c r="DV137">
        <v>255</v>
      </c>
      <c r="DW137">
        <v>255</v>
      </c>
      <c r="DX137" t="s">
        <v>206</v>
      </c>
      <c r="DY137" t="s">
        <v>206</v>
      </c>
      <c r="DZ137" t="s">
        <v>207</v>
      </c>
      <c r="EA137" t="s">
        <v>198</v>
      </c>
      <c r="EB137" t="s">
        <v>198</v>
      </c>
      <c r="EC137" t="s">
        <v>198</v>
      </c>
      <c r="ED137">
        <v>0</v>
      </c>
      <c r="EE137">
        <v>0</v>
      </c>
      <c r="EF137">
        <v>0</v>
      </c>
      <c r="EG137">
        <v>0</v>
      </c>
      <c r="EH137">
        <v>255</v>
      </c>
      <c r="EI137">
        <v>255</v>
      </c>
      <c r="EJ137">
        <v>255</v>
      </c>
      <c r="EK137">
        <v>255</v>
      </c>
      <c r="EL137">
        <v>255</v>
      </c>
      <c r="EM137">
        <v>255</v>
      </c>
      <c r="EN137">
        <v>255</v>
      </c>
      <c r="EO137">
        <v>255</v>
      </c>
      <c r="EP137">
        <v>255</v>
      </c>
      <c r="EQ137">
        <v>255</v>
      </c>
      <c r="ER137" t="s">
        <v>208</v>
      </c>
      <c r="ES137" t="s">
        <v>209</v>
      </c>
      <c r="ET137" t="s">
        <v>209</v>
      </c>
      <c r="EU137">
        <v>0</v>
      </c>
      <c r="EV137">
        <v>16.2</v>
      </c>
      <c r="EW137">
        <v>-114.7</v>
      </c>
      <c r="EX137">
        <v>-0.3</v>
      </c>
      <c r="EY137">
        <v>0</v>
      </c>
      <c r="EZ137">
        <v>0</v>
      </c>
      <c r="FA137">
        <v>0.5</v>
      </c>
      <c r="FB137" t="s">
        <v>198</v>
      </c>
      <c r="FC137" t="s">
        <v>198</v>
      </c>
      <c r="FD137" t="s">
        <v>198</v>
      </c>
      <c r="FE137" t="s">
        <v>198</v>
      </c>
      <c r="FF137" t="s">
        <v>198</v>
      </c>
      <c r="FG137" t="s">
        <v>198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203</v>
      </c>
      <c r="FP137" t="s">
        <v>203</v>
      </c>
      <c r="FQ137" t="s">
        <v>203</v>
      </c>
      <c r="FR137" t="s">
        <v>203</v>
      </c>
      <c r="FS137" t="s">
        <v>203</v>
      </c>
      <c r="FT137" t="s">
        <v>203</v>
      </c>
      <c r="FU137" t="s">
        <v>198</v>
      </c>
      <c r="FV137" t="s">
        <v>198</v>
      </c>
      <c r="FW137" t="s">
        <v>198</v>
      </c>
      <c r="FX137" t="s">
        <v>198</v>
      </c>
      <c r="FY137" t="s">
        <v>198</v>
      </c>
      <c r="FZ137" t="s">
        <v>198</v>
      </c>
      <c r="GA137">
        <v>31.2</v>
      </c>
      <c r="GB137">
        <v>31.2</v>
      </c>
      <c r="GC137" t="s">
        <v>203</v>
      </c>
      <c r="GD137">
        <v>0</v>
      </c>
      <c r="GE137">
        <v>504</v>
      </c>
      <c r="GF137">
        <v>0</v>
      </c>
      <c r="GG137">
        <v>0.1</v>
      </c>
      <c r="GH137">
        <v>0.6</v>
      </c>
      <c r="GI137">
        <v>0</v>
      </c>
      <c r="GJ137">
        <v>0</v>
      </c>
      <c r="GK137">
        <v>0</v>
      </c>
      <c r="GL137" t="s">
        <v>198</v>
      </c>
      <c r="GM137" t="s">
        <v>198</v>
      </c>
      <c r="GN137" t="s">
        <v>198</v>
      </c>
    </row>
    <row r="138" spans="1:196">
      <c r="A138" s="19">
        <v>46316.90547850695</v>
      </c>
      <c r="B138">
        <v>0</v>
      </c>
      <c r="C138">
        <v>0</v>
      </c>
      <c r="D138">
        <v>277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584.2</v>
      </c>
      <c r="N138">
        <v>-0.5</v>
      </c>
      <c r="O138">
        <v>0</v>
      </c>
      <c r="P138">
        <v>-0.397</v>
      </c>
      <c r="Q138">
        <v>0</v>
      </c>
      <c r="R138">
        <v>0</v>
      </c>
      <c r="S138">
        <v>115.6</v>
      </c>
      <c r="T138" t="s">
        <v>481</v>
      </c>
      <c r="U138">
        <v>115.7</v>
      </c>
      <c r="V138">
        <v>4826042.2</v>
      </c>
      <c r="W138">
        <v>3</v>
      </c>
      <c r="X138" t="s">
        <v>197</v>
      </c>
      <c r="Y138">
        <v>0</v>
      </c>
      <c r="Z138">
        <v>98</v>
      </c>
      <c r="AA138">
        <v>278</v>
      </c>
      <c r="AB138" t="s">
        <v>197</v>
      </c>
      <c r="AC138" t="s">
        <v>198</v>
      </c>
      <c r="AD138" t="s">
        <v>199</v>
      </c>
      <c r="AE138">
        <v>0</v>
      </c>
      <c r="AF138">
        <v>44</v>
      </c>
      <c r="AG138">
        <v>255</v>
      </c>
      <c r="AH138">
        <v>0</v>
      </c>
      <c r="AI138">
        <v>0</v>
      </c>
      <c r="AJ138">
        <v>0</v>
      </c>
      <c r="AK138">
        <v>12.6</v>
      </c>
      <c r="AL138">
        <v>0</v>
      </c>
      <c r="AM138">
        <v>0</v>
      </c>
      <c r="AN138" t="s">
        <v>197</v>
      </c>
      <c r="AO138">
        <v>100</v>
      </c>
      <c r="AP138" t="s">
        <v>197</v>
      </c>
      <c r="AQ138" t="s">
        <v>200</v>
      </c>
      <c r="AR138">
        <v>1</v>
      </c>
      <c r="AS138">
        <v>0</v>
      </c>
      <c r="AT138" t="s">
        <v>482</v>
      </c>
      <c r="AU138" t="s">
        <v>482</v>
      </c>
      <c r="AV138" t="s">
        <v>202</v>
      </c>
      <c r="AW138" t="s">
        <v>203</v>
      </c>
      <c r="AX138" t="s">
        <v>203</v>
      </c>
      <c r="AY138" t="s">
        <v>203</v>
      </c>
      <c r="AZ138" t="s">
        <v>203</v>
      </c>
      <c r="BA138" t="s">
        <v>203</v>
      </c>
      <c r="BB138" t="s">
        <v>203</v>
      </c>
      <c r="BC138" t="s">
        <v>203</v>
      </c>
      <c r="BD138" t="s">
        <v>203</v>
      </c>
      <c r="BE138" t="s">
        <v>203</v>
      </c>
      <c r="BF138">
        <v>0</v>
      </c>
      <c r="BG138">
        <v>0.2</v>
      </c>
      <c r="BH138">
        <v>50</v>
      </c>
      <c r="BI138">
        <v>0</v>
      </c>
      <c r="BJ138" t="s">
        <v>198</v>
      </c>
      <c r="BK138" t="s">
        <v>198</v>
      </c>
      <c r="BL138" t="s">
        <v>198</v>
      </c>
      <c r="BM138" t="s">
        <v>198</v>
      </c>
      <c r="BN138" t="s">
        <v>198</v>
      </c>
      <c r="BO138" t="s">
        <v>198</v>
      </c>
      <c r="BP138" t="s">
        <v>198</v>
      </c>
      <c r="BQ138" t="s">
        <v>198</v>
      </c>
      <c r="BR138" t="s">
        <v>198</v>
      </c>
      <c r="BS138" t="s">
        <v>198</v>
      </c>
      <c r="BT138" t="s">
        <v>198</v>
      </c>
      <c r="BU138" t="s">
        <v>198</v>
      </c>
      <c r="BV138" t="s">
        <v>198</v>
      </c>
      <c r="BW138" t="s">
        <v>198</v>
      </c>
      <c r="BX138" t="s">
        <v>198</v>
      </c>
      <c r="BY138" t="s">
        <v>198</v>
      </c>
      <c r="BZ138" t="s">
        <v>198</v>
      </c>
      <c r="CA138" t="s">
        <v>198</v>
      </c>
      <c r="CB138" t="s">
        <v>204</v>
      </c>
      <c r="CC138" t="s">
        <v>204</v>
      </c>
      <c r="CD138" t="s">
        <v>204</v>
      </c>
      <c r="CE138" t="s">
        <v>204</v>
      </c>
      <c r="CF138" t="s">
        <v>204</v>
      </c>
      <c r="CG138" t="s">
        <v>204</v>
      </c>
      <c r="CH138" t="s">
        <v>204</v>
      </c>
      <c r="CI138" t="s">
        <v>204</v>
      </c>
      <c r="CJ138" t="s">
        <v>204</v>
      </c>
      <c r="CK138" t="s">
        <v>204</v>
      </c>
      <c r="CL138" t="s">
        <v>204</v>
      </c>
      <c r="CM138" t="s">
        <v>204</v>
      </c>
      <c r="CN138" t="s">
        <v>203</v>
      </c>
      <c r="CO138" t="s">
        <v>203</v>
      </c>
      <c r="CP138" t="s">
        <v>203</v>
      </c>
      <c r="CQ138" t="s">
        <v>203</v>
      </c>
      <c r="CR138" t="s">
        <v>203</v>
      </c>
      <c r="CS138" t="s">
        <v>203</v>
      </c>
      <c r="CT138" t="s">
        <v>203</v>
      </c>
      <c r="CU138" t="s">
        <v>203</v>
      </c>
      <c r="CV138">
        <v>0</v>
      </c>
      <c r="CW138">
        <v>0</v>
      </c>
      <c r="CX138" t="s">
        <v>198</v>
      </c>
      <c r="CY138" t="s">
        <v>198</v>
      </c>
      <c r="CZ138" t="s">
        <v>198</v>
      </c>
      <c r="DA138" t="s">
        <v>198</v>
      </c>
      <c r="DB138" t="s">
        <v>198</v>
      </c>
      <c r="DC138">
        <v>0</v>
      </c>
      <c r="DD138">
        <v>0</v>
      </c>
      <c r="DE138">
        <v>0</v>
      </c>
      <c r="DF138">
        <v>0</v>
      </c>
      <c r="DG138">
        <v>-35.3631166</v>
      </c>
      <c r="DH138">
        <v>149.1639735</v>
      </c>
      <c r="DI138" t="s">
        <v>360</v>
      </c>
      <c r="DJ138">
        <v>1.2</v>
      </c>
      <c r="DK138">
        <v>2</v>
      </c>
      <c r="DL138">
        <v>180.6</v>
      </c>
      <c r="DM138">
        <v>0</v>
      </c>
      <c r="DN138">
        <v>6</v>
      </c>
      <c r="DO138">
        <v>10</v>
      </c>
      <c r="DP138">
        <v>0</v>
      </c>
      <c r="DQ138">
        <v>255</v>
      </c>
      <c r="DR138">
        <v>255</v>
      </c>
      <c r="DS138">
        <v>255</v>
      </c>
      <c r="DT138">
        <v>255</v>
      </c>
      <c r="DU138">
        <v>255</v>
      </c>
      <c r="DV138">
        <v>255</v>
      </c>
      <c r="DW138">
        <v>255</v>
      </c>
      <c r="DX138" t="s">
        <v>206</v>
      </c>
      <c r="DY138" t="s">
        <v>206</v>
      </c>
      <c r="DZ138" t="s">
        <v>207</v>
      </c>
      <c r="EA138" t="s">
        <v>198</v>
      </c>
      <c r="EB138" t="s">
        <v>198</v>
      </c>
      <c r="EC138" t="s">
        <v>198</v>
      </c>
      <c r="ED138">
        <v>0</v>
      </c>
      <c r="EE138">
        <v>0</v>
      </c>
      <c r="EF138">
        <v>0</v>
      </c>
      <c r="EG138">
        <v>0</v>
      </c>
      <c r="EH138">
        <v>255</v>
      </c>
      <c r="EI138">
        <v>255</v>
      </c>
      <c r="EJ138">
        <v>255</v>
      </c>
      <c r="EK138">
        <v>255</v>
      </c>
      <c r="EL138">
        <v>255</v>
      </c>
      <c r="EM138">
        <v>255</v>
      </c>
      <c r="EN138">
        <v>255</v>
      </c>
      <c r="EO138">
        <v>255</v>
      </c>
      <c r="EP138">
        <v>255</v>
      </c>
      <c r="EQ138">
        <v>255</v>
      </c>
      <c r="ER138" t="s">
        <v>208</v>
      </c>
      <c r="ES138" t="s">
        <v>209</v>
      </c>
      <c r="ET138" t="s">
        <v>209</v>
      </c>
      <c r="EU138">
        <v>0</v>
      </c>
      <c r="EV138">
        <v>16.2</v>
      </c>
      <c r="EW138">
        <v>-114.7</v>
      </c>
      <c r="EX138">
        <v>-0.2</v>
      </c>
      <c r="EY138">
        <v>0</v>
      </c>
      <c r="EZ138">
        <v>0</v>
      </c>
      <c r="FA138">
        <v>0</v>
      </c>
      <c r="FB138" t="s">
        <v>198</v>
      </c>
      <c r="FC138" t="s">
        <v>198</v>
      </c>
      <c r="FD138" t="s">
        <v>198</v>
      </c>
      <c r="FE138" t="s">
        <v>198</v>
      </c>
      <c r="FF138" t="s">
        <v>198</v>
      </c>
      <c r="FG138" t="s">
        <v>198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203</v>
      </c>
      <c r="FP138" t="s">
        <v>203</v>
      </c>
      <c r="FQ138" t="s">
        <v>203</v>
      </c>
      <c r="FR138" t="s">
        <v>203</v>
      </c>
      <c r="FS138" t="s">
        <v>203</v>
      </c>
      <c r="FT138" t="s">
        <v>203</v>
      </c>
      <c r="FU138" t="s">
        <v>198</v>
      </c>
      <c r="FV138" t="s">
        <v>198</v>
      </c>
      <c r="FW138" t="s">
        <v>198</v>
      </c>
      <c r="FX138" t="s">
        <v>198</v>
      </c>
      <c r="FY138" t="s">
        <v>198</v>
      </c>
      <c r="FZ138" t="s">
        <v>198</v>
      </c>
      <c r="GA138">
        <v>31.2</v>
      </c>
      <c r="GB138">
        <v>31.2</v>
      </c>
      <c r="GC138" t="s">
        <v>203</v>
      </c>
      <c r="GD138">
        <v>0</v>
      </c>
      <c r="GE138">
        <v>504</v>
      </c>
      <c r="GF138">
        <v>0</v>
      </c>
      <c r="GG138">
        <v>0</v>
      </c>
      <c r="GH138">
        <v>0.3</v>
      </c>
      <c r="GI138">
        <v>1</v>
      </c>
      <c r="GJ138">
        <v>1</v>
      </c>
      <c r="GK138">
        <v>0</v>
      </c>
      <c r="GL138" t="s">
        <v>198</v>
      </c>
      <c r="GM138" t="s">
        <v>198</v>
      </c>
      <c r="GN138" t="s">
        <v>198</v>
      </c>
    </row>
    <row r="139" spans="1:196">
      <c r="A139" s="19">
        <v>46316.90549008102</v>
      </c>
      <c r="B139">
        <v>0</v>
      </c>
      <c r="C139">
        <v>0</v>
      </c>
      <c r="D139">
        <v>277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584.2</v>
      </c>
      <c r="N139">
        <v>-0.5</v>
      </c>
      <c r="O139">
        <v>0</v>
      </c>
      <c r="P139">
        <v>0</v>
      </c>
      <c r="Q139">
        <v>0</v>
      </c>
      <c r="R139">
        <v>0</v>
      </c>
      <c r="S139">
        <v>115.6</v>
      </c>
      <c r="T139" t="s">
        <v>483</v>
      </c>
      <c r="U139">
        <v>115.7</v>
      </c>
      <c r="V139">
        <v>171196263486</v>
      </c>
      <c r="W139">
        <v>3</v>
      </c>
      <c r="X139" t="s">
        <v>197</v>
      </c>
      <c r="Y139">
        <v>0</v>
      </c>
      <c r="Z139">
        <v>98</v>
      </c>
      <c r="AA139">
        <v>278</v>
      </c>
      <c r="AB139" t="s">
        <v>197</v>
      </c>
      <c r="AC139" t="s">
        <v>198</v>
      </c>
      <c r="AD139" t="s">
        <v>199</v>
      </c>
      <c r="AE139">
        <v>0</v>
      </c>
      <c r="AF139">
        <v>44</v>
      </c>
      <c r="AG139">
        <v>255</v>
      </c>
      <c r="AH139">
        <v>0</v>
      </c>
      <c r="AI139">
        <v>0</v>
      </c>
      <c r="AJ139">
        <v>0</v>
      </c>
      <c r="AK139">
        <v>12.6</v>
      </c>
      <c r="AL139">
        <v>0</v>
      </c>
      <c r="AM139">
        <v>0</v>
      </c>
      <c r="AN139" t="s">
        <v>197</v>
      </c>
      <c r="AO139">
        <v>100</v>
      </c>
      <c r="AP139" t="s">
        <v>197</v>
      </c>
      <c r="AQ139" t="s">
        <v>200</v>
      </c>
      <c r="AR139">
        <v>1</v>
      </c>
      <c r="AS139">
        <v>0</v>
      </c>
      <c r="AT139" t="s">
        <v>484</v>
      </c>
      <c r="AU139" t="s">
        <v>484</v>
      </c>
      <c r="AV139" t="s">
        <v>202</v>
      </c>
      <c r="AW139" t="s">
        <v>203</v>
      </c>
      <c r="AX139" t="s">
        <v>203</v>
      </c>
      <c r="AY139" t="s">
        <v>203</v>
      </c>
      <c r="AZ139" t="s">
        <v>203</v>
      </c>
      <c r="BA139" t="s">
        <v>203</v>
      </c>
      <c r="BB139" t="s">
        <v>203</v>
      </c>
      <c r="BC139" t="s">
        <v>203</v>
      </c>
      <c r="BD139" t="s">
        <v>203</v>
      </c>
      <c r="BE139" t="s">
        <v>203</v>
      </c>
      <c r="BF139">
        <v>0</v>
      </c>
      <c r="BG139">
        <v>0.2</v>
      </c>
      <c r="BH139">
        <v>50</v>
      </c>
      <c r="BI139">
        <v>0</v>
      </c>
      <c r="BJ139" t="s">
        <v>198</v>
      </c>
      <c r="BK139" t="s">
        <v>198</v>
      </c>
      <c r="BL139" t="s">
        <v>198</v>
      </c>
      <c r="BM139" t="s">
        <v>198</v>
      </c>
      <c r="BN139" t="s">
        <v>198</v>
      </c>
      <c r="BO139" t="s">
        <v>198</v>
      </c>
      <c r="BP139" t="s">
        <v>198</v>
      </c>
      <c r="BQ139" t="s">
        <v>198</v>
      </c>
      <c r="BR139" t="s">
        <v>198</v>
      </c>
      <c r="BS139" t="s">
        <v>198</v>
      </c>
      <c r="BT139" t="s">
        <v>198</v>
      </c>
      <c r="BU139" t="s">
        <v>198</v>
      </c>
      <c r="BV139" t="s">
        <v>198</v>
      </c>
      <c r="BW139" t="s">
        <v>198</v>
      </c>
      <c r="BX139" t="s">
        <v>198</v>
      </c>
      <c r="BY139" t="s">
        <v>198</v>
      </c>
      <c r="BZ139" t="s">
        <v>198</v>
      </c>
      <c r="CA139" t="s">
        <v>198</v>
      </c>
      <c r="CB139" t="s">
        <v>204</v>
      </c>
      <c r="CC139" t="s">
        <v>204</v>
      </c>
      <c r="CD139" t="s">
        <v>204</v>
      </c>
      <c r="CE139" t="s">
        <v>204</v>
      </c>
      <c r="CF139" t="s">
        <v>204</v>
      </c>
      <c r="CG139" t="s">
        <v>204</v>
      </c>
      <c r="CH139" t="s">
        <v>204</v>
      </c>
      <c r="CI139" t="s">
        <v>204</v>
      </c>
      <c r="CJ139" t="s">
        <v>204</v>
      </c>
      <c r="CK139" t="s">
        <v>204</v>
      </c>
      <c r="CL139" t="s">
        <v>204</v>
      </c>
      <c r="CM139" t="s">
        <v>204</v>
      </c>
      <c r="CN139" t="s">
        <v>203</v>
      </c>
      <c r="CO139" t="s">
        <v>203</v>
      </c>
      <c r="CP139" t="s">
        <v>203</v>
      </c>
      <c r="CQ139" t="s">
        <v>203</v>
      </c>
      <c r="CR139" t="s">
        <v>203</v>
      </c>
      <c r="CS139" t="s">
        <v>203</v>
      </c>
      <c r="CT139" t="s">
        <v>203</v>
      </c>
      <c r="CU139" t="s">
        <v>203</v>
      </c>
      <c r="CV139">
        <v>0</v>
      </c>
      <c r="CW139">
        <v>0</v>
      </c>
      <c r="CX139" t="s">
        <v>198</v>
      </c>
      <c r="CY139" t="s">
        <v>198</v>
      </c>
      <c r="CZ139" t="s">
        <v>198</v>
      </c>
      <c r="DA139" t="s">
        <v>198</v>
      </c>
      <c r="DB139" t="s">
        <v>198</v>
      </c>
      <c r="DC139">
        <v>0</v>
      </c>
      <c r="DD139">
        <v>0</v>
      </c>
      <c r="DE139">
        <v>0</v>
      </c>
      <c r="DF139">
        <v>0</v>
      </c>
      <c r="DG139">
        <v>-35.3631166</v>
      </c>
      <c r="DH139">
        <v>149.1639735</v>
      </c>
      <c r="DI139" t="s">
        <v>360</v>
      </c>
      <c r="DJ139">
        <v>1.2</v>
      </c>
      <c r="DK139">
        <v>2</v>
      </c>
      <c r="DL139">
        <v>152.6</v>
      </c>
      <c r="DM139">
        <v>0</v>
      </c>
      <c r="DN139">
        <v>6</v>
      </c>
      <c r="DO139">
        <v>10</v>
      </c>
      <c r="DP139">
        <v>0</v>
      </c>
      <c r="DQ139">
        <v>255</v>
      </c>
      <c r="DR139">
        <v>255</v>
      </c>
      <c r="DS139">
        <v>255</v>
      </c>
      <c r="DT139">
        <v>255</v>
      </c>
      <c r="DU139">
        <v>255</v>
      </c>
      <c r="DV139">
        <v>255</v>
      </c>
      <c r="DW139">
        <v>255</v>
      </c>
      <c r="DX139" t="s">
        <v>206</v>
      </c>
      <c r="DY139" t="s">
        <v>206</v>
      </c>
      <c r="DZ139" t="s">
        <v>207</v>
      </c>
      <c r="EA139" t="s">
        <v>198</v>
      </c>
      <c r="EB139" t="s">
        <v>198</v>
      </c>
      <c r="EC139" t="s">
        <v>198</v>
      </c>
      <c r="ED139">
        <v>0</v>
      </c>
      <c r="EE139">
        <v>0</v>
      </c>
      <c r="EF139">
        <v>0</v>
      </c>
      <c r="EG139">
        <v>0</v>
      </c>
      <c r="EH139">
        <v>255</v>
      </c>
      <c r="EI139">
        <v>255</v>
      </c>
      <c r="EJ139">
        <v>255</v>
      </c>
      <c r="EK139">
        <v>255</v>
      </c>
      <c r="EL139">
        <v>255</v>
      </c>
      <c r="EM139">
        <v>255</v>
      </c>
      <c r="EN139">
        <v>255</v>
      </c>
      <c r="EO139">
        <v>255</v>
      </c>
      <c r="EP139">
        <v>255</v>
      </c>
      <c r="EQ139">
        <v>255</v>
      </c>
      <c r="ER139" t="s">
        <v>208</v>
      </c>
      <c r="ES139" t="s">
        <v>209</v>
      </c>
      <c r="ET139" t="s">
        <v>209</v>
      </c>
      <c r="EU139">
        <v>0</v>
      </c>
      <c r="EV139">
        <v>16.2</v>
      </c>
      <c r="EW139">
        <v>-114.7</v>
      </c>
      <c r="EX139">
        <v>-0.2</v>
      </c>
      <c r="EY139">
        <v>0</v>
      </c>
      <c r="EZ139">
        <v>0</v>
      </c>
      <c r="FA139">
        <v>0</v>
      </c>
      <c r="FB139" t="s">
        <v>198</v>
      </c>
      <c r="FC139" t="s">
        <v>198</v>
      </c>
      <c r="FD139" t="s">
        <v>198</v>
      </c>
      <c r="FE139" t="s">
        <v>198</v>
      </c>
      <c r="FF139" t="s">
        <v>198</v>
      </c>
      <c r="FG139" t="s">
        <v>198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203</v>
      </c>
      <c r="FP139" t="s">
        <v>203</v>
      </c>
      <c r="FQ139" t="s">
        <v>203</v>
      </c>
      <c r="FR139" t="s">
        <v>203</v>
      </c>
      <c r="FS139" t="s">
        <v>203</v>
      </c>
      <c r="FT139" t="s">
        <v>203</v>
      </c>
      <c r="FU139" t="s">
        <v>198</v>
      </c>
      <c r="FV139" t="s">
        <v>198</v>
      </c>
      <c r="FW139" t="s">
        <v>198</v>
      </c>
      <c r="FX139" t="s">
        <v>198</v>
      </c>
      <c r="FY139" t="s">
        <v>198</v>
      </c>
      <c r="FZ139" t="s">
        <v>198</v>
      </c>
      <c r="GA139">
        <v>31.2</v>
      </c>
      <c r="GB139">
        <v>31.2</v>
      </c>
      <c r="GC139" t="s">
        <v>203</v>
      </c>
      <c r="GD139">
        <v>0</v>
      </c>
      <c r="GE139">
        <v>504</v>
      </c>
      <c r="GF139">
        <v>0</v>
      </c>
      <c r="GG139">
        <v>0</v>
      </c>
      <c r="GH139">
        <v>0</v>
      </c>
      <c r="GI139">
        <v>1</v>
      </c>
      <c r="GJ139">
        <v>1</v>
      </c>
      <c r="GK139">
        <v>0</v>
      </c>
      <c r="GL139" t="s">
        <v>198</v>
      </c>
      <c r="GM139" t="s">
        <v>198</v>
      </c>
      <c r="GN139" t="s">
        <v>198</v>
      </c>
    </row>
    <row r="140" spans="1:196">
      <c r="A140" s="19">
        <v>46316.90550165509</v>
      </c>
      <c r="B140">
        <v>0</v>
      </c>
      <c r="C140">
        <v>0</v>
      </c>
      <c r="D140">
        <v>277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584.2</v>
      </c>
      <c r="N140">
        <v>-0.5</v>
      </c>
      <c r="O140">
        <v>0</v>
      </c>
      <c r="P140">
        <v>0</v>
      </c>
      <c r="Q140">
        <v>0</v>
      </c>
      <c r="R140">
        <v>0</v>
      </c>
      <c r="S140">
        <v>115.6</v>
      </c>
      <c r="T140" t="s">
        <v>485</v>
      </c>
      <c r="U140">
        <v>115.7</v>
      </c>
      <c r="V140">
        <v>1762727256586.8</v>
      </c>
      <c r="W140">
        <v>1</v>
      </c>
      <c r="X140" t="s">
        <v>197</v>
      </c>
      <c r="Y140">
        <v>0</v>
      </c>
      <c r="Z140">
        <v>98</v>
      </c>
      <c r="AA140">
        <v>278</v>
      </c>
      <c r="AB140" t="s">
        <v>197</v>
      </c>
      <c r="AC140" t="s">
        <v>198</v>
      </c>
      <c r="AD140" t="s">
        <v>199</v>
      </c>
      <c r="AE140">
        <v>0</v>
      </c>
      <c r="AF140">
        <v>44</v>
      </c>
      <c r="AG140">
        <v>255</v>
      </c>
      <c r="AH140">
        <v>0</v>
      </c>
      <c r="AI140">
        <v>0</v>
      </c>
      <c r="AJ140">
        <v>0</v>
      </c>
      <c r="AK140">
        <v>12.6</v>
      </c>
      <c r="AL140">
        <v>0</v>
      </c>
      <c r="AM140">
        <v>0</v>
      </c>
      <c r="AN140" t="s">
        <v>197</v>
      </c>
      <c r="AO140">
        <v>100</v>
      </c>
      <c r="AP140" t="s">
        <v>197</v>
      </c>
      <c r="AQ140" t="s">
        <v>200</v>
      </c>
      <c r="AR140">
        <v>1</v>
      </c>
      <c r="AS140">
        <v>0</v>
      </c>
      <c r="AT140" t="s">
        <v>486</v>
      </c>
      <c r="AU140" t="s">
        <v>486</v>
      </c>
      <c r="AV140" t="s">
        <v>202</v>
      </c>
      <c r="AW140" t="s">
        <v>203</v>
      </c>
      <c r="AX140" t="s">
        <v>203</v>
      </c>
      <c r="AY140" t="s">
        <v>203</v>
      </c>
      <c r="AZ140" t="s">
        <v>203</v>
      </c>
      <c r="BA140" t="s">
        <v>203</v>
      </c>
      <c r="BB140" t="s">
        <v>203</v>
      </c>
      <c r="BC140" t="s">
        <v>203</v>
      </c>
      <c r="BD140" t="s">
        <v>203</v>
      </c>
      <c r="BE140" t="s">
        <v>203</v>
      </c>
      <c r="BF140">
        <v>0</v>
      </c>
      <c r="BG140">
        <v>0.2</v>
      </c>
      <c r="BH140">
        <v>50</v>
      </c>
      <c r="BI140">
        <v>0</v>
      </c>
      <c r="BJ140" t="s">
        <v>198</v>
      </c>
      <c r="BK140" t="s">
        <v>198</v>
      </c>
      <c r="BL140" t="s">
        <v>198</v>
      </c>
      <c r="BM140" t="s">
        <v>198</v>
      </c>
      <c r="BN140" t="s">
        <v>198</v>
      </c>
      <c r="BO140" t="s">
        <v>198</v>
      </c>
      <c r="BP140" t="s">
        <v>198</v>
      </c>
      <c r="BQ140" t="s">
        <v>198</v>
      </c>
      <c r="BR140" t="s">
        <v>198</v>
      </c>
      <c r="BS140" t="s">
        <v>198</v>
      </c>
      <c r="BT140" t="s">
        <v>198</v>
      </c>
      <c r="BU140" t="s">
        <v>198</v>
      </c>
      <c r="BV140" t="s">
        <v>198</v>
      </c>
      <c r="BW140" t="s">
        <v>198</v>
      </c>
      <c r="BX140" t="s">
        <v>198</v>
      </c>
      <c r="BY140" t="s">
        <v>198</v>
      </c>
      <c r="BZ140" t="s">
        <v>198</v>
      </c>
      <c r="CA140" t="s">
        <v>198</v>
      </c>
      <c r="CB140" t="s">
        <v>204</v>
      </c>
      <c r="CC140" t="s">
        <v>204</v>
      </c>
      <c r="CD140" t="s">
        <v>204</v>
      </c>
      <c r="CE140" t="s">
        <v>204</v>
      </c>
      <c r="CF140" t="s">
        <v>204</v>
      </c>
      <c r="CG140" t="s">
        <v>204</v>
      </c>
      <c r="CH140" t="s">
        <v>204</v>
      </c>
      <c r="CI140" t="s">
        <v>204</v>
      </c>
      <c r="CJ140" t="s">
        <v>204</v>
      </c>
      <c r="CK140" t="s">
        <v>204</v>
      </c>
      <c r="CL140" t="s">
        <v>204</v>
      </c>
      <c r="CM140" t="s">
        <v>204</v>
      </c>
      <c r="CN140" t="s">
        <v>203</v>
      </c>
      <c r="CO140" t="s">
        <v>203</v>
      </c>
      <c r="CP140" t="s">
        <v>203</v>
      </c>
      <c r="CQ140" t="s">
        <v>203</v>
      </c>
      <c r="CR140" t="s">
        <v>203</v>
      </c>
      <c r="CS140" t="s">
        <v>203</v>
      </c>
      <c r="CT140" t="s">
        <v>203</v>
      </c>
      <c r="CU140" t="s">
        <v>203</v>
      </c>
      <c r="CV140">
        <v>0</v>
      </c>
      <c r="CW140">
        <v>0</v>
      </c>
      <c r="CX140" t="s">
        <v>198</v>
      </c>
      <c r="CY140" t="s">
        <v>198</v>
      </c>
      <c r="CZ140" t="s">
        <v>198</v>
      </c>
      <c r="DA140" t="s">
        <v>198</v>
      </c>
      <c r="DB140" t="s">
        <v>198</v>
      </c>
      <c r="DC140">
        <v>0</v>
      </c>
      <c r="DD140">
        <v>0</v>
      </c>
      <c r="DE140">
        <v>0</v>
      </c>
      <c r="DF140">
        <v>0</v>
      </c>
      <c r="DG140">
        <v>-35.3631166</v>
      </c>
      <c r="DH140">
        <v>149.1639735</v>
      </c>
      <c r="DI140" t="s">
        <v>360</v>
      </c>
      <c r="DJ140">
        <v>1.2</v>
      </c>
      <c r="DK140">
        <v>2</v>
      </c>
      <c r="DL140">
        <v>159.8</v>
      </c>
      <c r="DM140">
        <v>0</v>
      </c>
      <c r="DN140">
        <v>6</v>
      </c>
      <c r="DO140">
        <v>10</v>
      </c>
      <c r="DP140">
        <v>0</v>
      </c>
      <c r="DQ140">
        <v>255</v>
      </c>
      <c r="DR140">
        <v>255</v>
      </c>
      <c r="DS140">
        <v>255</v>
      </c>
      <c r="DT140">
        <v>255</v>
      </c>
      <c r="DU140">
        <v>255</v>
      </c>
      <c r="DV140">
        <v>255</v>
      </c>
      <c r="DW140">
        <v>255</v>
      </c>
      <c r="DX140" t="s">
        <v>206</v>
      </c>
      <c r="DY140" t="s">
        <v>206</v>
      </c>
      <c r="DZ140" t="s">
        <v>207</v>
      </c>
      <c r="EA140" t="s">
        <v>198</v>
      </c>
      <c r="EB140" t="s">
        <v>198</v>
      </c>
      <c r="EC140" t="s">
        <v>198</v>
      </c>
      <c r="ED140">
        <v>0</v>
      </c>
      <c r="EE140">
        <v>0</v>
      </c>
      <c r="EF140">
        <v>0</v>
      </c>
      <c r="EG140">
        <v>0</v>
      </c>
      <c r="EH140">
        <v>255</v>
      </c>
      <c r="EI140">
        <v>255</v>
      </c>
      <c r="EJ140">
        <v>255</v>
      </c>
      <c r="EK140">
        <v>255</v>
      </c>
      <c r="EL140">
        <v>255</v>
      </c>
      <c r="EM140">
        <v>255</v>
      </c>
      <c r="EN140">
        <v>255</v>
      </c>
      <c r="EO140">
        <v>255</v>
      </c>
      <c r="EP140">
        <v>255</v>
      </c>
      <c r="EQ140">
        <v>255</v>
      </c>
      <c r="ER140" t="s">
        <v>208</v>
      </c>
      <c r="ES140" t="s">
        <v>209</v>
      </c>
      <c r="ET140" t="s">
        <v>209</v>
      </c>
      <c r="EU140">
        <v>0</v>
      </c>
      <c r="EV140">
        <v>16.2</v>
      </c>
      <c r="EW140">
        <v>-114.7</v>
      </c>
      <c r="EX140">
        <v>-0.2</v>
      </c>
      <c r="EY140">
        <v>0</v>
      </c>
      <c r="EZ140">
        <v>0</v>
      </c>
      <c r="FA140">
        <v>0</v>
      </c>
      <c r="FB140" t="s">
        <v>198</v>
      </c>
      <c r="FC140" t="s">
        <v>198</v>
      </c>
      <c r="FD140" t="s">
        <v>198</v>
      </c>
      <c r="FE140" t="s">
        <v>198</v>
      </c>
      <c r="FF140" t="s">
        <v>198</v>
      </c>
      <c r="FG140" t="s">
        <v>198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203</v>
      </c>
      <c r="FP140" t="s">
        <v>203</v>
      </c>
      <c r="FQ140" t="s">
        <v>203</v>
      </c>
      <c r="FR140" t="s">
        <v>203</v>
      </c>
      <c r="FS140" t="s">
        <v>203</v>
      </c>
      <c r="FT140" t="s">
        <v>203</v>
      </c>
      <c r="FU140" t="s">
        <v>198</v>
      </c>
      <c r="FV140" t="s">
        <v>198</v>
      </c>
      <c r="FW140" t="s">
        <v>198</v>
      </c>
      <c r="FX140" t="s">
        <v>198</v>
      </c>
      <c r="FY140" t="s">
        <v>198</v>
      </c>
      <c r="FZ140" t="s">
        <v>198</v>
      </c>
      <c r="GA140">
        <v>31.2</v>
      </c>
      <c r="GB140">
        <v>31.2</v>
      </c>
      <c r="GC140" t="s">
        <v>203</v>
      </c>
      <c r="GD140">
        <v>0</v>
      </c>
      <c r="GE140">
        <v>504</v>
      </c>
      <c r="GF140">
        <v>0</v>
      </c>
      <c r="GG140">
        <v>0</v>
      </c>
      <c r="GH140">
        <v>0</v>
      </c>
      <c r="GI140">
        <v>1</v>
      </c>
      <c r="GJ140">
        <v>1</v>
      </c>
      <c r="GK140">
        <v>0</v>
      </c>
      <c r="GL140" t="s">
        <v>198</v>
      </c>
      <c r="GM140" t="s">
        <v>198</v>
      </c>
      <c r="GN140" t="s">
        <v>198</v>
      </c>
    </row>
    <row r="141" spans="1:196">
      <c r="A141" s="19">
        <v>46316.90551322917</v>
      </c>
      <c r="B141">
        <v>0</v>
      </c>
      <c r="C141">
        <v>0</v>
      </c>
      <c r="D141">
        <v>277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584.2</v>
      </c>
      <c r="N141">
        <v>-0.5</v>
      </c>
      <c r="O141">
        <v>0</v>
      </c>
      <c r="P141">
        <v>0</v>
      </c>
      <c r="Q141">
        <v>0</v>
      </c>
      <c r="R141">
        <v>0</v>
      </c>
      <c r="S141">
        <v>115.6</v>
      </c>
      <c r="T141" t="s">
        <v>485</v>
      </c>
      <c r="U141">
        <v>115.7</v>
      </c>
      <c r="V141">
        <v>1762727256586.8</v>
      </c>
      <c r="W141">
        <v>1</v>
      </c>
      <c r="X141" t="s">
        <v>197</v>
      </c>
      <c r="Y141">
        <v>0</v>
      </c>
      <c r="Z141">
        <v>98</v>
      </c>
      <c r="AA141">
        <v>278</v>
      </c>
      <c r="AB141" t="s">
        <v>197</v>
      </c>
      <c r="AC141" t="s">
        <v>198</v>
      </c>
      <c r="AD141" t="s">
        <v>199</v>
      </c>
      <c r="AE141">
        <v>0</v>
      </c>
      <c r="AF141">
        <v>44</v>
      </c>
      <c r="AG141">
        <v>255</v>
      </c>
      <c r="AH141">
        <v>0</v>
      </c>
      <c r="AI141">
        <v>0</v>
      </c>
      <c r="AJ141">
        <v>0</v>
      </c>
      <c r="AK141">
        <v>12.6</v>
      </c>
      <c r="AL141">
        <v>0</v>
      </c>
      <c r="AM141">
        <v>0</v>
      </c>
      <c r="AN141" t="s">
        <v>197</v>
      </c>
      <c r="AO141">
        <v>100</v>
      </c>
      <c r="AP141" t="s">
        <v>197</v>
      </c>
      <c r="AQ141" t="s">
        <v>200</v>
      </c>
      <c r="AR141">
        <v>1</v>
      </c>
      <c r="AS141">
        <v>0</v>
      </c>
      <c r="AT141" t="s">
        <v>487</v>
      </c>
      <c r="AU141" t="s">
        <v>487</v>
      </c>
      <c r="AV141" t="s">
        <v>202</v>
      </c>
      <c r="AW141" t="s">
        <v>203</v>
      </c>
      <c r="AX141" t="s">
        <v>203</v>
      </c>
      <c r="AY141" t="s">
        <v>203</v>
      </c>
      <c r="AZ141" t="s">
        <v>203</v>
      </c>
      <c r="BA141" t="s">
        <v>203</v>
      </c>
      <c r="BB141" t="s">
        <v>203</v>
      </c>
      <c r="BC141" t="s">
        <v>203</v>
      </c>
      <c r="BD141" t="s">
        <v>203</v>
      </c>
      <c r="BE141" t="s">
        <v>203</v>
      </c>
      <c r="BF141">
        <v>0</v>
      </c>
      <c r="BG141">
        <v>0.2</v>
      </c>
      <c r="BH141">
        <v>50</v>
      </c>
      <c r="BI141">
        <v>0</v>
      </c>
      <c r="BJ141" t="s">
        <v>198</v>
      </c>
      <c r="BK141" t="s">
        <v>198</v>
      </c>
      <c r="BL141" t="s">
        <v>198</v>
      </c>
      <c r="BM141" t="s">
        <v>198</v>
      </c>
      <c r="BN141" t="s">
        <v>198</v>
      </c>
      <c r="BO141" t="s">
        <v>198</v>
      </c>
      <c r="BP141" t="s">
        <v>198</v>
      </c>
      <c r="BQ141" t="s">
        <v>198</v>
      </c>
      <c r="BR141" t="s">
        <v>198</v>
      </c>
      <c r="BS141" t="s">
        <v>198</v>
      </c>
      <c r="BT141" t="s">
        <v>198</v>
      </c>
      <c r="BU141" t="s">
        <v>198</v>
      </c>
      <c r="BV141" t="s">
        <v>198</v>
      </c>
      <c r="BW141" t="s">
        <v>198</v>
      </c>
      <c r="BX141" t="s">
        <v>198</v>
      </c>
      <c r="BY141" t="s">
        <v>198</v>
      </c>
      <c r="BZ141" t="s">
        <v>198</v>
      </c>
      <c r="CA141" t="s">
        <v>198</v>
      </c>
      <c r="CB141" t="s">
        <v>204</v>
      </c>
      <c r="CC141" t="s">
        <v>204</v>
      </c>
      <c r="CD141" t="s">
        <v>204</v>
      </c>
      <c r="CE141" t="s">
        <v>204</v>
      </c>
      <c r="CF141" t="s">
        <v>204</v>
      </c>
      <c r="CG141" t="s">
        <v>204</v>
      </c>
      <c r="CH141" t="s">
        <v>204</v>
      </c>
      <c r="CI141" t="s">
        <v>204</v>
      </c>
      <c r="CJ141" t="s">
        <v>204</v>
      </c>
      <c r="CK141" t="s">
        <v>204</v>
      </c>
      <c r="CL141" t="s">
        <v>204</v>
      </c>
      <c r="CM141" t="s">
        <v>204</v>
      </c>
      <c r="CN141" t="s">
        <v>203</v>
      </c>
      <c r="CO141" t="s">
        <v>203</v>
      </c>
      <c r="CP141" t="s">
        <v>203</v>
      </c>
      <c r="CQ141" t="s">
        <v>203</v>
      </c>
      <c r="CR141" t="s">
        <v>203</v>
      </c>
      <c r="CS141" t="s">
        <v>203</v>
      </c>
      <c r="CT141" t="s">
        <v>203</v>
      </c>
      <c r="CU141" t="s">
        <v>203</v>
      </c>
      <c r="CV141">
        <v>0</v>
      </c>
      <c r="CW141">
        <v>0</v>
      </c>
      <c r="CX141" t="s">
        <v>198</v>
      </c>
      <c r="CY141" t="s">
        <v>198</v>
      </c>
      <c r="CZ141" t="s">
        <v>198</v>
      </c>
      <c r="DA141" t="s">
        <v>198</v>
      </c>
      <c r="DB141" t="s">
        <v>198</v>
      </c>
      <c r="DC141">
        <v>0</v>
      </c>
      <c r="DD141">
        <v>0</v>
      </c>
      <c r="DE141">
        <v>0</v>
      </c>
      <c r="DF141">
        <v>0</v>
      </c>
      <c r="DG141">
        <v>-35.3631166</v>
      </c>
      <c r="DH141">
        <v>149.1639735</v>
      </c>
      <c r="DI141" t="s">
        <v>360</v>
      </c>
      <c r="DJ141">
        <v>1.2</v>
      </c>
      <c r="DK141">
        <v>2</v>
      </c>
      <c r="DL141">
        <v>159.8</v>
      </c>
      <c r="DM141">
        <v>0</v>
      </c>
      <c r="DN141">
        <v>6</v>
      </c>
      <c r="DO141">
        <v>10</v>
      </c>
      <c r="DP141">
        <v>0</v>
      </c>
      <c r="DQ141">
        <v>255</v>
      </c>
      <c r="DR141">
        <v>255</v>
      </c>
      <c r="DS141">
        <v>255</v>
      </c>
      <c r="DT141">
        <v>255</v>
      </c>
      <c r="DU141">
        <v>255</v>
      </c>
      <c r="DV141">
        <v>255</v>
      </c>
      <c r="DW141">
        <v>255</v>
      </c>
      <c r="DX141" t="s">
        <v>206</v>
      </c>
      <c r="DY141" t="s">
        <v>206</v>
      </c>
      <c r="DZ141" t="s">
        <v>207</v>
      </c>
      <c r="EA141" t="s">
        <v>198</v>
      </c>
      <c r="EB141" t="s">
        <v>198</v>
      </c>
      <c r="EC141" t="s">
        <v>198</v>
      </c>
      <c r="ED141">
        <v>0</v>
      </c>
      <c r="EE141">
        <v>0</v>
      </c>
      <c r="EF141">
        <v>0</v>
      </c>
      <c r="EG141">
        <v>0</v>
      </c>
      <c r="EH141">
        <v>255</v>
      </c>
      <c r="EI141">
        <v>255</v>
      </c>
      <c r="EJ141">
        <v>255</v>
      </c>
      <c r="EK141">
        <v>255</v>
      </c>
      <c r="EL141">
        <v>255</v>
      </c>
      <c r="EM141">
        <v>255</v>
      </c>
      <c r="EN141">
        <v>255</v>
      </c>
      <c r="EO141">
        <v>255</v>
      </c>
      <c r="EP141">
        <v>255</v>
      </c>
      <c r="EQ141">
        <v>255</v>
      </c>
      <c r="ER141" t="s">
        <v>208</v>
      </c>
      <c r="ES141" t="s">
        <v>209</v>
      </c>
      <c r="ET141" t="s">
        <v>209</v>
      </c>
      <c r="EU141">
        <v>0</v>
      </c>
      <c r="EV141">
        <v>16.2</v>
      </c>
      <c r="EW141">
        <v>-114.7</v>
      </c>
      <c r="EX141">
        <v>-0.2</v>
      </c>
      <c r="EY141">
        <v>0</v>
      </c>
      <c r="EZ141">
        <v>0</v>
      </c>
      <c r="FA141">
        <v>0</v>
      </c>
      <c r="FB141" t="s">
        <v>198</v>
      </c>
      <c r="FC141" t="s">
        <v>198</v>
      </c>
      <c r="FD141" t="s">
        <v>198</v>
      </c>
      <c r="FE141" t="s">
        <v>198</v>
      </c>
      <c r="FF141" t="s">
        <v>198</v>
      </c>
      <c r="FG141" t="s">
        <v>198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203</v>
      </c>
      <c r="FP141" t="s">
        <v>203</v>
      </c>
      <c r="FQ141" t="s">
        <v>203</v>
      </c>
      <c r="FR141" t="s">
        <v>203</v>
      </c>
      <c r="FS141" t="s">
        <v>203</v>
      </c>
      <c r="FT141" t="s">
        <v>203</v>
      </c>
      <c r="FU141" t="s">
        <v>198</v>
      </c>
      <c r="FV141" t="s">
        <v>198</v>
      </c>
      <c r="FW141" t="s">
        <v>198</v>
      </c>
      <c r="FX141" t="s">
        <v>198</v>
      </c>
      <c r="FY141" t="s">
        <v>198</v>
      </c>
      <c r="FZ141" t="s">
        <v>198</v>
      </c>
      <c r="GA141">
        <v>31.2</v>
      </c>
      <c r="GB141">
        <v>31.2</v>
      </c>
      <c r="GC141" t="s">
        <v>203</v>
      </c>
      <c r="GD141">
        <v>0</v>
      </c>
      <c r="GE141">
        <v>504</v>
      </c>
      <c r="GF141">
        <v>0</v>
      </c>
      <c r="GG141">
        <v>0</v>
      </c>
      <c r="GH141">
        <v>0</v>
      </c>
      <c r="GI141">
        <v>1</v>
      </c>
      <c r="GJ141">
        <v>1</v>
      </c>
      <c r="GK141">
        <v>0</v>
      </c>
      <c r="GL141" t="s">
        <v>198</v>
      </c>
      <c r="GM141" t="s">
        <v>198</v>
      </c>
      <c r="GN141" t="s">
        <v>198</v>
      </c>
    </row>
    <row r="142" spans="1:196">
      <c r="A142" s="19">
        <v>46316.90552480324</v>
      </c>
      <c r="B142">
        <v>0</v>
      </c>
      <c r="C142">
        <v>0</v>
      </c>
      <c r="D142">
        <v>277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584.2</v>
      </c>
      <c r="N142">
        <v>-0.5</v>
      </c>
      <c r="O142">
        <v>0</v>
      </c>
      <c r="P142">
        <v>0</v>
      </c>
      <c r="Q142">
        <v>0</v>
      </c>
      <c r="R142">
        <v>0</v>
      </c>
      <c r="S142">
        <v>115.6</v>
      </c>
      <c r="T142" t="s">
        <v>485</v>
      </c>
      <c r="U142">
        <v>115.7</v>
      </c>
      <c r="V142">
        <v>1762727256586.8</v>
      </c>
      <c r="W142">
        <v>1</v>
      </c>
      <c r="X142" t="s">
        <v>197</v>
      </c>
      <c r="Y142">
        <v>0</v>
      </c>
      <c r="Z142">
        <v>98</v>
      </c>
      <c r="AA142">
        <v>278</v>
      </c>
      <c r="AB142" t="s">
        <v>197</v>
      </c>
      <c r="AC142" t="s">
        <v>198</v>
      </c>
      <c r="AD142" t="s">
        <v>199</v>
      </c>
      <c r="AE142">
        <v>0</v>
      </c>
      <c r="AF142">
        <v>44</v>
      </c>
      <c r="AG142">
        <v>255</v>
      </c>
      <c r="AH142">
        <v>0</v>
      </c>
      <c r="AI142">
        <v>0</v>
      </c>
      <c r="AJ142">
        <v>0</v>
      </c>
      <c r="AK142">
        <v>12.6</v>
      </c>
      <c r="AL142">
        <v>0</v>
      </c>
      <c r="AM142">
        <v>0</v>
      </c>
      <c r="AN142" t="s">
        <v>197</v>
      </c>
      <c r="AO142">
        <v>100</v>
      </c>
      <c r="AP142" t="s">
        <v>197</v>
      </c>
      <c r="AQ142" t="s">
        <v>200</v>
      </c>
      <c r="AR142">
        <v>1</v>
      </c>
      <c r="AS142">
        <v>0</v>
      </c>
      <c r="AT142" t="s">
        <v>488</v>
      </c>
      <c r="AU142" t="s">
        <v>488</v>
      </c>
      <c r="AV142" t="s">
        <v>202</v>
      </c>
      <c r="AW142" t="s">
        <v>203</v>
      </c>
      <c r="AX142" t="s">
        <v>203</v>
      </c>
      <c r="AY142" t="s">
        <v>203</v>
      </c>
      <c r="AZ142" t="s">
        <v>203</v>
      </c>
      <c r="BA142" t="s">
        <v>203</v>
      </c>
      <c r="BB142" t="s">
        <v>203</v>
      </c>
      <c r="BC142" t="s">
        <v>203</v>
      </c>
      <c r="BD142" t="s">
        <v>203</v>
      </c>
      <c r="BE142" t="s">
        <v>203</v>
      </c>
      <c r="BF142">
        <v>0</v>
      </c>
      <c r="BG142">
        <v>0.2</v>
      </c>
      <c r="BH142">
        <v>50</v>
      </c>
      <c r="BI142">
        <v>0</v>
      </c>
      <c r="BJ142" t="s">
        <v>198</v>
      </c>
      <c r="BK142" t="s">
        <v>198</v>
      </c>
      <c r="BL142" t="s">
        <v>198</v>
      </c>
      <c r="BM142" t="s">
        <v>198</v>
      </c>
      <c r="BN142" t="s">
        <v>198</v>
      </c>
      <c r="BO142" t="s">
        <v>198</v>
      </c>
      <c r="BP142" t="s">
        <v>198</v>
      </c>
      <c r="BQ142" t="s">
        <v>198</v>
      </c>
      <c r="BR142" t="s">
        <v>198</v>
      </c>
      <c r="BS142" t="s">
        <v>198</v>
      </c>
      <c r="BT142" t="s">
        <v>198</v>
      </c>
      <c r="BU142" t="s">
        <v>198</v>
      </c>
      <c r="BV142" t="s">
        <v>198</v>
      </c>
      <c r="BW142" t="s">
        <v>198</v>
      </c>
      <c r="BX142" t="s">
        <v>198</v>
      </c>
      <c r="BY142" t="s">
        <v>198</v>
      </c>
      <c r="BZ142" t="s">
        <v>198</v>
      </c>
      <c r="CA142" t="s">
        <v>198</v>
      </c>
      <c r="CB142" t="s">
        <v>204</v>
      </c>
      <c r="CC142" t="s">
        <v>204</v>
      </c>
      <c r="CD142" t="s">
        <v>204</v>
      </c>
      <c r="CE142" t="s">
        <v>204</v>
      </c>
      <c r="CF142" t="s">
        <v>204</v>
      </c>
      <c r="CG142" t="s">
        <v>204</v>
      </c>
      <c r="CH142" t="s">
        <v>204</v>
      </c>
      <c r="CI142" t="s">
        <v>204</v>
      </c>
      <c r="CJ142" t="s">
        <v>204</v>
      </c>
      <c r="CK142" t="s">
        <v>204</v>
      </c>
      <c r="CL142" t="s">
        <v>204</v>
      </c>
      <c r="CM142" t="s">
        <v>204</v>
      </c>
      <c r="CN142" t="s">
        <v>203</v>
      </c>
      <c r="CO142" t="s">
        <v>203</v>
      </c>
      <c r="CP142" t="s">
        <v>203</v>
      </c>
      <c r="CQ142" t="s">
        <v>203</v>
      </c>
      <c r="CR142" t="s">
        <v>203</v>
      </c>
      <c r="CS142" t="s">
        <v>203</v>
      </c>
      <c r="CT142" t="s">
        <v>203</v>
      </c>
      <c r="CU142" t="s">
        <v>203</v>
      </c>
      <c r="CV142">
        <v>0</v>
      </c>
      <c r="CW142">
        <v>0</v>
      </c>
      <c r="CX142" t="s">
        <v>198</v>
      </c>
      <c r="CY142" t="s">
        <v>198</v>
      </c>
      <c r="CZ142" t="s">
        <v>198</v>
      </c>
      <c r="DA142" t="s">
        <v>198</v>
      </c>
      <c r="DB142" t="s">
        <v>198</v>
      </c>
      <c r="DC142">
        <v>0</v>
      </c>
      <c r="DD142">
        <v>0</v>
      </c>
      <c r="DE142">
        <v>0</v>
      </c>
      <c r="DF142">
        <v>0</v>
      </c>
      <c r="DG142">
        <v>-35.3631166</v>
      </c>
      <c r="DH142">
        <v>149.1639735</v>
      </c>
      <c r="DI142" t="s">
        <v>360</v>
      </c>
      <c r="DJ142">
        <v>1.2</v>
      </c>
      <c r="DK142">
        <v>2</v>
      </c>
      <c r="DL142">
        <v>159.8</v>
      </c>
      <c r="DM142">
        <v>0</v>
      </c>
      <c r="DN142">
        <v>6</v>
      </c>
      <c r="DO142">
        <v>10</v>
      </c>
      <c r="DP142">
        <v>0</v>
      </c>
      <c r="DQ142">
        <v>255</v>
      </c>
      <c r="DR142">
        <v>255</v>
      </c>
      <c r="DS142">
        <v>255</v>
      </c>
      <c r="DT142">
        <v>255</v>
      </c>
      <c r="DU142">
        <v>255</v>
      </c>
      <c r="DV142">
        <v>255</v>
      </c>
      <c r="DW142">
        <v>255</v>
      </c>
      <c r="DX142" t="s">
        <v>206</v>
      </c>
      <c r="DY142" t="s">
        <v>206</v>
      </c>
      <c r="DZ142" t="s">
        <v>207</v>
      </c>
      <c r="EA142" t="s">
        <v>198</v>
      </c>
      <c r="EB142" t="s">
        <v>198</v>
      </c>
      <c r="EC142" t="s">
        <v>198</v>
      </c>
      <c r="ED142">
        <v>0</v>
      </c>
      <c r="EE142">
        <v>0</v>
      </c>
      <c r="EF142">
        <v>0</v>
      </c>
      <c r="EG142">
        <v>0</v>
      </c>
      <c r="EH142">
        <v>255</v>
      </c>
      <c r="EI142">
        <v>255</v>
      </c>
      <c r="EJ142">
        <v>255</v>
      </c>
      <c r="EK142">
        <v>255</v>
      </c>
      <c r="EL142">
        <v>255</v>
      </c>
      <c r="EM142">
        <v>255</v>
      </c>
      <c r="EN142">
        <v>255</v>
      </c>
      <c r="EO142">
        <v>255</v>
      </c>
      <c r="EP142">
        <v>255</v>
      </c>
      <c r="EQ142">
        <v>255</v>
      </c>
      <c r="ER142" t="s">
        <v>208</v>
      </c>
      <c r="ES142" t="s">
        <v>209</v>
      </c>
      <c r="ET142" t="s">
        <v>209</v>
      </c>
      <c r="EU142">
        <v>0</v>
      </c>
      <c r="EV142">
        <v>16.2</v>
      </c>
      <c r="EW142">
        <v>-114.7</v>
      </c>
      <c r="EX142">
        <v>-0.2</v>
      </c>
      <c r="EY142">
        <v>0</v>
      </c>
      <c r="EZ142">
        <v>0</v>
      </c>
      <c r="FA142">
        <v>0</v>
      </c>
      <c r="FB142" t="s">
        <v>198</v>
      </c>
      <c r="FC142" t="s">
        <v>198</v>
      </c>
      <c r="FD142" t="s">
        <v>198</v>
      </c>
      <c r="FE142" t="s">
        <v>198</v>
      </c>
      <c r="FF142" t="s">
        <v>198</v>
      </c>
      <c r="FG142" t="s">
        <v>198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203</v>
      </c>
      <c r="FP142" t="s">
        <v>203</v>
      </c>
      <c r="FQ142" t="s">
        <v>203</v>
      </c>
      <c r="FR142" t="s">
        <v>203</v>
      </c>
      <c r="FS142" t="s">
        <v>203</v>
      </c>
      <c r="FT142" t="s">
        <v>203</v>
      </c>
      <c r="FU142" t="s">
        <v>198</v>
      </c>
      <c r="FV142" t="s">
        <v>198</v>
      </c>
      <c r="FW142" t="s">
        <v>198</v>
      </c>
      <c r="FX142" t="s">
        <v>198</v>
      </c>
      <c r="FY142" t="s">
        <v>198</v>
      </c>
      <c r="FZ142" t="s">
        <v>198</v>
      </c>
      <c r="GA142">
        <v>31.2</v>
      </c>
      <c r="GB142">
        <v>31.2</v>
      </c>
      <c r="GC142" t="s">
        <v>203</v>
      </c>
      <c r="GD142">
        <v>0</v>
      </c>
      <c r="GE142">
        <v>504</v>
      </c>
      <c r="GF142">
        <v>0</v>
      </c>
      <c r="GG142">
        <v>0</v>
      </c>
      <c r="GH142">
        <v>0</v>
      </c>
      <c r="GI142">
        <v>1</v>
      </c>
      <c r="GJ142">
        <v>1</v>
      </c>
      <c r="GK142">
        <v>0</v>
      </c>
      <c r="GL142" t="s">
        <v>198</v>
      </c>
      <c r="GM142" t="s">
        <v>198</v>
      </c>
      <c r="GN142" t="s">
        <v>198</v>
      </c>
    </row>
    <row r="143" spans="1:196">
      <c r="A143" s="19">
        <v>46316.90553637732</v>
      </c>
      <c r="B143">
        <v>0</v>
      </c>
      <c r="C143">
        <v>0</v>
      </c>
      <c r="D143">
        <v>277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584.2</v>
      </c>
      <c r="N143">
        <v>-0.5</v>
      </c>
      <c r="O143">
        <v>0</v>
      </c>
      <c r="P143">
        <v>0</v>
      </c>
      <c r="Q143">
        <v>0</v>
      </c>
      <c r="R143">
        <v>0</v>
      </c>
      <c r="S143">
        <v>115.6</v>
      </c>
      <c r="T143" t="s">
        <v>485</v>
      </c>
      <c r="U143">
        <v>115.7</v>
      </c>
      <c r="V143">
        <v>1762727256586.8</v>
      </c>
      <c r="W143">
        <v>1</v>
      </c>
      <c r="X143" t="s">
        <v>197</v>
      </c>
      <c r="Y143">
        <v>0</v>
      </c>
      <c r="Z143">
        <v>98</v>
      </c>
      <c r="AA143">
        <v>278</v>
      </c>
      <c r="AB143" t="s">
        <v>197</v>
      </c>
      <c r="AC143" t="s">
        <v>198</v>
      </c>
      <c r="AD143" t="s">
        <v>199</v>
      </c>
      <c r="AE143">
        <v>0</v>
      </c>
      <c r="AF143">
        <v>44</v>
      </c>
      <c r="AG143">
        <v>255</v>
      </c>
      <c r="AH143">
        <v>0</v>
      </c>
      <c r="AI143">
        <v>0</v>
      </c>
      <c r="AJ143">
        <v>0</v>
      </c>
      <c r="AK143">
        <v>12.6</v>
      </c>
      <c r="AL143">
        <v>0</v>
      </c>
      <c r="AM143">
        <v>0</v>
      </c>
      <c r="AN143" t="s">
        <v>197</v>
      </c>
      <c r="AO143">
        <v>100</v>
      </c>
      <c r="AP143" t="s">
        <v>197</v>
      </c>
      <c r="AQ143" t="s">
        <v>200</v>
      </c>
      <c r="AR143">
        <v>1</v>
      </c>
      <c r="AS143">
        <v>0</v>
      </c>
      <c r="AT143" t="s">
        <v>489</v>
      </c>
      <c r="AU143" t="s">
        <v>489</v>
      </c>
      <c r="AV143" t="s">
        <v>202</v>
      </c>
      <c r="AW143" t="s">
        <v>203</v>
      </c>
      <c r="AX143" t="s">
        <v>203</v>
      </c>
      <c r="AY143" t="s">
        <v>203</v>
      </c>
      <c r="AZ143" t="s">
        <v>203</v>
      </c>
      <c r="BA143" t="s">
        <v>203</v>
      </c>
      <c r="BB143" t="s">
        <v>203</v>
      </c>
      <c r="BC143" t="s">
        <v>203</v>
      </c>
      <c r="BD143" t="s">
        <v>203</v>
      </c>
      <c r="BE143" t="s">
        <v>203</v>
      </c>
      <c r="BF143">
        <v>0</v>
      </c>
      <c r="BG143">
        <v>0.2</v>
      </c>
      <c r="BH143">
        <v>50</v>
      </c>
      <c r="BI143">
        <v>0</v>
      </c>
      <c r="BJ143" t="s">
        <v>198</v>
      </c>
      <c r="BK143" t="s">
        <v>198</v>
      </c>
      <c r="BL143" t="s">
        <v>198</v>
      </c>
      <c r="BM143" t="s">
        <v>198</v>
      </c>
      <c r="BN143" t="s">
        <v>198</v>
      </c>
      <c r="BO143" t="s">
        <v>198</v>
      </c>
      <c r="BP143" t="s">
        <v>198</v>
      </c>
      <c r="BQ143" t="s">
        <v>198</v>
      </c>
      <c r="BR143" t="s">
        <v>198</v>
      </c>
      <c r="BS143" t="s">
        <v>198</v>
      </c>
      <c r="BT143" t="s">
        <v>198</v>
      </c>
      <c r="BU143" t="s">
        <v>198</v>
      </c>
      <c r="BV143" t="s">
        <v>198</v>
      </c>
      <c r="BW143" t="s">
        <v>198</v>
      </c>
      <c r="BX143" t="s">
        <v>198</v>
      </c>
      <c r="BY143" t="s">
        <v>198</v>
      </c>
      <c r="BZ143" t="s">
        <v>198</v>
      </c>
      <c r="CA143" t="s">
        <v>198</v>
      </c>
      <c r="CB143" t="s">
        <v>204</v>
      </c>
      <c r="CC143" t="s">
        <v>204</v>
      </c>
      <c r="CD143" t="s">
        <v>204</v>
      </c>
      <c r="CE143" t="s">
        <v>204</v>
      </c>
      <c r="CF143" t="s">
        <v>204</v>
      </c>
      <c r="CG143" t="s">
        <v>204</v>
      </c>
      <c r="CH143" t="s">
        <v>204</v>
      </c>
      <c r="CI143" t="s">
        <v>204</v>
      </c>
      <c r="CJ143" t="s">
        <v>204</v>
      </c>
      <c r="CK143" t="s">
        <v>204</v>
      </c>
      <c r="CL143" t="s">
        <v>204</v>
      </c>
      <c r="CM143" t="s">
        <v>204</v>
      </c>
      <c r="CN143" t="s">
        <v>203</v>
      </c>
      <c r="CO143" t="s">
        <v>203</v>
      </c>
      <c r="CP143" t="s">
        <v>203</v>
      </c>
      <c r="CQ143" t="s">
        <v>203</v>
      </c>
      <c r="CR143" t="s">
        <v>203</v>
      </c>
      <c r="CS143" t="s">
        <v>203</v>
      </c>
      <c r="CT143" t="s">
        <v>203</v>
      </c>
      <c r="CU143" t="s">
        <v>203</v>
      </c>
      <c r="CV143">
        <v>0</v>
      </c>
      <c r="CW143">
        <v>0</v>
      </c>
      <c r="CX143" t="s">
        <v>198</v>
      </c>
      <c r="CY143" t="s">
        <v>198</v>
      </c>
      <c r="CZ143" t="s">
        <v>198</v>
      </c>
      <c r="DA143" t="s">
        <v>198</v>
      </c>
      <c r="DB143" t="s">
        <v>198</v>
      </c>
      <c r="DC143">
        <v>0</v>
      </c>
      <c r="DD143">
        <v>0</v>
      </c>
      <c r="DE143">
        <v>0</v>
      </c>
      <c r="DF143">
        <v>0</v>
      </c>
      <c r="DG143">
        <v>-35.3631166</v>
      </c>
      <c r="DH143">
        <v>149.1639735</v>
      </c>
      <c r="DI143" t="s">
        <v>360</v>
      </c>
      <c r="DJ143">
        <v>1.2</v>
      </c>
      <c r="DK143">
        <v>2</v>
      </c>
      <c r="DL143">
        <v>159.8</v>
      </c>
      <c r="DM143">
        <v>0</v>
      </c>
      <c r="DN143">
        <v>6</v>
      </c>
      <c r="DO143">
        <v>10</v>
      </c>
      <c r="DP143">
        <v>0</v>
      </c>
      <c r="DQ143">
        <v>255</v>
      </c>
      <c r="DR143">
        <v>255</v>
      </c>
      <c r="DS143">
        <v>255</v>
      </c>
      <c r="DT143">
        <v>255</v>
      </c>
      <c r="DU143">
        <v>255</v>
      </c>
      <c r="DV143">
        <v>255</v>
      </c>
      <c r="DW143">
        <v>255</v>
      </c>
      <c r="DX143" t="s">
        <v>206</v>
      </c>
      <c r="DY143" t="s">
        <v>206</v>
      </c>
      <c r="DZ143" t="s">
        <v>207</v>
      </c>
      <c r="EA143" t="s">
        <v>198</v>
      </c>
      <c r="EB143" t="s">
        <v>198</v>
      </c>
      <c r="EC143" t="s">
        <v>198</v>
      </c>
      <c r="ED143">
        <v>0</v>
      </c>
      <c r="EE143">
        <v>0</v>
      </c>
      <c r="EF143">
        <v>0</v>
      </c>
      <c r="EG143">
        <v>0</v>
      </c>
      <c r="EH143">
        <v>255</v>
      </c>
      <c r="EI143">
        <v>255</v>
      </c>
      <c r="EJ143">
        <v>255</v>
      </c>
      <c r="EK143">
        <v>255</v>
      </c>
      <c r="EL143">
        <v>255</v>
      </c>
      <c r="EM143">
        <v>255</v>
      </c>
      <c r="EN143">
        <v>255</v>
      </c>
      <c r="EO143">
        <v>255</v>
      </c>
      <c r="EP143">
        <v>255</v>
      </c>
      <c r="EQ143">
        <v>255</v>
      </c>
      <c r="ER143" t="s">
        <v>208</v>
      </c>
      <c r="ES143" t="s">
        <v>209</v>
      </c>
      <c r="ET143" t="s">
        <v>209</v>
      </c>
      <c r="EU143">
        <v>0</v>
      </c>
      <c r="EV143">
        <v>16.2</v>
      </c>
      <c r="EW143">
        <v>-114.7</v>
      </c>
      <c r="EX143">
        <v>-0.2</v>
      </c>
      <c r="EY143">
        <v>0</v>
      </c>
      <c r="EZ143">
        <v>0</v>
      </c>
      <c r="FA143">
        <v>0</v>
      </c>
      <c r="FB143" t="s">
        <v>198</v>
      </c>
      <c r="FC143" t="s">
        <v>198</v>
      </c>
      <c r="FD143" t="s">
        <v>198</v>
      </c>
      <c r="FE143" t="s">
        <v>198</v>
      </c>
      <c r="FF143" t="s">
        <v>198</v>
      </c>
      <c r="FG143" t="s">
        <v>198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 t="s">
        <v>203</v>
      </c>
      <c r="FP143" t="s">
        <v>203</v>
      </c>
      <c r="FQ143" t="s">
        <v>203</v>
      </c>
      <c r="FR143" t="s">
        <v>203</v>
      </c>
      <c r="FS143" t="s">
        <v>203</v>
      </c>
      <c r="FT143" t="s">
        <v>203</v>
      </c>
      <c r="FU143" t="s">
        <v>198</v>
      </c>
      <c r="FV143" t="s">
        <v>198</v>
      </c>
      <c r="FW143" t="s">
        <v>198</v>
      </c>
      <c r="FX143" t="s">
        <v>198</v>
      </c>
      <c r="FY143" t="s">
        <v>198</v>
      </c>
      <c r="FZ143" t="s">
        <v>198</v>
      </c>
      <c r="GA143">
        <v>31.2</v>
      </c>
      <c r="GB143">
        <v>31.2</v>
      </c>
      <c r="GC143" t="s">
        <v>203</v>
      </c>
      <c r="GD143">
        <v>0</v>
      </c>
      <c r="GE143">
        <v>504</v>
      </c>
      <c r="GF143">
        <v>0</v>
      </c>
      <c r="GG143">
        <v>0</v>
      </c>
      <c r="GH143">
        <v>0</v>
      </c>
      <c r="GI143">
        <v>1</v>
      </c>
      <c r="GJ143">
        <v>1</v>
      </c>
      <c r="GK143">
        <v>0</v>
      </c>
      <c r="GL143" t="s">
        <v>198</v>
      </c>
      <c r="GM143" t="s">
        <v>198</v>
      </c>
      <c r="GN143" t="s">
        <v>198</v>
      </c>
    </row>
    <row r="144" spans="1:196">
      <c r="A144" s="19">
        <v>46316.90554795139</v>
      </c>
      <c r="B144">
        <v>0</v>
      </c>
      <c r="C144">
        <v>0</v>
      </c>
      <c r="D144">
        <v>277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584.2</v>
      </c>
      <c r="N144">
        <v>-0.5</v>
      </c>
      <c r="O144">
        <v>0</v>
      </c>
      <c r="P144">
        <v>0</v>
      </c>
      <c r="Q144">
        <v>0</v>
      </c>
      <c r="R144">
        <v>0</v>
      </c>
      <c r="S144">
        <v>115.6</v>
      </c>
      <c r="T144" t="s">
        <v>485</v>
      </c>
      <c r="U144">
        <v>115.7</v>
      </c>
      <c r="V144">
        <v>1762727256586.8</v>
      </c>
      <c r="W144">
        <v>1</v>
      </c>
      <c r="X144" t="s">
        <v>197</v>
      </c>
      <c r="Y144">
        <v>0</v>
      </c>
      <c r="Z144">
        <v>98</v>
      </c>
      <c r="AA144">
        <v>278</v>
      </c>
      <c r="AB144" t="s">
        <v>197</v>
      </c>
      <c r="AC144" t="s">
        <v>198</v>
      </c>
      <c r="AD144" t="s">
        <v>199</v>
      </c>
      <c r="AE144">
        <v>0</v>
      </c>
      <c r="AF144">
        <v>44</v>
      </c>
      <c r="AG144">
        <v>255</v>
      </c>
      <c r="AH144">
        <v>0</v>
      </c>
      <c r="AI144">
        <v>0</v>
      </c>
      <c r="AJ144">
        <v>0</v>
      </c>
      <c r="AK144">
        <v>12.6</v>
      </c>
      <c r="AL144">
        <v>0</v>
      </c>
      <c r="AM144">
        <v>0</v>
      </c>
      <c r="AN144" t="s">
        <v>197</v>
      </c>
      <c r="AO144">
        <v>100</v>
      </c>
      <c r="AP144" t="s">
        <v>197</v>
      </c>
      <c r="AQ144" t="s">
        <v>200</v>
      </c>
      <c r="AR144">
        <v>1</v>
      </c>
      <c r="AS144">
        <v>0</v>
      </c>
      <c r="AT144" t="s">
        <v>490</v>
      </c>
      <c r="AU144" t="s">
        <v>490</v>
      </c>
      <c r="AV144" t="s">
        <v>202</v>
      </c>
      <c r="AW144" t="s">
        <v>203</v>
      </c>
      <c r="AX144" t="s">
        <v>203</v>
      </c>
      <c r="AY144" t="s">
        <v>203</v>
      </c>
      <c r="AZ144" t="s">
        <v>203</v>
      </c>
      <c r="BA144" t="s">
        <v>203</v>
      </c>
      <c r="BB144" t="s">
        <v>203</v>
      </c>
      <c r="BC144" t="s">
        <v>203</v>
      </c>
      <c r="BD144" t="s">
        <v>203</v>
      </c>
      <c r="BE144" t="s">
        <v>203</v>
      </c>
      <c r="BF144">
        <v>0</v>
      </c>
      <c r="BG144">
        <v>0.2</v>
      </c>
      <c r="BH144">
        <v>50</v>
      </c>
      <c r="BI144">
        <v>0</v>
      </c>
      <c r="BJ144" t="s">
        <v>198</v>
      </c>
      <c r="BK144" t="s">
        <v>198</v>
      </c>
      <c r="BL144" t="s">
        <v>198</v>
      </c>
      <c r="BM144" t="s">
        <v>198</v>
      </c>
      <c r="BN144" t="s">
        <v>198</v>
      </c>
      <c r="BO144" t="s">
        <v>198</v>
      </c>
      <c r="BP144" t="s">
        <v>198</v>
      </c>
      <c r="BQ144" t="s">
        <v>198</v>
      </c>
      <c r="BR144" t="s">
        <v>198</v>
      </c>
      <c r="BS144" t="s">
        <v>198</v>
      </c>
      <c r="BT144" t="s">
        <v>198</v>
      </c>
      <c r="BU144" t="s">
        <v>198</v>
      </c>
      <c r="BV144" t="s">
        <v>198</v>
      </c>
      <c r="BW144" t="s">
        <v>198</v>
      </c>
      <c r="BX144" t="s">
        <v>198</v>
      </c>
      <c r="BY144" t="s">
        <v>198</v>
      </c>
      <c r="BZ144" t="s">
        <v>198</v>
      </c>
      <c r="CA144" t="s">
        <v>198</v>
      </c>
      <c r="CB144" t="s">
        <v>204</v>
      </c>
      <c r="CC144" t="s">
        <v>204</v>
      </c>
      <c r="CD144" t="s">
        <v>204</v>
      </c>
      <c r="CE144" t="s">
        <v>204</v>
      </c>
      <c r="CF144" t="s">
        <v>204</v>
      </c>
      <c r="CG144" t="s">
        <v>204</v>
      </c>
      <c r="CH144" t="s">
        <v>204</v>
      </c>
      <c r="CI144" t="s">
        <v>204</v>
      </c>
      <c r="CJ144" t="s">
        <v>204</v>
      </c>
      <c r="CK144" t="s">
        <v>204</v>
      </c>
      <c r="CL144" t="s">
        <v>204</v>
      </c>
      <c r="CM144" t="s">
        <v>204</v>
      </c>
      <c r="CN144" t="s">
        <v>203</v>
      </c>
      <c r="CO144" t="s">
        <v>203</v>
      </c>
      <c r="CP144" t="s">
        <v>203</v>
      </c>
      <c r="CQ144" t="s">
        <v>203</v>
      </c>
      <c r="CR144" t="s">
        <v>203</v>
      </c>
      <c r="CS144" t="s">
        <v>203</v>
      </c>
      <c r="CT144" t="s">
        <v>203</v>
      </c>
      <c r="CU144" t="s">
        <v>203</v>
      </c>
      <c r="CV144">
        <v>0</v>
      </c>
      <c r="CW144">
        <v>0</v>
      </c>
      <c r="CX144" t="s">
        <v>198</v>
      </c>
      <c r="CY144" t="s">
        <v>198</v>
      </c>
      <c r="CZ144" t="s">
        <v>198</v>
      </c>
      <c r="DA144" t="s">
        <v>198</v>
      </c>
      <c r="DB144" t="s">
        <v>198</v>
      </c>
      <c r="DC144">
        <v>0</v>
      </c>
      <c r="DD144">
        <v>0</v>
      </c>
      <c r="DE144">
        <v>0</v>
      </c>
      <c r="DF144">
        <v>0</v>
      </c>
      <c r="DG144">
        <v>-35.3631166</v>
      </c>
      <c r="DH144">
        <v>149.1639735</v>
      </c>
      <c r="DI144" t="s">
        <v>360</v>
      </c>
      <c r="DJ144">
        <v>1.2</v>
      </c>
      <c r="DK144">
        <v>2</v>
      </c>
      <c r="DL144">
        <v>159.8</v>
      </c>
      <c r="DM144">
        <v>0</v>
      </c>
      <c r="DN144">
        <v>6</v>
      </c>
      <c r="DO144">
        <v>10</v>
      </c>
      <c r="DP144">
        <v>0</v>
      </c>
      <c r="DQ144">
        <v>255</v>
      </c>
      <c r="DR144">
        <v>255</v>
      </c>
      <c r="DS144">
        <v>255</v>
      </c>
      <c r="DT144">
        <v>255</v>
      </c>
      <c r="DU144">
        <v>255</v>
      </c>
      <c r="DV144">
        <v>255</v>
      </c>
      <c r="DW144">
        <v>255</v>
      </c>
      <c r="DX144" t="s">
        <v>206</v>
      </c>
      <c r="DY144" t="s">
        <v>206</v>
      </c>
      <c r="DZ144" t="s">
        <v>207</v>
      </c>
      <c r="EA144" t="s">
        <v>198</v>
      </c>
      <c r="EB144" t="s">
        <v>198</v>
      </c>
      <c r="EC144" t="s">
        <v>198</v>
      </c>
      <c r="ED144">
        <v>0</v>
      </c>
      <c r="EE144">
        <v>0</v>
      </c>
      <c r="EF144">
        <v>0</v>
      </c>
      <c r="EG144">
        <v>0</v>
      </c>
      <c r="EH144">
        <v>255</v>
      </c>
      <c r="EI144">
        <v>255</v>
      </c>
      <c r="EJ144">
        <v>255</v>
      </c>
      <c r="EK144">
        <v>255</v>
      </c>
      <c r="EL144">
        <v>255</v>
      </c>
      <c r="EM144">
        <v>255</v>
      </c>
      <c r="EN144">
        <v>255</v>
      </c>
      <c r="EO144">
        <v>255</v>
      </c>
      <c r="EP144">
        <v>255</v>
      </c>
      <c r="EQ144">
        <v>255</v>
      </c>
      <c r="ER144" t="s">
        <v>208</v>
      </c>
      <c r="ES144" t="s">
        <v>209</v>
      </c>
      <c r="ET144" t="s">
        <v>209</v>
      </c>
      <c r="EU144">
        <v>0</v>
      </c>
      <c r="EV144">
        <v>16.2</v>
      </c>
      <c r="EW144">
        <v>-114.7</v>
      </c>
      <c r="EX144">
        <v>-0.2</v>
      </c>
      <c r="EY144">
        <v>0</v>
      </c>
      <c r="EZ144">
        <v>0</v>
      </c>
      <c r="FA144">
        <v>0</v>
      </c>
      <c r="FB144" t="s">
        <v>198</v>
      </c>
      <c r="FC144" t="s">
        <v>198</v>
      </c>
      <c r="FD144" t="s">
        <v>198</v>
      </c>
      <c r="FE144" t="s">
        <v>198</v>
      </c>
      <c r="FF144" t="s">
        <v>198</v>
      </c>
      <c r="FG144" t="s">
        <v>198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 t="s">
        <v>203</v>
      </c>
      <c r="FP144" t="s">
        <v>203</v>
      </c>
      <c r="FQ144" t="s">
        <v>203</v>
      </c>
      <c r="FR144" t="s">
        <v>203</v>
      </c>
      <c r="FS144" t="s">
        <v>203</v>
      </c>
      <c r="FT144" t="s">
        <v>203</v>
      </c>
      <c r="FU144" t="s">
        <v>198</v>
      </c>
      <c r="FV144" t="s">
        <v>198</v>
      </c>
      <c r="FW144" t="s">
        <v>198</v>
      </c>
      <c r="FX144" t="s">
        <v>198</v>
      </c>
      <c r="FY144" t="s">
        <v>198</v>
      </c>
      <c r="FZ144" t="s">
        <v>198</v>
      </c>
      <c r="GA144">
        <v>31.2</v>
      </c>
      <c r="GB144">
        <v>31.2</v>
      </c>
      <c r="GC144" t="s">
        <v>203</v>
      </c>
      <c r="GD144">
        <v>0</v>
      </c>
      <c r="GE144">
        <v>504</v>
      </c>
      <c r="GF144">
        <v>0</v>
      </c>
      <c r="GG144">
        <v>0</v>
      </c>
      <c r="GH144">
        <v>0</v>
      </c>
      <c r="GI144">
        <v>1</v>
      </c>
      <c r="GJ144">
        <v>1</v>
      </c>
      <c r="GK144">
        <v>0</v>
      </c>
      <c r="GL144" t="s">
        <v>198</v>
      </c>
      <c r="GM144" t="s">
        <v>198</v>
      </c>
      <c r="GN144" t="s">
        <v>198</v>
      </c>
    </row>
    <row r="145" spans="1:196">
      <c r="A145" s="19">
        <v>46316.90555952546</v>
      </c>
      <c r="B145">
        <v>0</v>
      </c>
      <c r="C145">
        <v>0</v>
      </c>
      <c r="D145">
        <v>277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584.2</v>
      </c>
      <c r="N145">
        <v>-0.5</v>
      </c>
      <c r="O145">
        <v>0</v>
      </c>
      <c r="P145">
        <v>0</v>
      </c>
      <c r="Q145">
        <v>0</v>
      </c>
      <c r="R145">
        <v>0</v>
      </c>
      <c r="S145">
        <v>115.6</v>
      </c>
      <c r="T145" t="s">
        <v>485</v>
      </c>
      <c r="U145">
        <v>115.7</v>
      </c>
      <c r="V145">
        <v>1762727256586.8</v>
      </c>
      <c r="W145">
        <v>1</v>
      </c>
      <c r="X145" t="s">
        <v>197</v>
      </c>
      <c r="Y145">
        <v>0</v>
      </c>
      <c r="Z145">
        <v>98</v>
      </c>
      <c r="AA145">
        <v>278</v>
      </c>
      <c r="AB145" t="s">
        <v>197</v>
      </c>
      <c r="AC145" t="s">
        <v>198</v>
      </c>
      <c r="AD145" t="s">
        <v>199</v>
      </c>
      <c r="AE145">
        <v>0</v>
      </c>
      <c r="AF145">
        <v>44</v>
      </c>
      <c r="AG145">
        <v>255</v>
      </c>
      <c r="AH145">
        <v>0</v>
      </c>
      <c r="AI145">
        <v>0</v>
      </c>
      <c r="AJ145">
        <v>0</v>
      </c>
      <c r="AK145">
        <v>12.6</v>
      </c>
      <c r="AL145">
        <v>0</v>
      </c>
      <c r="AM145">
        <v>0</v>
      </c>
      <c r="AN145" t="s">
        <v>197</v>
      </c>
      <c r="AO145">
        <v>100</v>
      </c>
      <c r="AP145" t="s">
        <v>197</v>
      </c>
      <c r="AQ145" t="s">
        <v>200</v>
      </c>
      <c r="AR145">
        <v>1</v>
      </c>
      <c r="AS145">
        <v>0</v>
      </c>
      <c r="AT145" t="s">
        <v>491</v>
      </c>
      <c r="AU145" t="s">
        <v>491</v>
      </c>
      <c r="AV145" t="s">
        <v>202</v>
      </c>
      <c r="AW145" t="s">
        <v>203</v>
      </c>
      <c r="AX145" t="s">
        <v>203</v>
      </c>
      <c r="AY145" t="s">
        <v>203</v>
      </c>
      <c r="AZ145" t="s">
        <v>203</v>
      </c>
      <c r="BA145" t="s">
        <v>203</v>
      </c>
      <c r="BB145" t="s">
        <v>203</v>
      </c>
      <c r="BC145" t="s">
        <v>203</v>
      </c>
      <c r="BD145" t="s">
        <v>203</v>
      </c>
      <c r="BE145" t="s">
        <v>203</v>
      </c>
      <c r="BF145">
        <v>0</v>
      </c>
      <c r="BG145">
        <v>0.2</v>
      </c>
      <c r="BH145">
        <v>50</v>
      </c>
      <c r="BI145">
        <v>0</v>
      </c>
      <c r="BJ145" t="s">
        <v>198</v>
      </c>
      <c r="BK145" t="s">
        <v>198</v>
      </c>
      <c r="BL145" t="s">
        <v>198</v>
      </c>
      <c r="BM145" t="s">
        <v>198</v>
      </c>
      <c r="BN145" t="s">
        <v>198</v>
      </c>
      <c r="BO145" t="s">
        <v>198</v>
      </c>
      <c r="BP145" t="s">
        <v>198</v>
      </c>
      <c r="BQ145" t="s">
        <v>198</v>
      </c>
      <c r="BR145" t="s">
        <v>198</v>
      </c>
      <c r="BS145" t="s">
        <v>198</v>
      </c>
      <c r="BT145" t="s">
        <v>198</v>
      </c>
      <c r="BU145" t="s">
        <v>198</v>
      </c>
      <c r="BV145" t="s">
        <v>198</v>
      </c>
      <c r="BW145" t="s">
        <v>198</v>
      </c>
      <c r="BX145" t="s">
        <v>198</v>
      </c>
      <c r="BY145" t="s">
        <v>198</v>
      </c>
      <c r="BZ145" t="s">
        <v>198</v>
      </c>
      <c r="CA145" t="s">
        <v>198</v>
      </c>
      <c r="CB145" t="s">
        <v>204</v>
      </c>
      <c r="CC145" t="s">
        <v>204</v>
      </c>
      <c r="CD145" t="s">
        <v>204</v>
      </c>
      <c r="CE145" t="s">
        <v>204</v>
      </c>
      <c r="CF145" t="s">
        <v>204</v>
      </c>
      <c r="CG145" t="s">
        <v>204</v>
      </c>
      <c r="CH145" t="s">
        <v>204</v>
      </c>
      <c r="CI145" t="s">
        <v>204</v>
      </c>
      <c r="CJ145" t="s">
        <v>204</v>
      </c>
      <c r="CK145" t="s">
        <v>204</v>
      </c>
      <c r="CL145" t="s">
        <v>204</v>
      </c>
      <c r="CM145" t="s">
        <v>204</v>
      </c>
      <c r="CN145" t="s">
        <v>203</v>
      </c>
      <c r="CO145" t="s">
        <v>203</v>
      </c>
      <c r="CP145" t="s">
        <v>203</v>
      </c>
      <c r="CQ145" t="s">
        <v>203</v>
      </c>
      <c r="CR145" t="s">
        <v>203</v>
      </c>
      <c r="CS145" t="s">
        <v>203</v>
      </c>
      <c r="CT145" t="s">
        <v>203</v>
      </c>
      <c r="CU145" t="s">
        <v>203</v>
      </c>
      <c r="CV145">
        <v>0</v>
      </c>
      <c r="CW145">
        <v>0</v>
      </c>
      <c r="CX145" t="s">
        <v>198</v>
      </c>
      <c r="CY145" t="s">
        <v>198</v>
      </c>
      <c r="CZ145" t="s">
        <v>198</v>
      </c>
      <c r="DA145" t="s">
        <v>198</v>
      </c>
      <c r="DB145" t="s">
        <v>198</v>
      </c>
      <c r="DC145">
        <v>0</v>
      </c>
      <c r="DD145">
        <v>0</v>
      </c>
      <c r="DE145">
        <v>0</v>
      </c>
      <c r="DF145">
        <v>0</v>
      </c>
      <c r="DG145">
        <v>-35.3631166</v>
      </c>
      <c r="DH145">
        <v>149.1639735</v>
      </c>
      <c r="DI145" t="s">
        <v>360</v>
      </c>
      <c r="DJ145">
        <v>1.2</v>
      </c>
      <c r="DK145">
        <v>2</v>
      </c>
      <c r="DL145">
        <v>159.8</v>
      </c>
      <c r="DM145">
        <v>0</v>
      </c>
      <c r="DN145">
        <v>6</v>
      </c>
      <c r="DO145">
        <v>10</v>
      </c>
      <c r="DP145">
        <v>0</v>
      </c>
      <c r="DQ145">
        <v>255</v>
      </c>
      <c r="DR145">
        <v>255</v>
      </c>
      <c r="DS145">
        <v>255</v>
      </c>
      <c r="DT145">
        <v>255</v>
      </c>
      <c r="DU145">
        <v>255</v>
      </c>
      <c r="DV145">
        <v>255</v>
      </c>
      <c r="DW145">
        <v>255</v>
      </c>
      <c r="DX145" t="s">
        <v>206</v>
      </c>
      <c r="DY145" t="s">
        <v>206</v>
      </c>
      <c r="DZ145" t="s">
        <v>207</v>
      </c>
      <c r="EA145" t="s">
        <v>198</v>
      </c>
      <c r="EB145" t="s">
        <v>198</v>
      </c>
      <c r="EC145" t="s">
        <v>198</v>
      </c>
      <c r="ED145">
        <v>0</v>
      </c>
      <c r="EE145">
        <v>0</v>
      </c>
      <c r="EF145">
        <v>0</v>
      </c>
      <c r="EG145">
        <v>0</v>
      </c>
      <c r="EH145">
        <v>255</v>
      </c>
      <c r="EI145">
        <v>255</v>
      </c>
      <c r="EJ145">
        <v>255</v>
      </c>
      <c r="EK145">
        <v>255</v>
      </c>
      <c r="EL145">
        <v>255</v>
      </c>
      <c r="EM145">
        <v>255</v>
      </c>
      <c r="EN145">
        <v>255</v>
      </c>
      <c r="EO145">
        <v>255</v>
      </c>
      <c r="EP145">
        <v>255</v>
      </c>
      <c r="EQ145">
        <v>255</v>
      </c>
      <c r="ER145" t="s">
        <v>208</v>
      </c>
      <c r="ES145" t="s">
        <v>209</v>
      </c>
      <c r="ET145" t="s">
        <v>209</v>
      </c>
      <c r="EU145">
        <v>0</v>
      </c>
      <c r="EV145">
        <v>16.2</v>
      </c>
      <c r="EW145">
        <v>-114.7</v>
      </c>
      <c r="EX145">
        <v>-0.2</v>
      </c>
      <c r="EY145">
        <v>0</v>
      </c>
      <c r="EZ145">
        <v>0</v>
      </c>
      <c r="FA145">
        <v>0</v>
      </c>
      <c r="FB145" t="s">
        <v>198</v>
      </c>
      <c r="FC145" t="s">
        <v>198</v>
      </c>
      <c r="FD145" t="s">
        <v>198</v>
      </c>
      <c r="FE145" t="s">
        <v>198</v>
      </c>
      <c r="FF145" t="s">
        <v>198</v>
      </c>
      <c r="FG145" t="s">
        <v>198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 t="s">
        <v>203</v>
      </c>
      <c r="FP145" t="s">
        <v>203</v>
      </c>
      <c r="FQ145" t="s">
        <v>203</v>
      </c>
      <c r="FR145" t="s">
        <v>203</v>
      </c>
      <c r="FS145" t="s">
        <v>203</v>
      </c>
      <c r="FT145" t="s">
        <v>203</v>
      </c>
      <c r="FU145" t="s">
        <v>198</v>
      </c>
      <c r="FV145" t="s">
        <v>198</v>
      </c>
      <c r="FW145" t="s">
        <v>198</v>
      </c>
      <c r="FX145" t="s">
        <v>198</v>
      </c>
      <c r="FY145" t="s">
        <v>198</v>
      </c>
      <c r="FZ145" t="s">
        <v>198</v>
      </c>
      <c r="GA145">
        <v>31.2</v>
      </c>
      <c r="GB145">
        <v>31.2</v>
      </c>
      <c r="GC145" t="s">
        <v>203</v>
      </c>
      <c r="GD145">
        <v>0</v>
      </c>
      <c r="GE145">
        <v>504</v>
      </c>
      <c r="GF145">
        <v>0</v>
      </c>
      <c r="GG145">
        <v>0</v>
      </c>
      <c r="GH145">
        <v>0</v>
      </c>
      <c r="GI145">
        <v>1</v>
      </c>
      <c r="GJ145">
        <v>1</v>
      </c>
      <c r="GK145">
        <v>0</v>
      </c>
      <c r="GL145" t="s">
        <v>198</v>
      </c>
      <c r="GM145" t="s">
        <v>198</v>
      </c>
      <c r="GN145" t="s">
        <v>198</v>
      </c>
    </row>
    <row r="146" spans="1:196">
      <c r="A146" s="19">
        <v>46316.90557109954</v>
      </c>
      <c r="B146">
        <v>0</v>
      </c>
      <c r="C146">
        <v>0</v>
      </c>
      <c r="D146">
        <v>277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584.2</v>
      </c>
      <c r="N146">
        <v>-0.5</v>
      </c>
      <c r="O146">
        <v>0</v>
      </c>
      <c r="P146">
        <v>0</v>
      </c>
      <c r="Q146">
        <v>0</v>
      </c>
      <c r="R146">
        <v>0</v>
      </c>
      <c r="S146">
        <v>115.6</v>
      </c>
      <c r="T146" t="s">
        <v>485</v>
      </c>
      <c r="U146">
        <v>115.7</v>
      </c>
      <c r="V146">
        <v>1762727256586.8</v>
      </c>
      <c r="W146">
        <v>1</v>
      </c>
      <c r="X146" t="s">
        <v>197</v>
      </c>
      <c r="Y146">
        <v>0</v>
      </c>
      <c r="Z146">
        <v>98</v>
      </c>
      <c r="AA146">
        <v>278</v>
      </c>
      <c r="AB146" t="s">
        <v>197</v>
      </c>
      <c r="AC146" t="s">
        <v>198</v>
      </c>
      <c r="AD146" t="s">
        <v>199</v>
      </c>
      <c r="AE146">
        <v>0</v>
      </c>
      <c r="AF146">
        <v>44</v>
      </c>
      <c r="AG146">
        <v>255</v>
      </c>
      <c r="AH146">
        <v>0</v>
      </c>
      <c r="AI146">
        <v>0</v>
      </c>
      <c r="AJ146">
        <v>0</v>
      </c>
      <c r="AK146">
        <v>12.6</v>
      </c>
      <c r="AL146">
        <v>0</v>
      </c>
      <c r="AM146">
        <v>0</v>
      </c>
      <c r="AN146" t="s">
        <v>197</v>
      </c>
      <c r="AO146">
        <v>100</v>
      </c>
      <c r="AP146" t="s">
        <v>197</v>
      </c>
      <c r="AQ146" t="s">
        <v>200</v>
      </c>
      <c r="AR146">
        <v>1</v>
      </c>
      <c r="AS146">
        <v>0</v>
      </c>
      <c r="AT146" t="s">
        <v>492</v>
      </c>
      <c r="AU146" t="s">
        <v>492</v>
      </c>
      <c r="AV146" t="s">
        <v>202</v>
      </c>
      <c r="AW146" t="s">
        <v>203</v>
      </c>
      <c r="AX146" t="s">
        <v>203</v>
      </c>
      <c r="AY146" t="s">
        <v>203</v>
      </c>
      <c r="AZ146" t="s">
        <v>203</v>
      </c>
      <c r="BA146" t="s">
        <v>203</v>
      </c>
      <c r="BB146" t="s">
        <v>203</v>
      </c>
      <c r="BC146" t="s">
        <v>203</v>
      </c>
      <c r="BD146" t="s">
        <v>203</v>
      </c>
      <c r="BE146" t="s">
        <v>203</v>
      </c>
      <c r="BF146">
        <v>0</v>
      </c>
      <c r="BG146">
        <v>0.2</v>
      </c>
      <c r="BH146">
        <v>50</v>
      </c>
      <c r="BI146">
        <v>0</v>
      </c>
      <c r="BJ146" t="s">
        <v>198</v>
      </c>
      <c r="BK146" t="s">
        <v>198</v>
      </c>
      <c r="BL146" t="s">
        <v>198</v>
      </c>
      <c r="BM146" t="s">
        <v>198</v>
      </c>
      <c r="BN146" t="s">
        <v>198</v>
      </c>
      <c r="BO146" t="s">
        <v>198</v>
      </c>
      <c r="BP146" t="s">
        <v>198</v>
      </c>
      <c r="BQ146" t="s">
        <v>198</v>
      </c>
      <c r="BR146" t="s">
        <v>198</v>
      </c>
      <c r="BS146" t="s">
        <v>198</v>
      </c>
      <c r="BT146" t="s">
        <v>198</v>
      </c>
      <c r="BU146" t="s">
        <v>198</v>
      </c>
      <c r="BV146" t="s">
        <v>198</v>
      </c>
      <c r="BW146" t="s">
        <v>198</v>
      </c>
      <c r="BX146" t="s">
        <v>198</v>
      </c>
      <c r="BY146" t="s">
        <v>198</v>
      </c>
      <c r="BZ146" t="s">
        <v>198</v>
      </c>
      <c r="CA146" t="s">
        <v>198</v>
      </c>
      <c r="CB146" t="s">
        <v>204</v>
      </c>
      <c r="CC146" t="s">
        <v>204</v>
      </c>
      <c r="CD146" t="s">
        <v>204</v>
      </c>
      <c r="CE146" t="s">
        <v>204</v>
      </c>
      <c r="CF146" t="s">
        <v>204</v>
      </c>
      <c r="CG146" t="s">
        <v>204</v>
      </c>
      <c r="CH146" t="s">
        <v>204</v>
      </c>
      <c r="CI146" t="s">
        <v>204</v>
      </c>
      <c r="CJ146" t="s">
        <v>204</v>
      </c>
      <c r="CK146" t="s">
        <v>204</v>
      </c>
      <c r="CL146" t="s">
        <v>204</v>
      </c>
      <c r="CM146" t="s">
        <v>204</v>
      </c>
      <c r="CN146" t="s">
        <v>203</v>
      </c>
      <c r="CO146" t="s">
        <v>203</v>
      </c>
      <c r="CP146" t="s">
        <v>203</v>
      </c>
      <c r="CQ146" t="s">
        <v>203</v>
      </c>
      <c r="CR146" t="s">
        <v>203</v>
      </c>
      <c r="CS146" t="s">
        <v>203</v>
      </c>
      <c r="CT146" t="s">
        <v>203</v>
      </c>
      <c r="CU146" t="s">
        <v>203</v>
      </c>
      <c r="CV146">
        <v>0</v>
      </c>
      <c r="CW146">
        <v>0</v>
      </c>
      <c r="CX146" t="s">
        <v>198</v>
      </c>
      <c r="CY146" t="s">
        <v>198</v>
      </c>
      <c r="CZ146" t="s">
        <v>198</v>
      </c>
      <c r="DA146" t="s">
        <v>198</v>
      </c>
      <c r="DB146" t="s">
        <v>198</v>
      </c>
      <c r="DC146">
        <v>0</v>
      </c>
      <c r="DD146">
        <v>0</v>
      </c>
      <c r="DE146">
        <v>0</v>
      </c>
      <c r="DF146">
        <v>0</v>
      </c>
      <c r="DG146">
        <v>-35.3631166</v>
      </c>
      <c r="DH146">
        <v>149.1639735</v>
      </c>
      <c r="DI146" t="s">
        <v>360</v>
      </c>
      <c r="DJ146">
        <v>1.2</v>
      </c>
      <c r="DK146">
        <v>2</v>
      </c>
      <c r="DL146">
        <v>159.8</v>
      </c>
      <c r="DM146">
        <v>0</v>
      </c>
      <c r="DN146">
        <v>6</v>
      </c>
      <c r="DO146">
        <v>10</v>
      </c>
      <c r="DP146">
        <v>0</v>
      </c>
      <c r="DQ146">
        <v>255</v>
      </c>
      <c r="DR146">
        <v>255</v>
      </c>
      <c r="DS146">
        <v>255</v>
      </c>
      <c r="DT146">
        <v>255</v>
      </c>
      <c r="DU146">
        <v>255</v>
      </c>
      <c r="DV146">
        <v>255</v>
      </c>
      <c r="DW146">
        <v>255</v>
      </c>
      <c r="DX146" t="s">
        <v>206</v>
      </c>
      <c r="DY146" t="s">
        <v>206</v>
      </c>
      <c r="DZ146" t="s">
        <v>207</v>
      </c>
      <c r="EA146" t="s">
        <v>198</v>
      </c>
      <c r="EB146" t="s">
        <v>198</v>
      </c>
      <c r="EC146" t="s">
        <v>198</v>
      </c>
      <c r="ED146">
        <v>0</v>
      </c>
      <c r="EE146">
        <v>0</v>
      </c>
      <c r="EF146">
        <v>0</v>
      </c>
      <c r="EG146">
        <v>0</v>
      </c>
      <c r="EH146">
        <v>255</v>
      </c>
      <c r="EI146">
        <v>255</v>
      </c>
      <c r="EJ146">
        <v>255</v>
      </c>
      <c r="EK146">
        <v>255</v>
      </c>
      <c r="EL146">
        <v>255</v>
      </c>
      <c r="EM146">
        <v>255</v>
      </c>
      <c r="EN146">
        <v>255</v>
      </c>
      <c r="EO146">
        <v>255</v>
      </c>
      <c r="EP146">
        <v>255</v>
      </c>
      <c r="EQ146">
        <v>255</v>
      </c>
      <c r="ER146" t="s">
        <v>208</v>
      </c>
      <c r="ES146" t="s">
        <v>209</v>
      </c>
      <c r="ET146" t="s">
        <v>209</v>
      </c>
      <c r="EU146">
        <v>0</v>
      </c>
      <c r="EV146">
        <v>16.2</v>
      </c>
      <c r="EW146">
        <v>-114.7</v>
      </c>
      <c r="EX146">
        <v>-0.2</v>
      </c>
      <c r="EY146">
        <v>0</v>
      </c>
      <c r="EZ146">
        <v>0</v>
      </c>
      <c r="FA146">
        <v>0</v>
      </c>
      <c r="FB146" t="s">
        <v>198</v>
      </c>
      <c r="FC146" t="s">
        <v>198</v>
      </c>
      <c r="FD146" t="s">
        <v>198</v>
      </c>
      <c r="FE146" t="s">
        <v>198</v>
      </c>
      <c r="FF146" t="s">
        <v>198</v>
      </c>
      <c r="FG146" t="s">
        <v>198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 t="s">
        <v>203</v>
      </c>
      <c r="FP146" t="s">
        <v>203</v>
      </c>
      <c r="FQ146" t="s">
        <v>203</v>
      </c>
      <c r="FR146" t="s">
        <v>203</v>
      </c>
      <c r="FS146" t="s">
        <v>203</v>
      </c>
      <c r="FT146" t="s">
        <v>203</v>
      </c>
      <c r="FU146" t="s">
        <v>198</v>
      </c>
      <c r="FV146" t="s">
        <v>198</v>
      </c>
      <c r="FW146" t="s">
        <v>198</v>
      </c>
      <c r="FX146" t="s">
        <v>198</v>
      </c>
      <c r="FY146" t="s">
        <v>198</v>
      </c>
      <c r="FZ146" t="s">
        <v>198</v>
      </c>
      <c r="GA146">
        <v>31.2</v>
      </c>
      <c r="GB146">
        <v>31.2</v>
      </c>
      <c r="GC146" t="s">
        <v>203</v>
      </c>
      <c r="GD146">
        <v>0</v>
      </c>
      <c r="GE146">
        <v>504</v>
      </c>
      <c r="GF146">
        <v>0</v>
      </c>
      <c r="GG146">
        <v>0</v>
      </c>
      <c r="GH146">
        <v>0</v>
      </c>
      <c r="GI146">
        <v>1</v>
      </c>
      <c r="GJ146">
        <v>1</v>
      </c>
      <c r="GK146">
        <v>0</v>
      </c>
      <c r="GL146" t="s">
        <v>198</v>
      </c>
      <c r="GM146" t="s">
        <v>198</v>
      </c>
      <c r="GN146" t="s">
        <v>198</v>
      </c>
    </row>
    <row r="147" spans="1:196">
      <c r="A147" s="19">
        <v>46316.90558267361</v>
      </c>
      <c r="B147">
        <v>0</v>
      </c>
      <c r="C147">
        <v>0</v>
      </c>
      <c r="D147">
        <v>277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584.2</v>
      </c>
      <c r="N147">
        <v>-0.5</v>
      </c>
      <c r="O147">
        <v>0</v>
      </c>
      <c r="P147">
        <v>0</v>
      </c>
      <c r="Q147">
        <v>0</v>
      </c>
      <c r="R147">
        <v>0</v>
      </c>
      <c r="S147">
        <v>115.6</v>
      </c>
      <c r="T147" t="s">
        <v>485</v>
      </c>
      <c r="U147">
        <v>115.7</v>
      </c>
      <c r="V147">
        <v>1762727256586.8</v>
      </c>
      <c r="W147">
        <v>1</v>
      </c>
      <c r="X147" t="s">
        <v>197</v>
      </c>
      <c r="Y147">
        <v>0</v>
      </c>
      <c r="Z147">
        <v>98</v>
      </c>
      <c r="AA147">
        <v>278</v>
      </c>
      <c r="AB147" t="s">
        <v>197</v>
      </c>
      <c r="AC147" t="s">
        <v>198</v>
      </c>
      <c r="AD147" t="s">
        <v>199</v>
      </c>
      <c r="AE147">
        <v>0</v>
      </c>
      <c r="AF147">
        <v>44</v>
      </c>
      <c r="AG147">
        <v>255</v>
      </c>
      <c r="AH147">
        <v>0</v>
      </c>
      <c r="AI147">
        <v>0</v>
      </c>
      <c r="AJ147">
        <v>0</v>
      </c>
      <c r="AK147">
        <v>12.6</v>
      </c>
      <c r="AL147">
        <v>0</v>
      </c>
      <c r="AM147">
        <v>0</v>
      </c>
      <c r="AN147" t="s">
        <v>197</v>
      </c>
      <c r="AO147">
        <v>100</v>
      </c>
      <c r="AP147" t="s">
        <v>197</v>
      </c>
      <c r="AQ147" t="s">
        <v>200</v>
      </c>
      <c r="AR147">
        <v>1</v>
      </c>
      <c r="AS147">
        <v>0</v>
      </c>
      <c r="AT147" t="s">
        <v>493</v>
      </c>
      <c r="AU147" t="s">
        <v>493</v>
      </c>
      <c r="AV147" t="s">
        <v>202</v>
      </c>
      <c r="AW147" t="s">
        <v>203</v>
      </c>
      <c r="AX147" t="s">
        <v>203</v>
      </c>
      <c r="AY147" t="s">
        <v>203</v>
      </c>
      <c r="AZ147" t="s">
        <v>203</v>
      </c>
      <c r="BA147" t="s">
        <v>203</v>
      </c>
      <c r="BB147" t="s">
        <v>203</v>
      </c>
      <c r="BC147" t="s">
        <v>203</v>
      </c>
      <c r="BD147" t="s">
        <v>203</v>
      </c>
      <c r="BE147" t="s">
        <v>203</v>
      </c>
      <c r="BF147">
        <v>0</v>
      </c>
      <c r="BG147">
        <v>0.2</v>
      </c>
      <c r="BH147">
        <v>50</v>
      </c>
      <c r="BI147">
        <v>0</v>
      </c>
      <c r="BJ147" t="s">
        <v>198</v>
      </c>
      <c r="BK147" t="s">
        <v>198</v>
      </c>
      <c r="BL147" t="s">
        <v>198</v>
      </c>
      <c r="BM147" t="s">
        <v>198</v>
      </c>
      <c r="BN147" t="s">
        <v>198</v>
      </c>
      <c r="BO147" t="s">
        <v>198</v>
      </c>
      <c r="BP147" t="s">
        <v>198</v>
      </c>
      <c r="BQ147" t="s">
        <v>198</v>
      </c>
      <c r="BR147" t="s">
        <v>198</v>
      </c>
      <c r="BS147" t="s">
        <v>198</v>
      </c>
      <c r="BT147" t="s">
        <v>198</v>
      </c>
      <c r="BU147" t="s">
        <v>198</v>
      </c>
      <c r="BV147" t="s">
        <v>198</v>
      </c>
      <c r="BW147" t="s">
        <v>198</v>
      </c>
      <c r="BX147" t="s">
        <v>198</v>
      </c>
      <c r="BY147" t="s">
        <v>198</v>
      </c>
      <c r="BZ147" t="s">
        <v>198</v>
      </c>
      <c r="CA147" t="s">
        <v>198</v>
      </c>
      <c r="CB147" t="s">
        <v>204</v>
      </c>
      <c r="CC147" t="s">
        <v>204</v>
      </c>
      <c r="CD147" t="s">
        <v>204</v>
      </c>
      <c r="CE147" t="s">
        <v>204</v>
      </c>
      <c r="CF147" t="s">
        <v>204</v>
      </c>
      <c r="CG147" t="s">
        <v>204</v>
      </c>
      <c r="CH147" t="s">
        <v>204</v>
      </c>
      <c r="CI147" t="s">
        <v>204</v>
      </c>
      <c r="CJ147" t="s">
        <v>204</v>
      </c>
      <c r="CK147" t="s">
        <v>204</v>
      </c>
      <c r="CL147" t="s">
        <v>204</v>
      </c>
      <c r="CM147" t="s">
        <v>204</v>
      </c>
      <c r="CN147" t="s">
        <v>203</v>
      </c>
      <c r="CO147" t="s">
        <v>203</v>
      </c>
      <c r="CP147" t="s">
        <v>203</v>
      </c>
      <c r="CQ147" t="s">
        <v>203</v>
      </c>
      <c r="CR147" t="s">
        <v>203</v>
      </c>
      <c r="CS147" t="s">
        <v>203</v>
      </c>
      <c r="CT147" t="s">
        <v>203</v>
      </c>
      <c r="CU147" t="s">
        <v>203</v>
      </c>
      <c r="CV147">
        <v>0</v>
      </c>
      <c r="CW147">
        <v>0</v>
      </c>
      <c r="CX147" t="s">
        <v>198</v>
      </c>
      <c r="CY147" t="s">
        <v>198</v>
      </c>
      <c r="CZ147" t="s">
        <v>198</v>
      </c>
      <c r="DA147" t="s">
        <v>198</v>
      </c>
      <c r="DB147" t="s">
        <v>198</v>
      </c>
      <c r="DC147">
        <v>0</v>
      </c>
      <c r="DD147">
        <v>0</v>
      </c>
      <c r="DE147">
        <v>0</v>
      </c>
      <c r="DF147">
        <v>0</v>
      </c>
      <c r="DG147">
        <v>-35.3631166</v>
      </c>
      <c r="DH147">
        <v>149.1639735</v>
      </c>
      <c r="DI147" t="s">
        <v>360</v>
      </c>
      <c r="DJ147">
        <v>1.2</v>
      </c>
      <c r="DK147">
        <v>2</v>
      </c>
      <c r="DL147">
        <v>159.8</v>
      </c>
      <c r="DM147">
        <v>0</v>
      </c>
      <c r="DN147">
        <v>6</v>
      </c>
      <c r="DO147">
        <v>10</v>
      </c>
      <c r="DP147">
        <v>0</v>
      </c>
      <c r="DQ147">
        <v>255</v>
      </c>
      <c r="DR147">
        <v>255</v>
      </c>
      <c r="DS147">
        <v>255</v>
      </c>
      <c r="DT147">
        <v>255</v>
      </c>
      <c r="DU147">
        <v>255</v>
      </c>
      <c r="DV147">
        <v>255</v>
      </c>
      <c r="DW147">
        <v>255</v>
      </c>
      <c r="DX147" t="s">
        <v>206</v>
      </c>
      <c r="DY147" t="s">
        <v>206</v>
      </c>
      <c r="DZ147" t="s">
        <v>207</v>
      </c>
      <c r="EA147" t="s">
        <v>198</v>
      </c>
      <c r="EB147" t="s">
        <v>198</v>
      </c>
      <c r="EC147" t="s">
        <v>198</v>
      </c>
      <c r="ED147">
        <v>0</v>
      </c>
      <c r="EE147">
        <v>0</v>
      </c>
      <c r="EF147">
        <v>0</v>
      </c>
      <c r="EG147">
        <v>0</v>
      </c>
      <c r="EH147">
        <v>255</v>
      </c>
      <c r="EI147">
        <v>255</v>
      </c>
      <c r="EJ147">
        <v>255</v>
      </c>
      <c r="EK147">
        <v>255</v>
      </c>
      <c r="EL147">
        <v>255</v>
      </c>
      <c r="EM147">
        <v>255</v>
      </c>
      <c r="EN147">
        <v>255</v>
      </c>
      <c r="EO147">
        <v>255</v>
      </c>
      <c r="EP147">
        <v>255</v>
      </c>
      <c r="EQ147">
        <v>255</v>
      </c>
      <c r="ER147" t="s">
        <v>208</v>
      </c>
      <c r="ES147" t="s">
        <v>209</v>
      </c>
      <c r="ET147" t="s">
        <v>209</v>
      </c>
      <c r="EU147">
        <v>0</v>
      </c>
      <c r="EV147">
        <v>16.2</v>
      </c>
      <c r="EW147">
        <v>-114.7</v>
      </c>
      <c r="EX147">
        <v>-0.2</v>
      </c>
      <c r="EY147">
        <v>0</v>
      </c>
      <c r="EZ147">
        <v>0</v>
      </c>
      <c r="FA147">
        <v>0</v>
      </c>
      <c r="FB147" t="s">
        <v>198</v>
      </c>
      <c r="FC147" t="s">
        <v>198</v>
      </c>
      <c r="FD147" t="s">
        <v>198</v>
      </c>
      <c r="FE147" t="s">
        <v>198</v>
      </c>
      <c r="FF147" t="s">
        <v>198</v>
      </c>
      <c r="FG147" t="s">
        <v>198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 t="s">
        <v>203</v>
      </c>
      <c r="FP147" t="s">
        <v>203</v>
      </c>
      <c r="FQ147" t="s">
        <v>203</v>
      </c>
      <c r="FR147" t="s">
        <v>203</v>
      </c>
      <c r="FS147" t="s">
        <v>203</v>
      </c>
      <c r="FT147" t="s">
        <v>203</v>
      </c>
      <c r="FU147" t="s">
        <v>198</v>
      </c>
      <c r="FV147" t="s">
        <v>198</v>
      </c>
      <c r="FW147" t="s">
        <v>198</v>
      </c>
      <c r="FX147" t="s">
        <v>198</v>
      </c>
      <c r="FY147" t="s">
        <v>198</v>
      </c>
      <c r="FZ147" t="s">
        <v>198</v>
      </c>
      <c r="GA147">
        <v>31.2</v>
      </c>
      <c r="GB147">
        <v>31.2</v>
      </c>
      <c r="GC147" t="s">
        <v>203</v>
      </c>
      <c r="GD147">
        <v>0</v>
      </c>
      <c r="GE147">
        <v>504</v>
      </c>
      <c r="GF147">
        <v>0</v>
      </c>
      <c r="GG147">
        <v>0</v>
      </c>
      <c r="GH147">
        <v>0</v>
      </c>
      <c r="GI147">
        <v>1</v>
      </c>
      <c r="GJ147">
        <v>1</v>
      </c>
      <c r="GK147">
        <v>0</v>
      </c>
      <c r="GL147" t="s">
        <v>198</v>
      </c>
      <c r="GM147" t="s">
        <v>198</v>
      </c>
      <c r="GN147" t="s">
        <v>198</v>
      </c>
    </row>
    <row r="148" spans="1:196">
      <c r="A148" s="19">
        <v>46316.90559424768</v>
      </c>
      <c r="B148">
        <v>0</v>
      </c>
      <c r="C148">
        <v>0</v>
      </c>
      <c r="D148">
        <v>277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584.2</v>
      </c>
      <c r="N148">
        <v>-0.5</v>
      </c>
      <c r="O148">
        <v>0</v>
      </c>
      <c r="P148">
        <v>0</v>
      </c>
      <c r="Q148">
        <v>0</v>
      </c>
      <c r="R148">
        <v>0</v>
      </c>
      <c r="S148">
        <v>115.6</v>
      </c>
      <c r="T148" t="s">
        <v>485</v>
      </c>
      <c r="U148">
        <v>115.7</v>
      </c>
      <c r="V148">
        <v>1762727256586.8</v>
      </c>
      <c r="W148">
        <v>1</v>
      </c>
      <c r="X148" t="s">
        <v>197</v>
      </c>
      <c r="Y148">
        <v>0</v>
      </c>
      <c r="Z148">
        <v>98</v>
      </c>
      <c r="AA148">
        <v>278</v>
      </c>
      <c r="AB148" t="s">
        <v>197</v>
      </c>
      <c r="AC148" t="s">
        <v>198</v>
      </c>
      <c r="AD148" t="s">
        <v>199</v>
      </c>
      <c r="AE148">
        <v>0</v>
      </c>
      <c r="AF148">
        <v>44</v>
      </c>
      <c r="AG148">
        <v>255</v>
      </c>
      <c r="AH148">
        <v>0</v>
      </c>
      <c r="AI148">
        <v>0</v>
      </c>
      <c r="AJ148">
        <v>0</v>
      </c>
      <c r="AK148">
        <v>12.6</v>
      </c>
      <c r="AL148">
        <v>0</v>
      </c>
      <c r="AM148">
        <v>0</v>
      </c>
      <c r="AN148" t="s">
        <v>197</v>
      </c>
      <c r="AO148">
        <v>100</v>
      </c>
      <c r="AP148" t="s">
        <v>197</v>
      </c>
      <c r="AQ148" t="s">
        <v>200</v>
      </c>
      <c r="AR148">
        <v>1</v>
      </c>
      <c r="AS148">
        <v>0</v>
      </c>
      <c r="AT148" t="s">
        <v>494</v>
      </c>
      <c r="AU148" t="s">
        <v>494</v>
      </c>
      <c r="AV148" t="s">
        <v>202</v>
      </c>
      <c r="AW148" t="s">
        <v>203</v>
      </c>
      <c r="AX148" t="s">
        <v>203</v>
      </c>
      <c r="AY148" t="s">
        <v>203</v>
      </c>
      <c r="AZ148" t="s">
        <v>203</v>
      </c>
      <c r="BA148" t="s">
        <v>203</v>
      </c>
      <c r="BB148" t="s">
        <v>203</v>
      </c>
      <c r="BC148" t="s">
        <v>203</v>
      </c>
      <c r="BD148" t="s">
        <v>203</v>
      </c>
      <c r="BE148" t="s">
        <v>203</v>
      </c>
      <c r="BF148">
        <v>0</v>
      </c>
      <c r="BG148">
        <v>0.2</v>
      </c>
      <c r="BH148">
        <v>50</v>
      </c>
      <c r="BI148">
        <v>0</v>
      </c>
      <c r="BJ148" t="s">
        <v>198</v>
      </c>
      <c r="BK148" t="s">
        <v>198</v>
      </c>
      <c r="BL148" t="s">
        <v>198</v>
      </c>
      <c r="BM148" t="s">
        <v>198</v>
      </c>
      <c r="BN148" t="s">
        <v>198</v>
      </c>
      <c r="BO148" t="s">
        <v>198</v>
      </c>
      <c r="BP148" t="s">
        <v>198</v>
      </c>
      <c r="BQ148" t="s">
        <v>198</v>
      </c>
      <c r="BR148" t="s">
        <v>198</v>
      </c>
      <c r="BS148" t="s">
        <v>198</v>
      </c>
      <c r="BT148" t="s">
        <v>198</v>
      </c>
      <c r="BU148" t="s">
        <v>198</v>
      </c>
      <c r="BV148" t="s">
        <v>198</v>
      </c>
      <c r="BW148" t="s">
        <v>198</v>
      </c>
      <c r="BX148" t="s">
        <v>198</v>
      </c>
      <c r="BY148" t="s">
        <v>198</v>
      </c>
      <c r="BZ148" t="s">
        <v>198</v>
      </c>
      <c r="CA148" t="s">
        <v>198</v>
      </c>
      <c r="CB148" t="s">
        <v>204</v>
      </c>
      <c r="CC148" t="s">
        <v>204</v>
      </c>
      <c r="CD148" t="s">
        <v>204</v>
      </c>
      <c r="CE148" t="s">
        <v>204</v>
      </c>
      <c r="CF148" t="s">
        <v>204</v>
      </c>
      <c r="CG148" t="s">
        <v>204</v>
      </c>
      <c r="CH148" t="s">
        <v>204</v>
      </c>
      <c r="CI148" t="s">
        <v>204</v>
      </c>
      <c r="CJ148" t="s">
        <v>204</v>
      </c>
      <c r="CK148" t="s">
        <v>204</v>
      </c>
      <c r="CL148" t="s">
        <v>204</v>
      </c>
      <c r="CM148" t="s">
        <v>204</v>
      </c>
      <c r="CN148" t="s">
        <v>203</v>
      </c>
      <c r="CO148" t="s">
        <v>203</v>
      </c>
      <c r="CP148" t="s">
        <v>203</v>
      </c>
      <c r="CQ148" t="s">
        <v>203</v>
      </c>
      <c r="CR148" t="s">
        <v>203</v>
      </c>
      <c r="CS148" t="s">
        <v>203</v>
      </c>
      <c r="CT148" t="s">
        <v>203</v>
      </c>
      <c r="CU148" t="s">
        <v>203</v>
      </c>
      <c r="CV148">
        <v>0</v>
      </c>
      <c r="CW148">
        <v>0</v>
      </c>
      <c r="CX148" t="s">
        <v>198</v>
      </c>
      <c r="CY148" t="s">
        <v>198</v>
      </c>
      <c r="CZ148" t="s">
        <v>198</v>
      </c>
      <c r="DA148" t="s">
        <v>198</v>
      </c>
      <c r="DB148" t="s">
        <v>198</v>
      </c>
      <c r="DC148">
        <v>0</v>
      </c>
      <c r="DD148">
        <v>0</v>
      </c>
      <c r="DE148">
        <v>0</v>
      </c>
      <c r="DF148">
        <v>0</v>
      </c>
      <c r="DG148">
        <v>-35.3631166</v>
      </c>
      <c r="DH148">
        <v>149.1639735</v>
      </c>
      <c r="DI148" t="s">
        <v>360</v>
      </c>
      <c r="DJ148">
        <v>1.2</v>
      </c>
      <c r="DK148">
        <v>2</v>
      </c>
      <c r="DL148">
        <v>159.8</v>
      </c>
      <c r="DM148">
        <v>0</v>
      </c>
      <c r="DN148">
        <v>6</v>
      </c>
      <c r="DO148">
        <v>10</v>
      </c>
      <c r="DP148">
        <v>0</v>
      </c>
      <c r="DQ148">
        <v>255</v>
      </c>
      <c r="DR148">
        <v>255</v>
      </c>
      <c r="DS148">
        <v>255</v>
      </c>
      <c r="DT148">
        <v>255</v>
      </c>
      <c r="DU148">
        <v>255</v>
      </c>
      <c r="DV148">
        <v>255</v>
      </c>
      <c r="DW148">
        <v>255</v>
      </c>
      <c r="DX148" t="s">
        <v>206</v>
      </c>
      <c r="DY148" t="s">
        <v>206</v>
      </c>
      <c r="DZ148" t="s">
        <v>207</v>
      </c>
      <c r="EA148" t="s">
        <v>198</v>
      </c>
      <c r="EB148" t="s">
        <v>198</v>
      </c>
      <c r="EC148" t="s">
        <v>198</v>
      </c>
      <c r="ED148">
        <v>0</v>
      </c>
      <c r="EE148">
        <v>0</v>
      </c>
      <c r="EF148">
        <v>0</v>
      </c>
      <c r="EG148">
        <v>0</v>
      </c>
      <c r="EH148">
        <v>255</v>
      </c>
      <c r="EI148">
        <v>255</v>
      </c>
      <c r="EJ148">
        <v>255</v>
      </c>
      <c r="EK148">
        <v>255</v>
      </c>
      <c r="EL148">
        <v>255</v>
      </c>
      <c r="EM148">
        <v>255</v>
      </c>
      <c r="EN148">
        <v>255</v>
      </c>
      <c r="EO148">
        <v>255</v>
      </c>
      <c r="EP148">
        <v>255</v>
      </c>
      <c r="EQ148">
        <v>255</v>
      </c>
      <c r="ER148" t="s">
        <v>208</v>
      </c>
      <c r="ES148" t="s">
        <v>209</v>
      </c>
      <c r="ET148" t="s">
        <v>209</v>
      </c>
      <c r="EU148">
        <v>0</v>
      </c>
      <c r="EV148">
        <v>16.2</v>
      </c>
      <c r="EW148">
        <v>-114.7</v>
      </c>
      <c r="EX148">
        <v>-0.2</v>
      </c>
      <c r="EY148">
        <v>0</v>
      </c>
      <c r="EZ148">
        <v>0</v>
      </c>
      <c r="FA148">
        <v>0</v>
      </c>
      <c r="FB148" t="s">
        <v>198</v>
      </c>
      <c r="FC148" t="s">
        <v>198</v>
      </c>
      <c r="FD148" t="s">
        <v>198</v>
      </c>
      <c r="FE148" t="s">
        <v>198</v>
      </c>
      <c r="FF148" t="s">
        <v>198</v>
      </c>
      <c r="FG148" t="s">
        <v>198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 t="s">
        <v>203</v>
      </c>
      <c r="FP148" t="s">
        <v>203</v>
      </c>
      <c r="FQ148" t="s">
        <v>203</v>
      </c>
      <c r="FR148" t="s">
        <v>203</v>
      </c>
      <c r="FS148" t="s">
        <v>203</v>
      </c>
      <c r="FT148" t="s">
        <v>203</v>
      </c>
      <c r="FU148" t="s">
        <v>198</v>
      </c>
      <c r="FV148" t="s">
        <v>198</v>
      </c>
      <c r="FW148" t="s">
        <v>198</v>
      </c>
      <c r="FX148" t="s">
        <v>198</v>
      </c>
      <c r="FY148" t="s">
        <v>198</v>
      </c>
      <c r="FZ148" t="s">
        <v>198</v>
      </c>
      <c r="GA148">
        <v>31.2</v>
      </c>
      <c r="GB148">
        <v>31.2</v>
      </c>
      <c r="GC148" t="s">
        <v>203</v>
      </c>
      <c r="GD148">
        <v>0</v>
      </c>
      <c r="GE148">
        <v>504</v>
      </c>
      <c r="GF148">
        <v>0</v>
      </c>
      <c r="GG148">
        <v>0</v>
      </c>
      <c r="GH148">
        <v>0</v>
      </c>
      <c r="GI148">
        <v>1</v>
      </c>
      <c r="GJ148">
        <v>1</v>
      </c>
      <c r="GK148">
        <v>0</v>
      </c>
      <c r="GL148" t="s">
        <v>198</v>
      </c>
      <c r="GM148" t="s">
        <v>198</v>
      </c>
      <c r="GN148" t="s">
        <v>198</v>
      </c>
    </row>
    <row r="149" spans="1:196">
      <c r="A149" s="19">
        <v>46316.90560582176</v>
      </c>
      <c r="B149">
        <v>0</v>
      </c>
      <c r="C149">
        <v>0</v>
      </c>
      <c r="D149">
        <v>277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584.2</v>
      </c>
      <c r="N149">
        <v>-0.5</v>
      </c>
      <c r="O149">
        <v>0</v>
      </c>
      <c r="P149">
        <v>0</v>
      </c>
      <c r="Q149">
        <v>0</v>
      </c>
      <c r="R149">
        <v>0</v>
      </c>
      <c r="S149">
        <v>115.6</v>
      </c>
      <c r="T149" t="s">
        <v>485</v>
      </c>
      <c r="U149">
        <v>115.7</v>
      </c>
      <c r="V149">
        <v>1762727256586.8</v>
      </c>
      <c r="W149">
        <v>1</v>
      </c>
      <c r="X149" t="s">
        <v>197</v>
      </c>
      <c r="Y149">
        <v>0</v>
      </c>
      <c r="Z149">
        <v>98</v>
      </c>
      <c r="AA149">
        <v>278</v>
      </c>
      <c r="AB149" t="s">
        <v>197</v>
      </c>
      <c r="AC149" t="s">
        <v>198</v>
      </c>
      <c r="AD149" t="s">
        <v>199</v>
      </c>
      <c r="AE149">
        <v>0</v>
      </c>
      <c r="AF149">
        <v>44</v>
      </c>
      <c r="AG149">
        <v>255</v>
      </c>
      <c r="AH149">
        <v>0</v>
      </c>
      <c r="AI149">
        <v>0</v>
      </c>
      <c r="AJ149">
        <v>0</v>
      </c>
      <c r="AK149">
        <v>12.6</v>
      </c>
      <c r="AL149">
        <v>0</v>
      </c>
      <c r="AM149">
        <v>0</v>
      </c>
      <c r="AN149" t="s">
        <v>197</v>
      </c>
      <c r="AO149">
        <v>100</v>
      </c>
      <c r="AP149" t="s">
        <v>197</v>
      </c>
      <c r="AQ149" t="s">
        <v>200</v>
      </c>
      <c r="AR149">
        <v>1</v>
      </c>
      <c r="AS149">
        <v>0</v>
      </c>
      <c r="AT149" t="s">
        <v>495</v>
      </c>
      <c r="AU149" t="s">
        <v>495</v>
      </c>
      <c r="AV149" t="s">
        <v>202</v>
      </c>
      <c r="AW149" t="s">
        <v>203</v>
      </c>
      <c r="AX149" t="s">
        <v>203</v>
      </c>
      <c r="AY149" t="s">
        <v>203</v>
      </c>
      <c r="AZ149" t="s">
        <v>203</v>
      </c>
      <c r="BA149" t="s">
        <v>203</v>
      </c>
      <c r="BB149" t="s">
        <v>203</v>
      </c>
      <c r="BC149" t="s">
        <v>203</v>
      </c>
      <c r="BD149" t="s">
        <v>203</v>
      </c>
      <c r="BE149" t="s">
        <v>203</v>
      </c>
      <c r="BF149">
        <v>0</v>
      </c>
      <c r="BG149">
        <v>0.2</v>
      </c>
      <c r="BH149">
        <v>50</v>
      </c>
      <c r="BI149">
        <v>0</v>
      </c>
      <c r="BJ149" t="s">
        <v>198</v>
      </c>
      <c r="BK149" t="s">
        <v>198</v>
      </c>
      <c r="BL149" t="s">
        <v>198</v>
      </c>
      <c r="BM149" t="s">
        <v>198</v>
      </c>
      <c r="BN149" t="s">
        <v>198</v>
      </c>
      <c r="BO149" t="s">
        <v>198</v>
      </c>
      <c r="BP149" t="s">
        <v>198</v>
      </c>
      <c r="BQ149" t="s">
        <v>198</v>
      </c>
      <c r="BR149" t="s">
        <v>198</v>
      </c>
      <c r="BS149" t="s">
        <v>198</v>
      </c>
      <c r="BT149" t="s">
        <v>198</v>
      </c>
      <c r="BU149" t="s">
        <v>198</v>
      </c>
      <c r="BV149" t="s">
        <v>198</v>
      </c>
      <c r="BW149" t="s">
        <v>198</v>
      </c>
      <c r="BX149" t="s">
        <v>198</v>
      </c>
      <c r="BY149" t="s">
        <v>198</v>
      </c>
      <c r="BZ149" t="s">
        <v>198</v>
      </c>
      <c r="CA149" t="s">
        <v>198</v>
      </c>
      <c r="CB149" t="s">
        <v>204</v>
      </c>
      <c r="CC149" t="s">
        <v>204</v>
      </c>
      <c r="CD149" t="s">
        <v>204</v>
      </c>
      <c r="CE149" t="s">
        <v>204</v>
      </c>
      <c r="CF149" t="s">
        <v>204</v>
      </c>
      <c r="CG149" t="s">
        <v>204</v>
      </c>
      <c r="CH149" t="s">
        <v>204</v>
      </c>
      <c r="CI149" t="s">
        <v>204</v>
      </c>
      <c r="CJ149" t="s">
        <v>204</v>
      </c>
      <c r="CK149" t="s">
        <v>204</v>
      </c>
      <c r="CL149" t="s">
        <v>204</v>
      </c>
      <c r="CM149" t="s">
        <v>204</v>
      </c>
      <c r="CN149" t="s">
        <v>203</v>
      </c>
      <c r="CO149" t="s">
        <v>203</v>
      </c>
      <c r="CP149" t="s">
        <v>203</v>
      </c>
      <c r="CQ149" t="s">
        <v>203</v>
      </c>
      <c r="CR149" t="s">
        <v>203</v>
      </c>
      <c r="CS149" t="s">
        <v>203</v>
      </c>
      <c r="CT149" t="s">
        <v>203</v>
      </c>
      <c r="CU149" t="s">
        <v>203</v>
      </c>
      <c r="CV149">
        <v>0</v>
      </c>
      <c r="CW149">
        <v>0</v>
      </c>
      <c r="CX149" t="s">
        <v>198</v>
      </c>
      <c r="CY149" t="s">
        <v>198</v>
      </c>
      <c r="CZ149" t="s">
        <v>198</v>
      </c>
      <c r="DA149" t="s">
        <v>198</v>
      </c>
      <c r="DB149" t="s">
        <v>198</v>
      </c>
      <c r="DC149">
        <v>0</v>
      </c>
      <c r="DD149">
        <v>0</v>
      </c>
      <c r="DE149">
        <v>0</v>
      </c>
      <c r="DF149">
        <v>0</v>
      </c>
      <c r="DG149">
        <v>-35.3631166</v>
      </c>
      <c r="DH149">
        <v>149.1639735</v>
      </c>
      <c r="DI149" t="s">
        <v>360</v>
      </c>
      <c r="DJ149">
        <v>1.2</v>
      </c>
      <c r="DK149">
        <v>2</v>
      </c>
      <c r="DL149">
        <v>159.8</v>
      </c>
      <c r="DM149">
        <v>0</v>
      </c>
      <c r="DN149">
        <v>6</v>
      </c>
      <c r="DO149">
        <v>10</v>
      </c>
      <c r="DP149">
        <v>0</v>
      </c>
      <c r="DQ149">
        <v>255</v>
      </c>
      <c r="DR149">
        <v>255</v>
      </c>
      <c r="DS149">
        <v>255</v>
      </c>
      <c r="DT149">
        <v>255</v>
      </c>
      <c r="DU149">
        <v>255</v>
      </c>
      <c r="DV149">
        <v>255</v>
      </c>
      <c r="DW149">
        <v>255</v>
      </c>
      <c r="DX149" t="s">
        <v>206</v>
      </c>
      <c r="DY149" t="s">
        <v>206</v>
      </c>
      <c r="DZ149" t="s">
        <v>207</v>
      </c>
      <c r="EA149" t="s">
        <v>198</v>
      </c>
      <c r="EB149" t="s">
        <v>198</v>
      </c>
      <c r="EC149" t="s">
        <v>198</v>
      </c>
      <c r="ED149">
        <v>0</v>
      </c>
      <c r="EE149">
        <v>0</v>
      </c>
      <c r="EF149">
        <v>0</v>
      </c>
      <c r="EG149">
        <v>0</v>
      </c>
      <c r="EH149">
        <v>255</v>
      </c>
      <c r="EI149">
        <v>255</v>
      </c>
      <c r="EJ149">
        <v>255</v>
      </c>
      <c r="EK149">
        <v>255</v>
      </c>
      <c r="EL149">
        <v>255</v>
      </c>
      <c r="EM149">
        <v>255</v>
      </c>
      <c r="EN149">
        <v>255</v>
      </c>
      <c r="EO149">
        <v>255</v>
      </c>
      <c r="EP149">
        <v>255</v>
      </c>
      <c r="EQ149">
        <v>255</v>
      </c>
      <c r="ER149" t="s">
        <v>208</v>
      </c>
      <c r="ES149" t="s">
        <v>209</v>
      </c>
      <c r="ET149" t="s">
        <v>209</v>
      </c>
      <c r="EU149">
        <v>0</v>
      </c>
      <c r="EV149">
        <v>16.2</v>
      </c>
      <c r="EW149">
        <v>-114.7</v>
      </c>
      <c r="EX149">
        <v>-0.2</v>
      </c>
      <c r="EY149">
        <v>0</v>
      </c>
      <c r="EZ149">
        <v>0</v>
      </c>
      <c r="FA149">
        <v>0</v>
      </c>
      <c r="FB149" t="s">
        <v>198</v>
      </c>
      <c r="FC149" t="s">
        <v>198</v>
      </c>
      <c r="FD149" t="s">
        <v>198</v>
      </c>
      <c r="FE149" t="s">
        <v>198</v>
      </c>
      <c r="FF149" t="s">
        <v>198</v>
      </c>
      <c r="FG149" t="s">
        <v>198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 t="s">
        <v>203</v>
      </c>
      <c r="FP149" t="s">
        <v>203</v>
      </c>
      <c r="FQ149" t="s">
        <v>203</v>
      </c>
      <c r="FR149" t="s">
        <v>203</v>
      </c>
      <c r="FS149" t="s">
        <v>203</v>
      </c>
      <c r="FT149" t="s">
        <v>203</v>
      </c>
      <c r="FU149" t="s">
        <v>198</v>
      </c>
      <c r="FV149" t="s">
        <v>198</v>
      </c>
      <c r="FW149" t="s">
        <v>198</v>
      </c>
      <c r="FX149" t="s">
        <v>198</v>
      </c>
      <c r="FY149" t="s">
        <v>198</v>
      </c>
      <c r="FZ149" t="s">
        <v>198</v>
      </c>
      <c r="GA149">
        <v>31.2</v>
      </c>
      <c r="GB149">
        <v>31.2</v>
      </c>
      <c r="GC149" t="s">
        <v>203</v>
      </c>
      <c r="GD149">
        <v>0</v>
      </c>
      <c r="GE149">
        <v>504</v>
      </c>
      <c r="GF149">
        <v>0</v>
      </c>
      <c r="GG149">
        <v>0</v>
      </c>
      <c r="GH149">
        <v>0</v>
      </c>
      <c r="GI149">
        <v>1</v>
      </c>
      <c r="GJ149">
        <v>1</v>
      </c>
      <c r="GK149">
        <v>0</v>
      </c>
      <c r="GL149" t="s">
        <v>198</v>
      </c>
      <c r="GM149" t="s">
        <v>198</v>
      </c>
      <c r="GN149" t="s">
        <v>198</v>
      </c>
    </row>
    <row r="150" spans="1:196">
      <c r="A150" s="19">
        <v>46316.90561739583</v>
      </c>
      <c r="B150">
        <v>0</v>
      </c>
      <c r="C150">
        <v>0</v>
      </c>
      <c r="D150">
        <v>277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584.2</v>
      </c>
      <c r="N150">
        <v>-0.5</v>
      </c>
      <c r="O150">
        <v>0</v>
      </c>
      <c r="P150">
        <v>0</v>
      </c>
      <c r="Q150">
        <v>0</v>
      </c>
      <c r="R150">
        <v>0</v>
      </c>
      <c r="S150">
        <v>115.6</v>
      </c>
      <c r="T150" t="s">
        <v>485</v>
      </c>
      <c r="U150">
        <v>115.7</v>
      </c>
      <c r="V150">
        <v>1762727256586.8</v>
      </c>
      <c r="W150">
        <v>1</v>
      </c>
      <c r="X150" t="s">
        <v>197</v>
      </c>
      <c r="Y150">
        <v>0</v>
      </c>
      <c r="Z150">
        <v>98</v>
      </c>
      <c r="AA150">
        <v>278</v>
      </c>
      <c r="AB150" t="s">
        <v>197</v>
      </c>
      <c r="AC150" t="s">
        <v>198</v>
      </c>
      <c r="AD150" t="s">
        <v>199</v>
      </c>
      <c r="AE150">
        <v>0</v>
      </c>
      <c r="AF150">
        <v>44</v>
      </c>
      <c r="AG150">
        <v>255</v>
      </c>
      <c r="AH150">
        <v>0</v>
      </c>
      <c r="AI150">
        <v>0</v>
      </c>
      <c r="AJ150">
        <v>0</v>
      </c>
      <c r="AK150">
        <v>12.6</v>
      </c>
      <c r="AL150">
        <v>0</v>
      </c>
      <c r="AM150">
        <v>0</v>
      </c>
      <c r="AN150" t="s">
        <v>197</v>
      </c>
      <c r="AO150">
        <v>100</v>
      </c>
      <c r="AP150" t="s">
        <v>197</v>
      </c>
      <c r="AQ150" t="s">
        <v>200</v>
      </c>
      <c r="AR150">
        <v>1</v>
      </c>
      <c r="AS150">
        <v>0</v>
      </c>
      <c r="AT150" t="s">
        <v>496</v>
      </c>
      <c r="AU150" t="s">
        <v>496</v>
      </c>
      <c r="AV150" t="s">
        <v>202</v>
      </c>
      <c r="AW150" t="s">
        <v>203</v>
      </c>
      <c r="AX150" t="s">
        <v>203</v>
      </c>
      <c r="AY150" t="s">
        <v>203</v>
      </c>
      <c r="AZ150" t="s">
        <v>203</v>
      </c>
      <c r="BA150" t="s">
        <v>203</v>
      </c>
      <c r="BB150" t="s">
        <v>203</v>
      </c>
      <c r="BC150" t="s">
        <v>203</v>
      </c>
      <c r="BD150" t="s">
        <v>203</v>
      </c>
      <c r="BE150" t="s">
        <v>203</v>
      </c>
      <c r="BF150">
        <v>0</v>
      </c>
      <c r="BG150">
        <v>0.2</v>
      </c>
      <c r="BH150">
        <v>50</v>
      </c>
      <c r="BI150">
        <v>0</v>
      </c>
      <c r="BJ150" t="s">
        <v>198</v>
      </c>
      <c r="BK150" t="s">
        <v>198</v>
      </c>
      <c r="BL150" t="s">
        <v>198</v>
      </c>
      <c r="BM150" t="s">
        <v>198</v>
      </c>
      <c r="BN150" t="s">
        <v>198</v>
      </c>
      <c r="BO150" t="s">
        <v>198</v>
      </c>
      <c r="BP150" t="s">
        <v>198</v>
      </c>
      <c r="BQ150" t="s">
        <v>198</v>
      </c>
      <c r="BR150" t="s">
        <v>198</v>
      </c>
      <c r="BS150" t="s">
        <v>198</v>
      </c>
      <c r="BT150" t="s">
        <v>198</v>
      </c>
      <c r="BU150" t="s">
        <v>198</v>
      </c>
      <c r="BV150" t="s">
        <v>198</v>
      </c>
      <c r="BW150" t="s">
        <v>198</v>
      </c>
      <c r="BX150" t="s">
        <v>198</v>
      </c>
      <c r="BY150" t="s">
        <v>198</v>
      </c>
      <c r="BZ150" t="s">
        <v>198</v>
      </c>
      <c r="CA150" t="s">
        <v>198</v>
      </c>
      <c r="CB150" t="s">
        <v>204</v>
      </c>
      <c r="CC150" t="s">
        <v>204</v>
      </c>
      <c r="CD150" t="s">
        <v>204</v>
      </c>
      <c r="CE150" t="s">
        <v>204</v>
      </c>
      <c r="CF150" t="s">
        <v>204</v>
      </c>
      <c r="CG150" t="s">
        <v>204</v>
      </c>
      <c r="CH150" t="s">
        <v>204</v>
      </c>
      <c r="CI150" t="s">
        <v>204</v>
      </c>
      <c r="CJ150" t="s">
        <v>204</v>
      </c>
      <c r="CK150" t="s">
        <v>204</v>
      </c>
      <c r="CL150" t="s">
        <v>204</v>
      </c>
      <c r="CM150" t="s">
        <v>204</v>
      </c>
      <c r="CN150" t="s">
        <v>203</v>
      </c>
      <c r="CO150" t="s">
        <v>203</v>
      </c>
      <c r="CP150" t="s">
        <v>203</v>
      </c>
      <c r="CQ150" t="s">
        <v>203</v>
      </c>
      <c r="CR150" t="s">
        <v>203</v>
      </c>
      <c r="CS150" t="s">
        <v>203</v>
      </c>
      <c r="CT150" t="s">
        <v>203</v>
      </c>
      <c r="CU150" t="s">
        <v>203</v>
      </c>
      <c r="CV150">
        <v>0</v>
      </c>
      <c r="CW150">
        <v>0</v>
      </c>
      <c r="CX150" t="s">
        <v>198</v>
      </c>
      <c r="CY150" t="s">
        <v>198</v>
      </c>
      <c r="CZ150" t="s">
        <v>198</v>
      </c>
      <c r="DA150" t="s">
        <v>198</v>
      </c>
      <c r="DB150" t="s">
        <v>198</v>
      </c>
      <c r="DC150">
        <v>0</v>
      </c>
      <c r="DD150">
        <v>0</v>
      </c>
      <c r="DE150">
        <v>0</v>
      </c>
      <c r="DF150">
        <v>0</v>
      </c>
      <c r="DG150">
        <v>-35.3631166</v>
      </c>
      <c r="DH150">
        <v>149.1639735</v>
      </c>
      <c r="DI150" t="s">
        <v>360</v>
      </c>
      <c r="DJ150">
        <v>1.2</v>
      </c>
      <c r="DK150">
        <v>2</v>
      </c>
      <c r="DL150">
        <v>159.8</v>
      </c>
      <c r="DM150">
        <v>0</v>
      </c>
      <c r="DN150">
        <v>6</v>
      </c>
      <c r="DO150">
        <v>10</v>
      </c>
      <c r="DP150">
        <v>0</v>
      </c>
      <c r="DQ150">
        <v>255</v>
      </c>
      <c r="DR150">
        <v>255</v>
      </c>
      <c r="DS150">
        <v>255</v>
      </c>
      <c r="DT150">
        <v>255</v>
      </c>
      <c r="DU150">
        <v>255</v>
      </c>
      <c r="DV150">
        <v>255</v>
      </c>
      <c r="DW150">
        <v>255</v>
      </c>
      <c r="DX150" t="s">
        <v>206</v>
      </c>
      <c r="DY150" t="s">
        <v>206</v>
      </c>
      <c r="DZ150" t="s">
        <v>207</v>
      </c>
      <c r="EA150" t="s">
        <v>198</v>
      </c>
      <c r="EB150" t="s">
        <v>198</v>
      </c>
      <c r="EC150" t="s">
        <v>198</v>
      </c>
      <c r="ED150">
        <v>0</v>
      </c>
      <c r="EE150">
        <v>0</v>
      </c>
      <c r="EF150">
        <v>0</v>
      </c>
      <c r="EG150">
        <v>0</v>
      </c>
      <c r="EH150">
        <v>255</v>
      </c>
      <c r="EI150">
        <v>255</v>
      </c>
      <c r="EJ150">
        <v>255</v>
      </c>
      <c r="EK150">
        <v>255</v>
      </c>
      <c r="EL150">
        <v>255</v>
      </c>
      <c r="EM150">
        <v>255</v>
      </c>
      <c r="EN150">
        <v>255</v>
      </c>
      <c r="EO150">
        <v>255</v>
      </c>
      <c r="EP150">
        <v>255</v>
      </c>
      <c r="EQ150">
        <v>255</v>
      </c>
      <c r="ER150" t="s">
        <v>208</v>
      </c>
      <c r="ES150" t="s">
        <v>209</v>
      </c>
      <c r="ET150" t="s">
        <v>209</v>
      </c>
      <c r="EU150">
        <v>0</v>
      </c>
      <c r="EV150">
        <v>16.2</v>
      </c>
      <c r="EW150">
        <v>-114.7</v>
      </c>
      <c r="EX150">
        <v>-0.2</v>
      </c>
      <c r="EY150">
        <v>0</v>
      </c>
      <c r="EZ150">
        <v>0</v>
      </c>
      <c r="FA150">
        <v>0</v>
      </c>
      <c r="FB150" t="s">
        <v>198</v>
      </c>
      <c r="FC150" t="s">
        <v>198</v>
      </c>
      <c r="FD150" t="s">
        <v>198</v>
      </c>
      <c r="FE150" t="s">
        <v>198</v>
      </c>
      <c r="FF150" t="s">
        <v>198</v>
      </c>
      <c r="FG150" t="s">
        <v>198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 t="s">
        <v>203</v>
      </c>
      <c r="FP150" t="s">
        <v>203</v>
      </c>
      <c r="FQ150" t="s">
        <v>203</v>
      </c>
      <c r="FR150" t="s">
        <v>203</v>
      </c>
      <c r="FS150" t="s">
        <v>203</v>
      </c>
      <c r="FT150" t="s">
        <v>203</v>
      </c>
      <c r="FU150" t="s">
        <v>198</v>
      </c>
      <c r="FV150" t="s">
        <v>198</v>
      </c>
      <c r="FW150" t="s">
        <v>198</v>
      </c>
      <c r="FX150" t="s">
        <v>198</v>
      </c>
      <c r="FY150" t="s">
        <v>198</v>
      </c>
      <c r="FZ150" t="s">
        <v>198</v>
      </c>
      <c r="GA150">
        <v>31.2</v>
      </c>
      <c r="GB150">
        <v>31.2</v>
      </c>
      <c r="GC150" t="s">
        <v>203</v>
      </c>
      <c r="GD150">
        <v>0</v>
      </c>
      <c r="GE150">
        <v>504</v>
      </c>
      <c r="GF150">
        <v>0</v>
      </c>
      <c r="GG150">
        <v>0</v>
      </c>
      <c r="GH150">
        <v>0</v>
      </c>
      <c r="GI150">
        <v>1</v>
      </c>
      <c r="GJ150">
        <v>1</v>
      </c>
      <c r="GK150">
        <v>0</v>
      </c>
      <c r="GL150" t="s">
        <v>198</v>
      </c>
      <c r="GM150" t="s">
        <v>198</v>
      </c>
      <c r="GN150" t="s">
        <v>198</v>
      </c>
    </row>
    <row r="151" spans="1:196">
      <c r="A151" s="19">
        <v>46316.90562896991</v>
      </c>
      <c r="B151">
        <v>0</v>
      </c>
      <c r="C151">
        <v>0</v>
      </c>
      <c r="D151">
        <v>277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584.2</v>
      </c>
      <c r="N151">
        <v>-0.5</v>
      </c>
      <c r="O151">
        <v>0</v>
      </c>
      <c r="P151">
        <v>0</v>
      </c>
      <c r="Q151">
        <v>0</v>
      </c>
      <c r="R151">
        <v>0</v>
      </c>
      <c r="S151">
        <v>115.6</v>
      </c>
      <c r="T151" t="s">
        <v>485</v>
      </c>
      <c r="U151">
        <v>115.7</v>
      </c>
      <c r="V151">
        <v>1762727256586.8</v>
      </c>
      <c r="W151">
        <v>1</v>
      </c>
      <c r="X151" t="s">
        <v>197</v>
      </c>
      <c r="Y151">
        <v>0</v>
      </c>
      <c r="Z151">
        <v>98</v>
      </c>
      <c r="AA151">
        <v>278</v>
      </c>
      <c r="AB151" t="s">
        <v>197</v>
      </c>
      <c r="AC151" t="s">
        <v>198</v>
      </c>
      <c r="AD151" t="s">
        <v>199</v>
      </c>
      <c r="AE151">
        <v>0</v>
      </c>
      <c r="AF151">
        <v>44</v>
      </c>
      <c r="AG151">
        <v>255</v>
      </c>
      <c r="AH151">
        <v>0</v>
      </c>
      <c r="AI151">
        <v>0</v>
      </c>
      <c r="AJ151">
        <v>0</v>
      </c>
      <c r="AK151">
        <v>12.6</v>
      </c>
      <c r="AL151">
        <v>0</v>
      </c>
      <c r="AM151">
        <v>0</v>
      </c>
      <c r="AN151" t="s">
        <v>197</v>
      </c>
      <c r="AO151">
        <v>100</v>
      </c>
      <c r="AP151" t="s">
        <v>197</v>
      </c>
      <c r="AQ151" t="s">
        <v>200</v>
      </c>
      <c r="AR151">
        <v>1</v>
      </c>
      <c r="AS151">
        <v>0</v>
      </c>
      <c r="AT151" t="s">
        <v>497</v>
      </c>
      <c r="AU151" t="s">
        <v>497</v>
      </c>
      <c r="AV151" t="s">
        <v>202</v>
      </c>
      <c r="AW151" t="s">
        <v>203</v>
      </c>
      <c r="AX151" t="s">
        <v>203</v>
      </c>
      <c r="AY151" t="s">
        <v>203</v>
      </c>
      <c r="AZ151" t="s">
        <v>203</v>
      </c>
      <c r="BA151" t="s">
        <v>203</v>
      </c>
      <c r="BB151" t="s">
        <v>203</v>
      </c>
      <c r="BC151" t="s">
        <v>203</v>
      </c>
      <c r="BD151" t="s">
        <v>203</v>
      </c>
      <c r="BE151" t="s">
        <v>203</v>
      </c>
      <c r="BF151">
        <v>0</v>
      </c>
      <c r="BG151">
        <v>0.2</v>
      </c>
      <c r="BH151">
        <v>50</v>
      </c>
      <c r="BI151">
        <v>0</v>
      </c>
      <c r="BJ151" t="s">
        <v>198</v>
      </c>
      <c r="BK151" t="s">
        <v>198</v>
      </c>
      <c r="BL151" t="s">
        <v>198</v>
      </c>
      <c r="BM151" t="s">
        <v>198</v>
      </c>
      <c r="BN151" t="s">
        <v>198</v>
      </c>
      <c r="BO151" t="s">
        <v>198</v>
      </c>
      <c r="BP151" t="s">
        <v>198</v>
      </c>
      <c r="BQ151" t="s">
        <v>198</v>
      </c>
      <c r="BR151" t="s">
        <v>198</v>
      </c>
      <c r="BS151" t="s">
        <v>198</v>
      </c>
      <c r="BT151" t="s">
        <v>198</v>
      </c>
      <c r="BU151" t="s">
        <v>198</v>
      </c>
      <c r="BV151" t="s">
        <v>198</v>
      </c>
      <c r="BW151" t="s">
        <v>198</v>
      </c>
      <c r="BX151" t="s">
        <v>198</v>
      </c>
      <c r="BY151" t="s">
        <v>198</v>
      </c>
      <c r="BZ151" t="s">
        <v>198</v>
      </c>
      <c r="CA151" t="s">
        <v>198</v>
      </c>
      <c r="CB151" t="s">
        <v>204</v>
      </c>
      <c r="CC151" t="s">
        <v>204</v>
      </c>
      <c r="CD151" t="s">
        <v>204</v>
      </c>
      <c r="CE151" t="s">
        <v>204</v>
      </c>
      <c r="CF151" t="s">
        <v>204</v>
      </c>
      <c r="CG151" t="s">
        <v>204</v>
      </c>
      <c r="CH151" t="s">
        <v>204</v>
      </c>
      <c r="CI151" t="s">
        <v>204</v>
      </c>
      <c r="CJ151" t="s">
        <v>204</v>
      </c>
      <c r="CK151" t="s">
        <v>204</v>
      </c>
      <c r="CL151" t="s">
        <v>204</v>
      </c>
      <c r="CM151" t="s">
        <v>204</v>
      </c>
      <c r="CN151" t="s">
        <v>203</v>
      </c>
      <c r="CO151" t="s">
        <v>203</v>
      </c>
      <c r="CP151" t="s">
        <v>203</v>
      </c>
      <c r="CQ151" t="s">
        <v>203</v>
      </c>
      <c r="CR151" t="s">
        <v>203</v>
      </c>
      <c r="CS151" t="s">
        <v>203</v>
      </c>
      <c r="CT151" t="s">
        <v>203</v>
      </c>
      <c r="CU151" t="s">
        <v>203</v>
      </c>
      <c r="CV151">
        <v>0</v>
      </c>
      <c r="CW151">
        <v>0</v>
      </c>
      <c r="CX151" t="s">
        <v>198</v>
      </c>
      <c r="CY151" t="s">
        <v>198</v>
      </c>
      <c r="CZ151" t="s">
        <v>198</v>
      </c>
      <c r="DA151" t="s">
        <v>198</v>
      </c>
      <c r="DB151" t="s">
        <v>198</v>
      </c>
      <c r="DC151">
        <v>0</v>
      </c>
      <c r="DD151">
        <v>0</v>
      </c>
      <c r="DE151">
        <v>0</v>
      </c>
      <c r="DF151">
        <v>0</v>
      </c>
      <c r="DG151">
        <v>-35.3631166</v>
      </c>
      <c r="DH151">
        <v>149.1639735</v>
      </c>
      <c r="DI151" t="s">
        <v>360</v>
      </c>
      <c r="DJ151">
        <v>1.2</v>
      </c>
      <c r="DK151">
        <v>2</v>
      </c>
      <c r="DL151">
        <v>159.8</v>
      </c>
      <c r="DM151">
        <v>0</v>
      </c>
      <c r="DN151">
        <v>6</v>
      </c>
      <c r="DO151">
        <v>10</v>
      </c>
      <c r="DP151">
        <v>0</v>
      </c>
      <c r="DQ151">
        <v>255</v>
      </c>
      <c r="DR151">
        <v>255</v>
      </c>
      <c r="DS151">
        <v>255</v>
      </c>
      <c r="DT151">
        <v>255</v>
      </c>
      <c r="DU151">
        <v>255</v>
      </c>
      <c r="DV151">
        <v>255</v>
      </c>
      <c r="DW151">
        <v>255</v>
      </c>
      <c r="DX151" t="s">
        <v>206</v>
      </c>
      <c r="DY151" t="s">
        <v>206</v>
      </c>
      <c r="DZ151" t="s">
        <v>207</v>
      </c>
      <c r="EA151" t="s">
        <v>198</v>
      </c>
      <c r="EB151" t="s">
        <v>198</v>
      </c>
      <c r="EC151" t="s">
        <v>198</v>
      </c>
      <c r="ED151">
        <v>0</v>
      </c>
      <c r="EE151">
        <v>0</v>
      </c>
      <c r="EF151">
        <v>0</v>
      </c>
      <c r="EG151">
        <v>0</v>
      </c>
      <c r="EH151">
        <v>255</v>
      </c>
      <c r="EI151">
        <v>255</v>
      </c>
      <c r="EJ151">
        <v>255</v>
      </c>
      <c r="EK151">
        <v>255</v>
      </c>
      <c r="EL151">
        <v>255</v>
      </c>
      <c r="EM151">
        <v>255</v>
      </c>
      <c r="EN151">
        <v>255</v>
      </c>
      <c r="EO151">
        <v>255</v>
      </c>
      <c r="EP151">
        <v>255</v>
      </c>
      <c r="EQ151">
        <v>255</v>
      </c>
      <c r="ER151" t="s">
        <v>208</v>
      </c>
      <c r="ES151" t="s">
        <v>209</v>
      </c>
      <c r="ET151" t="s">
        <v>209</v>
      </c>
      <c r="EU151">
        <v>0</v>
      </c>
      <c r="EV151">
        <v>16.2</v>
      </c>
      <c r="EW151">
        <v>-114.7</v>
      </c>
      <c r="EX151">
        <v>-0.2</v>
      </c>
      <c r="EY151">
        <v>0</v>
      </c>
      <c r="EZ151">
        <v>0</v>
      </c>
      <c r="FA151">
        <v>0</v>
      </c>
      <c r="FB151" t="s">
        <v>198</v>
      </c>
      <c r="FC151" t="s">
        <v>198</v>
      </c>
      <c r="FD151" t="s">
        <v>198</v>
      </c>
      <c r="FE151" t="s">
        <v>198</v>
      </c>
      <c r="FF151" t="s">
        <v>198</v>
      </c>
      <c r="FG151" t="s">
        <v>198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 t="s">
        <v>203</v>
      </c>
      <c r="FP151" t="s">
        <v>203</v>
      </c>
      <c r="FQ151" t="s">
        <v>203</v>
      </c>
      <c r="FR151" t="s">
        <v>203</v>
      </c>
      <c r="FS151" t="s">
        <v>203</v>
      </c>
      <c r="FT151" t="s">
        <v>203</v>
      </c>
      <c r="FU151" t="s">
        <v>198</v>
      </c>
      <c r="FV151" t="s">
        <v>198</v>
      </c>
      <c r="FW151" t="s">
        <v>198</v>
      </c>
      <c r="FX151" t="s">
        <v>198</v>
      </c>
      <c r="FY151" t="s">
        <v>198</v>
      </c>
      <c r="FZ151" t="s">
        <v>198</v>
      </c>
      <c r="GA151">
        <v>31.2</v>
      </c>
      <c r="GB151">
        <v>31.2</v>
      </c>
      <c r="GC151" t="s">
        <v>203</v>
      </c>
      <c r="GD151">
        <v>0</v>
      </c>
      <c r="GE151">
        <v>504</v>
      </c>
      <c r="GF151">
        <v>0</v>
      </c>
      <c r="GG151">
        <v>0</v>
      </c>
      <c r="GH151">
        <v>0</v>
      </c>
      <c r="GI151">
        <v>1</v>
      </c>
      <c r="GJ151">
        <v>1</v>
      </c>
      <c r="GK151">
        <v>0</v>
      </c>
      <c r="GL151" t="s">
        <v>198</v>
      </c>
      <c r="GM151" t="s">
        <v>198</v>
      </c>
      <c r="GN151" t="s">
        <v>198</v>
      </c>
    </row>
    <row r="152" spans="1:196">
      <c r="A152" s="19">
        <v>46316.90564054398</v>
      </c>
      <c r="B152">
        <v>0</v>
      </c>
      <c r="C152">
        <v>0</v>
      </c>
      <c r="D152">
        <v>277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584.2</v>
      </c>
      <c r="N152">
        <v>-0.5</v>
      </c>
      <c r="O152">
        <v>0</v>
      </c>
      <c r="P152">
        <v>0</v>
      </c>
      <c r="Q152">
        <v>0</v>
      </c>
      <c r="R152">
        <v>0</v>
      </c>
      <c r="S152">
        <v>115.6</v>
      </c>
      <c r="T152" t="s">
        <v>485</v>
      </c>
      <c r="U152">
        <v>115.7</v>
      </c>
      <c r="V152">
        <v>1762727256586.8</v>
      </c>
      <c r="W152">
        <v>1</v>
      </c>
      <c r="X152" t="s">
        <v>197</v>
      </c>
      <c r="Y152">
        <v>0</v>
      </c>
      <c r="Z152">
        <v>98</v>
      </c>
      <c r="AA152">
        <v>278</v>
      </c>
      <c r="AB152" t="s">
        <v>197</v>
      </c>
      <c r="AC152" t="s">
        <v>198</v>
      </c>
      <c r="AD152" t="s">
        <v>199</v>
      </c>
      <c r="AE152">
        <v>0</v>
      </c>
      <c r="AF152">
        <v>44</v>
      </c>
      <c r="AG152">
        <v>255</v>
      </c>
      <c r="AH152">
        <v>0</v>
      </c>
      <c r="AI152">
        <v>0</v>
      </c>
      <c r="AJ152">
        <v>0</v>
      </c>
      <c r="AK152">
        <v>12.6</v>
      </c>
      <c r="AL152">
        <v>0</v>
      </c>
      <c r="AM152">
        <v>0</v>
      </c>
      <c r="AN152" t="s">
        <v>197</v>
      </c>
      <c r="AO152">
        <v>100</v>
      </c>
      <c r="AP152" t="s">
        <v>197</v>
      </c>
      <c r="AQ152" t="s">
        <v>200</v>
      </c>
      <c r="AR152">
        <v>1</v>
      </c>
      <c r="AS152">
        <v>0</v>
      </c>
      <c r="AT152" t="s">
        <v>498</v>
      </c>
      <c r="AU152" t="s">
        <v>498</v>
      </c>
      <c r="AV152" t="s">
        <v>202</v>
      </c>
      <c r="AW152" t="s">
        <v>203</v>
      </c>
      <c r="AX152" t="s">
        <v>203</v>
      </c>
      <c r="AY152" t="s">
        <v>203</v>
      </c>
      <c r="AZ152" t="s">
        <v>203</v>
      </c>
      <c r="BA152" t="s">
        <v>203</v>
      </c>
      <c r="BB152" t="s">
        <v>203</v>
      </c>
      <c r="BC152" t="s">
        <v>203</v>
      </c>
      <c r="BD152" t="s">
        <v>203</v>
      </c>
      <c r="BE152" t="s">
        <v>203</v>
      </c>
      <c r="BF152">
        <v>0</v>
      </c>
      <c r="BG152">
        <v>0.2</v>
      </c>
      <c r="BH152">
        <v>50</v>
      </c>
      <c r="BI152">
        <v>0</v>
      </c>
      <c r="BJ152" t="s">
        <v>198</v>
      </c>
      <c r="BK152" t="s">
        <v>198</v>
      </c>
      <c r="BL152" t="s">
        <v>198</v>
      </c>
      <c r="BM152" t="s">
        <v>198</v>
      </c>
      <c r="BN152" t="s">
        <v>198</v>
      </c>
      <c r="BO152" t="s">
        <v>198</v>
      </c>
      <c r="BP152" t="s">
        <v>198</v>
      </c>
      <c r="BQ152" t="s">
        <v>198</v>
      </c>
      <c r="BR152" t="s">
        <v>198</v>
      </c>
      <c r="BS152" t="s">
        <v>198</v>
      </c>
      <c r="BT152" t="s">
        <v>198</v>
      </c>
      <c r="BU152" t="s">
        <v>198</v>
      </c>
      <c r="BV152" t="s">
        <v>198</v>
      </c>
      <c r="BW152" t="s">
        <v>198</v>
      </c>
      <c r="BX152" t="s">
        <v>198</v>
      </c>
      <c r="BY152" t="s">
        <v>198</v>
      </c>
      <c r="BZ152" t="s">
        <v>198</v>
      </c>
      <c r="CA152" t="s">
        <v>198</v>
      </c>
      <c r="CB152" t="s">
        <v>204</v>
      </c>
      <c r="CC152" t="s">
        <v>204</v>
      </c>
      <c r="CD152" t="s">
        <v>204</v>
      </c>
      <c r="CE152" t="s">
        <v>204</v>
      </c>
      <c r="CF152" t="s">
        <v>204</v>
      </c>
      <c r="CG152" t="s">
        <v>204</v>
      </c>
      <c r="CH152" t="s">
        <v>204</v>
      </c>
      <c r="CI152" t="s">
        <v>204</v>
      </c>
      <c r="CJ152" t="s">
        <v>204</v>
      </c>
      <c r="CK152" t="s">
        <v>204</v>
      </c>
      <c r="CL152" t="s">
        <v>204</v>
      </c>
      <c r="CM152" t="s">
        <v>204</v>
      </c>
      <c r="CN152" t="s">
        <v>203</v>
      </c>
      <c r="CO152" t="s">
        <v>203</v>
      </c>
      <c r="CP152" t="s">
        <v>203</v>
      </c>
      <c r="CQ152" t="s">
        <v>203</v>
      </c>
      <c r="CR152" t="s">
        <v>203</v>
      </c>
      <c r="CS152" t="s">
        <v>203</v>
      </c>
      <c r="CT152" t="s">
        <v>203</v>
      </c>
      <c r="CU152" t="s">
        <v>203</v>
      </c>
      <c r="CV152">
        <v>0</v>
      </c>
      <c r="CW152">
        <v>0</v>
      </c>
      <c r="CX152" t="s">
        <v>198</v>
      </c>
      <c r="CY152" t="s">
        <v>198</v>
      </c>
      <c r="CZ152" t="s">
        <v>198</v>
      </c>
      <c r="DA152" t="s">
        <v>198</v>
      </c>
      <c r="DB152" t="s">
        <v>198</v>
      </c>
      <c r="DC152">
        <v>0</v>
      </c>
      <c r="DD152">
        <v>0</v>
      </c>
      <c r="DE152">
        <v>0</v>
      </c>
      <c r="DF152">
        <v>0</v>
      </c>
      <c r="DG152">
        <v>-35.3631166</v>
      </c>
      <c r="DH152">
        <v>149.1639735</v>
      </c>
      <c r="DI152" t="s">
        <v>360</v>
      </c>
      <c r="DJ152">
        <v>1.2</v>
      </c>
      <c r="DK152">
        <v>2</v>
      </c>
      <c r="DL152">
        <v>159.8</v>
      </c>
      <c r="DM152">
        <v>0</v>
      </c>
      <c r="DN152">
        <v>6</v>
      </c>
      <c r="DO152">
        <v>10</v>
      </c>
      <c r="DP152">
        <v>0</v>
      </c>
      <c r="DQ152">
        <v>255</v>
      </c>
      <c r="DR152">
        <v>255</v>
      </c>
      <c r="DS152">
        <v>255</v>
      </c>
      <c r="DT152">
        <v>255</v>
      </c>
      <c r="DU152">
        <v>255</v>
      </c>
      <c r="DV152">
        <v>255</v>
      </c>
      <c r="DW152">
        <v>255</v>
      </c>
      <c r="DX152" t="s">
        <v>206</v>
      </c>
      <c r="DY152" t="s">
        <v>206</v>
      </c>
      <c r="DZ152" t="s">
        <v>207</v>
      </c>
      <c r="EA152" t="s">
        <v>198</v>
      </c>
      <c r="EB152" t="s">
        <v>198</v>
      </c>
      <c r="EC152" t="s">
        <v>198</v>
      </c>
      <c r="ED152">
        <v>0</v>
      </c>
      <c r="EE152">
        <v>0</v>
      </c>
      <c r="EF152">
        <v>0</v>
      </c>
      <c r="EG152">
        <v>0</v>
      </c>
      <c r="EH152">
        <v>255</v>
      </c>
      <c r="EI152">
        <v>255</v>
      </c>
      <c r="EJ152">
        <v>255</v>
      </c>
      <c r="EK152">
        <v>255</v>
      </c>
      <c r="EL152">
        <v>255</v>
      </c>
      <c r="EM152">
        <v>255</v>
      </c>
      <c r="EN152">
        <v>255</v>
      </c>
      <c r="EO152">
        <v>255</v>
      </c>
      <c r="EP152">
        <v>255</v>
      </c>
      <c r="EQ152">
        <v>255</v>
      </c>
      <c r="ER152" t="s">
        <v>208</v>
      </c>
      <c r="ES152" t="s">
        <v>209</v>
      </c>
      <c r="ET152" t="s">
        <v>209</v>
      </c>
      <c r="EU152">
        <v>0</v>
      </c>
      <c r="EV152">
        <v>16.2</v>
      </c>
      <c r="EW152">
        <v>-114.7</v>
      </c>
      <c r="EX152">
        <v>-0.2</v>
      </c>
      <c r="EY152">
        <v>0</v>
      </c>
      <c r="EZ152">
        <v>0</v>
      </c>
      <c r="FA152">
        <v>0</v>
      </c>
      <c r="FB152" t="s">
        <v>198</v>
      </c>
      <c r="FC152" t="s">
        <v>198</v>
      </c>
      <c r="FD152" t="s">
        <v>198</v>
      </c>
      <c r="FE152" t="s">
        <v>198</v>
      </c>
      <c r="FF152" t="s">
        <v>198</v>
      </c>
      <c r="FG152" t="s">
        <v>198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 t="s">
        <v>203</v>
      </c>
      <c r="FP152" t="s">
        <v>203</v>
      </c>
      <c r="FQ152" t="s">
        <v>203</v>
      </c>
      <c r="FR152" t="s">
        <v>203</v>
      </c>
      <c r="FS152" t="s">
        <v>203</v>
      </c>
      <c r="FT152" t="s">
        <v>203</v>
      </c>
      <c r="FU152" t="s">
        <v>198</v>
      </c>
      <c r="FV152" t="s">
        <v>198</v>
      </c>
      <c r="FW152" t="s">
        <v>198</v>
      </c>
      <c r="FX152" t="s">
        <v>198</v>
      </c>
      <c r="FY152" t="s">
        <v>198</v>
      </c>
      <c r="FZ152" t="s">
        <v>198</v>
      </c>
      <c r="GA152">
        <v>31.2</v>
      </c>
      <c r="GB152">
        <v>31.2</v>
      </c>
      <c r="GC152" t="s">
        <v>203</v>
      </c>
      <c r="GD152">
        <v>0</v>
      </c>
      <c r="GE152">
        <v>504</v>
      </c>
      <c r="GF152">
        <v>0</v>
      </c>
      <c r="GG152">
        <v>0</v>
      </c>
      <c r="GH152">
        <v>0</v>
      </c>
      <c r="GI152">
        <v>1</v>
      </c>
      <c r="GJ152">
        <v>1</v>
      </c>
      <c r="GK152">
        <v>0</v>
      </c>
      <c r="GL152" t="s">
        <v>198</v>
      </c>
      <c r="GM152" t="s">
        <v>198</v>
      </c>
      <c r="GN152" t="s">
        <v>198</v>
      </c>
    </row>
    <row r="153" spans="1:196">
      <c r="A153" s="19">
        <v>46316.90565211805</v>
      </c>
      <c r="B153">
        <v>0</v>
      </c>
      <c r="C153">
        <v>0</v>
      </c>
      <c r="D153">
        <v>277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584.2</v>
      </c>
      <c r="N153">
        <v>-0.5</v>
      </c>
      <c r="O153">
        <v>0</v>
      </c>
      <c r="P153">
        <v>0</v>
      </c>
      <c r="Q153">
        <v>0</v>
      </c>
      <c r="R153">
        <v>0</v>
      </c>
      <c r="S153">
        <v>115.6</v>
      </c>
      <c r="T153" t="s">
        <v>485</v>
      </c>
      <c r="U153">
        <v>115.7</v>
      </c>
      <c r="V153">
        <v>1762727256586.8</v>
      </c>
      <c r="W153">
        <v>1</v>
      </c>
      <c r="X153" t="s">
        <v>197</v>
      </c>
      <c r="Y153">
        <v>0</v>
      </c>
      <c r="Z153">
        <v>98</v>
      </c>
      <c r="AA153">
        <v>278</v>
      </c>
      <c r="AB153" t="s">
        <v>197</v>
      </c>
      <c r="AC153" t="s">
        <v>198</v>
      </c>
      <c r="AD153" t="s">
        <v>199</v>
      </c>
      <c r="AE153">
        <v>0</v>
      </c>
      <c r="AF153">
        <v>44</v>
      </c>
      <c r="AG153">
        <v>255</v>
      </c>
      <c r="AH153">
        <v>0</v>
      </c>
      <c r="AI153">
        <v>0</v>
      </c>
      <c r="AJ153">
        <v>0</v>
      </c>
      <c r="AK153">
        <v>12.6</v>
      </c>
      <c r="AL153">
        <v>0</v>
      </c>
      <c r="AM153">
        <v>0</v>
      </c>
      <c r="AN153" t="s">
        <v>197</v>
      </c>
      <c r="AO153">
        <v>100</v>
      </c>
      <c r="AP153" t="s">
        <v>197</v>
      </c>
      <c r="AQ153" t="s">
        <v>200</v>
      </c>
      <c r="AR153">
        <v>1</v>
      </c>
      <c r="AS153">
        <v>0</v>
      </c>
      <c r="AT153" t="s">
        <v>499</v>
      </c>
      <c r="AU153" t="s">
        <v>499</v>
      </c>
      <c r="AV153" t="s">
        <v>202</v>
      </c>
      <c r="AW153" t="s">
        <v>203</v>
      </c>
      <c r="AX153" t="s">
        <v>203</v>
      </c>
      <c r="AY153" t="s">
        <v>203</v>
      </c>
      <c r="AZ153" t="s">
        <v>203</v>
      </c>
      <c r="BA153" t="s">
        <v>203</v>
      </c>
      <c r="BB153" t="s">
        <v>203</v>
      </c>
      <c r="BC153" t="s">
        <v>203</v>
      </c>
      <c r="BD153" t="s">
        <v>203</v>
      </c>
      <c r="BE153" t="s">
        <v>203</v>
      </c>
      <c r="BF153">
        <v>0</v>
      </c>
      <c r="BG153">
        <v>0.2</v>
      </c>
      <c r="BH153">
        <v>50</v>
      </c>
      <c r="BI153">
        <v>0</v>
      </c>
      <c r="BJ153" t="s">
        <v>198</v>
      </c>
      <c r="BK153" t="s">
        <v>198</v>
      </c>
      <c r="BL153" t="s">
        <v>198</v>
      </c>
      <c r="BM153" t="s">
        <v>198</v>
      </c>
      <c r="BN153" t="s">
        <v>198</v>
      </c>
      <c r="BO153" t="s">
        <v>198</v>
      </c>
      <c r="BP153" t="s">
        <v>198</v>
      </c>
      <c r="BQ153" t="s">
        <v>198</v>
      </c>
      <c r="BR153" t="s">
        <v>198</v>
      </c>
      <c r="BS153" t="s">
        <v>198</v>
      </c>
      <c r="BT153" t="s">
        <v>198</v>
      </c>
      <c r="BU153" t="s">
        <v>198</v>
      </c>
      <c r="BV153" t="s">
        <v>198</v>
      </c>
      <c r="BW153" t="s">
        <v>198</v>
      </c>
      <c r="BX153" t="s">
        <v>198</v>
      </c>
      <c r="BY153" t="s">
        <v>198</v>
      </c>
      <c r="BZ153" t="s">
        <v>198</v>
      </c>
      <c r="CA153" t="s">
        <v>198</v>
      </c>
      <c r="CB153" t="s">
        <v>204</v>
      </c>
      <c r="CC153" t="s">
        <v>204</v>
      </c>
      <c r="CD153" t="s">
        <v>204</v>
      </c>
      <c r="CE153" t="s">
        <v>204</v>
      </c>
      <c r="CF153" t="s">
        <v>204</v>
      </c>
      <c r="CG153" t="s">
        <v>204</v>
      </c>
      <c r="CH153" t="s">
        <v>204</v>
      </c>
      <c r="CI153" t="s">
        <v>204</v>
      </c>
      <c r="CJ153" t="s">
        <v>204</v>
      </c>
      <c r="CK153" t="s">
        <v>204</v>
      </c>
      <c r="CL153" t="s">
        <v>204</v>
      </c>
      <c r="CM153" t="s">
        <v>204</v>
      </c>
      <c r="CN153" t="s">
        <v>203</v>
      </c>
      <c r="CO153" t="s">
        <v>203</v>
      </c>
      <c r="CP153" t="s">
        <v>203</v>
      </c>
      <c r="CQ153" t="s">
        <v>203</v>
      </c>
      <c r="CR153" t="s">
        <v>203</v>
      </c>
      <c r="CS153" t="s">
        <v>203</v>
      </c>
      <c r="CT153" t="s">
        <v>203</v>
      </c>
      <c r="CU153" t="s">
        <v>203</v>
      </c>
      <c r="CV153">
        <v>0</v>
      </c>
      <c r="CW153">
        <v>0</v>
      </c>
      <c r="CX153" t="s">
        <v>198</v>
      </c>
      <c r="CY153" t="s">
        <v>198</v>
      </c>
      <c r="CZ153" t="s">
        <v>198</v>
      </c>
      <c r="DA153" t="s">
        <v>198</v>
      </c>
      <c r="DB153" t="s">
        <v>198</v>
      </c>
      <c r="DC153">
        <v>0</v>
      </c>
      <c r="DD153">
        <v>0</v>
      </c>
      <c r="DE153">
        <v>0</v>
      </c>
      <c r="DF153">
        <v>0</v>
      </c>
      <c r="DG153">
        <v>-35.3631166</v>
      </c>
      <c r="DH153">
        <v>149.1639735</v>
      </c>
      <c r="DI153" t="s">
        <v>360</v>
      </c>
      <c r="DJ153">
        <v>1.2</v>
      </c>
      <c r="DK153">
        <v>2</v>
      </c>
      <c r="DL153">
        <v>159.8</v>
      </c>
      <c r="DM153">
        <v>0</v>
      </c>
      <c r="DN153">
        <v>6</v>
      </c>
      <c r="DO153">
        <v>10</v>
      </c>
      <c r="DP153">
        <v>0</v>
      </c>
      <c r="DQ153">
        <v>255</v>
      </c>
      <c r="DR153">
        <v>255</v>
      </c>
      <c r="DS153">
        <v>255</v>
      </c>
      <c r="DT153">
        <v>255</v>
      </c>
      <c r="DU153">
        <v>255</v>
      </c>
      <c r="DV153">
        <v>255</v>
      </c>
      <c r="DW153">
        <v>255</v>
      </c>
      <c r="DX153" t="s">
        <v>206</v>
      </c>
      <c r="DY153" t="s">
        <v>206</v>
      </c>
      <c r="DZ153" t="s">
        <v>207</v>
      </c>
      <c r="EA153" t="s">
        <v>198</v>
      </c>
      <c r="EB153" t="s">
        <v>198</v>
      </c>
      <c r="EC153" t="s">
        <v>198</v>
      </c>
      <c r="ED153">
        <v>0</v>
      </c>
      <c r="EE153">
        <v>0</v>
      </c>
      <c r="EF153">
        <v>0</v>
      </c>
      <c r="EG153">
        <v>0</v>
      </c>
      <c r="EH153">
        <v>255</v>
      </c>
      <c r="EI153">
        <v>255</v>
      </c>
      <c r="EJ153">
        <v>255</v>
      </c>
      <c r="EK153">
        <v>255</v>
      </c>
      <c r="EL153">
        <v>255</v>
      </c>
      <c r="EM153">
        <v>255</v>
      </c>
      <c r="EN153">
        <v>255</v>
      </c>
      <c r="EO153">
        <v>255</v>
      </c>
      <c r="EP153">
        <v>255</v>
      </c>
      <c r="EQ153">
        <v>255</v>
      </c>
      <c r="ER153" t="s">
        <v>208</v>
      </c>
      <c r="ES153" t="s">
        <v>209</v>
      </c>
      <c r="ET153" t="s">
        <v>209</v>
      </c>
      <c r="EU153">
        <v>0</v>
      </c>
      <c r="EV153">
        <v>16.2</v>
      </c>
      <c r="EW153">
        <v>-114.7</v>
      </c>
      <c r="EX153">
        <v>-0.2</v>
      </c>
      <c r="EY153">
        <v>0</v>
      </c>
      <c r="EZ153">
        <v>0</v>
      </c>
      <c r="FA153">
        <v>0</v>
      </c>
      <c r="FB153" t="s">
        <v>198</v>
      </c>
      <c r="FC153" t="s">
        <v>198</v>
      </c>
      <c r="FD153" t="s">
        <v>198</v>
      </c>
      <c r="FE153" t="s">
        <v>198</v>
      </c>
      <c r="FF153" t="s">
        <v>198</v>
      </c>
      <c r="FG153" t="s">
        <v>198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 t="s">
        <v>203</v>
      </c>
      <c r="FP153" t="s">
        <v>203</v>
      </c>
      <c r="FQ153" t="s">
        <v>203</v>
      </c>
      <c r="FR153" t="s">
        <v>203</v>
      </c>
      <c r="FS153" t="s">
        <v>203</v>
      </c>
      <c r="FT153" t="s">
        <v>203</v>
      </c>
      <c r="FU153" t="s">
        <v>198</v>
      </c>
      <c r="FV153" t="s">
        <v>198</v>
      </c>
      <c r="FW153" t="s">
        <v>198</v>
      </c>
      <c r="FX153" t="s">
        <v>198</v>
      </c>
      <c r="FY153" t="s">
        <v>198</v>
      </c>
      <c r="FZ153" t="s">
        <v>198</v>
      </c>
      <c r="GA153">
        <v>31.2</v>
      </c>
      <c r="GB153">
        <v>31.2</v>
      </c>
      <c r="GC153" t="s">
        <v>203</v>
      </c>
      <c r="GD153">
        <v>0</v>
      </c>
      <c r="GE153">
        <v>504</v>
      </c>
      <c r="GF153">
        <v>0</v>
      </c>
      <c r="GG153">
        <v>0</v>
      </c>
      <c r="GH153">
        <v>0</v>
      </c>
      <c r="GI153">
        <v>1</v>
      </c>
      <c r="GJ153">
        <v>1</v>
      </c>
      <c r="GK153">
        <v>0</v>
      </c>
      <c r="GL153" t="s">
        <v>198</v>
      </c>
      <c r="GM153" t="s">
        <v>198</v>
      </c>
      <c r="GN153" t="s">
        <v>198</v>
      </c>
    </row>
    <row r="154" spans="1:196">
      <c r="A154" s="19">
        <v>46316.90566369213</v>
      </c>
      <c r="B154">
        <v>0</v>
      </c>
      <c r="C154">
        <v>0</v>
      </c>
      <c r="D154">
        <v>277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584.2</v>
      </c>
      <c r="N154">
        <v>-0.5</v>
      </c>
      <c r="O154">
        <v>0</v>
      </c>
      <c r="P154">
        <v>0</v>
      </c>
      <c r="Q154">
        <v>0</v>
      </c>
      <c r="R154">
        <v>0</v>
      </c>
      <c r="S154">
        <v>115.6</v>
      </c>
      <c r="T154" t="s">
        <v>485</v>
      </c>
      <c r="U154">
        <v>115.7</v>
      </c>
      <c r="V154">
        <v>1762727256586.8</v>
      </c>
      <c r="W154">
        <v>1</v>
      </c>
      <c r="X154" t="s">
        <v>197</v>
      </c>
      <c r="Y154">
        <v>0</v>
      </c>
      <c r="Z154">
        <v>98</v>
      </c>
      <c r="AA154">
        <v>278</v>
      </c>
      <c r="AB154" t="s">
        <v>197</v>
      </c>
      <c r="AC154" t="s">
        <v>198</v>
      </c>
      <c r="AD154" t="s">
        <v>199</v>
      </c>
      <c r="AE154">
        <v>0</v>
      </c>
      <c r="AF154">
        <v>44</v>
      </c>
      <c r="AG154">
        <v>255</v>
      </c>
      <c r="AH154">
        <v>0</v>
      </c>
      <c r="AI154">
        <v>0</v>
      </c>
      <c r="AJ154">
        <v>0</v>
      </c>
      <c r="AK154">
        <v>12.6</v>
      </c>
      <c r="AL154">
        <v>0</v>
      </c>
      <c r="AM154">
        <v>0</v>
      </c>
      <c r="AN154" t="s">
        <v>197</v>
      </c>
      <c r="AO154">
        <v>100</v>
      </c>
      <c r="AP154" t="s">
        <v>197</v>
      </c>
      <c r="AQ154" t="s">
        <v>200</v>
      </c>
      <c r="AR154">
        <v>1</v>
      </c>
      <c r="AS154">
        <v>0</v>
      </c>
      <c r="AT154" t="s">
        <v>500</v>
      </c>
      <c r="AU154" t="s">
        <v>500</v>
      </c>
      <c r="AV154" t="s">
        <v>202</v>
      </c>
      <c r="AW154" t="s">
        <v>203</v>
      </c>
      <c r="AX154" t="s">
        <v>203</v>
      </c>
      <c r="AY154" t="s">
        <v>203</v>
      </c>
      <c r="AZ154" t="s">
        <v>203</v>
      </c>
      <c r="BA154" t="s">
        <v>203</v>
      </c>
      <c r="BB154" t="s">
        <v>203</v>
      </c>
      <c r="BC154" t="s">
        <v>203</v>
      </c>
      <c r="BD154" t="s">
        <v>203</v>
      </c>
      <c r="BE154" t="s">
        <v>203</v>
      </c>
      <c r="BF154">
        <v>0</v>
      </c>
      <c r="BG154">
        <v>0.2</v>
      </c>
      <c r="BH154">
        <v>50</v>
      </c>
      <c r="BI154">
        <v>0</v>
      </c>
      <c r="BJ154" t="s">
        <v>198</v>
      </c>
      <c r="BK154" t="s">
        <v>198</v>
      </c>
      <c r="BL154" t="s">
        <v>198</v>
      </c>
      <c r="BM154" t="s">
        <v>198</v>
      </c>
      <c r="BN154" t="s">
        <v>198</v>
      </c>
      <c r="BO154" t="s">
        <v>198</v>
      </c>
      <c r="BP154" t="s">
        <v>198</v>
      </c>
      <c r="BQ154" t="s">
        <v>198</v>
      </c>
      <c r="BR154" t="s">
        <v>198</v>
      </c>
      <c r="BS154" t="s">
        <v>198</v>
      </c>
      <c r="BT154" t="s">
        <v>198</v>
      </c>
      <c r="BU154" t="s">
        <v>198</v>
      </c>
      <c r="BV154" t="s">
        <v>198</v>
      </c>
      <c r="BW154" t="s">
        <v>198</v>
      </c>
      <c r="BX154" t="s">
        <v>198</v>
      </c>
      <c r="BY154" t="s">
        <v>198</v>
      </c>
      <c r="BZ154" t="s">
        <v>198</v>
      </c>
      <c r="CA154" t="s">
        <v>198</v>
      </c>
      <c r="CB154" t="s">
        <v>204</v>
      </c>
      <c r="CC154" t="s">
        <v>204</v>
      </c>
      <c r="CD154" t="s">
        <v>204</v>
      </c>
      <c r="CE154" t="s">
        <v>204</v>
      </c>
      <c r="CF154" t="s">
        <v>204</v>
      </c>
      <c r="CG154" t="s">
        <v>204</v>
      </c>
      <c r="CH154" t="s">
        <v>204</v>
      </c>
      <c r="CI154" t="s">
        <v>204</v>
      </c>
      <c r="CJ154" t="s">
        <v>204</v>
      </c>
      <c r="CK154" t="s">
        <v>204</v>
      </c>
      <c r="CL154" t="s">
        <v>204</v>
      </c>
      <c r="CM154" t="s">
        <v>204</v>
      </c>
      <c r="CN154" t="s">
        <v>203</v>
      </c>
      <c r="CO154" t="s">
        <v>203</v>
      </c>
      <c r="CP154" t="s">
        <v>203</v>
      </c>
      <c r="CQ154" t="s">
        <v>203</v>
      </c>
      <c r="CR154" t="s">
        <v>203</v>
      </c>
      <c r="CS154" t="s">
        <v>203</v>
      </c>
      <c r="CT154" t="s">
        <v>203</v>
      </c>
      <c r="CU154" t="s">
        <v>203</v>
      </c>
      <c r="CV154">
        <v>0</v>
      </c>
      <c r="CW154">
        <v>0</v>
      </c>
      <c r="CX154" t="s">
        <v>198</v>
      </c>
      <c r="CY154" t="s">
        <v>198</v>
      </c>
      <c r="CZ154" t="s">
        <v>198</v>
      </c>
      <c r="DA154" t="s">
        <v>198</v>
      </c>
      <c r="DB154" t="s">
        <v>198</v>
      </c>
      <c r="DC154">
        <v>0</v>
      </c>
      <c r="DD154">
        <v>0</v>
      </c>
      <c r="DE154">
        <v>0</v>
      </c>
      <c r="DF154">
        <v>0</v>
      </c>
      <c r="DG154">
        <v>-35.3631166</v>
      </c>
      <c r="DH154">
        <v>149.1639735</v>
      </c>
      <c r="DI154" t="s">
        <v>360</v>
      </c>
      <c r="DJ154">
        <v>1.2</v>
      </c>
      <c r="DK154">
        <v>2</v>
      </c>
      <c r="DL154">
        <v>159.8</v>
      </c>
      <c r="DM154">
        <v>0</v>
      </c>
      <c r="DN154">
        <v>6</v>
      </c>
      <c r="DO154">
        <v>10</v>
      </c>
      <c r="DP154">
        <v>0</v>
      </c>
      <c r="DQ154">
        <v>255</v>
      </c>
      <c r="DR154">
        <v>255</v>
      </c>
      <c r="DS154">
        <v>255</v>
      </c>
      <c r="DT154">
        <v>255</v>
      </c>
      <c r="DU154">
        <v>255</v>
      </c>
      <c r="DV154">
        <v>255</v>
      </c>
      <c r="DW154">
        <v>255</v>
      </c>
      <c r="DX154" t="s">
        <v>206</v>
      </c>
      <c r="DY154" t="s">
        <v>206</v>
      </c>
      <c r="DZ154" t="s">
        <v>207</v>
      </c>
      <c r="EA154" t="s">
        <v>198</v>
      </c>
      <c r="EB154" t="s">
        <v>198</v>
      </c>
      <c r="EC154" t="s">
        <v>198</v>
      </c>
      <c r="ED154">
        <v>0</v>
      </c>
      <c r="EE154">
        <v>0</v>
      </c>
      <c r="EF154">
        <v>0</v>
      </c>
      <c r="EG154">
        <v>0</v>
      </c>
      <c r="EH154">
        <v>255</v>
      </c>
      <c r="EI154">
        <v>255</v>
      </c>
      <c r="EJ154">
        <v>255</v>
      </c>
      <c r="EK154">
        <v>255</v>
      </c>
      <c r="EL154">
        <v>255</v>
      </c>
      <c r="EM154">
        <v>255</v>
      </c>
      <c r="EN154">
        <v>255</v>
      </c>
      <c r="EO154">
        <v>255</v>
      </c>
      <c r="EP154">
        <v>255</v>
      </c>
      <c r="EQ154">
        <v>255</v>
      </c>
      <c r="ER154" t="s">
        <v>208</v>
      </c>
      <c r="ES154" t="s">
        <v>209</v>
      </c>
      <c r="ET154" t="s">
        <v>209</v>
      </c>
      <c r="EU154">
        <v>0</v>
      </c>
      <c r="EV154">
        <v>16.2</v>
      </c>
      <c r="EW154">
        <v>-114.7</v>
      </c>
      <c r="EX154">
        <v>-0.2</v>
      </c>
      <c r="EY154">
        <v>0</v>
      </c>
      <c r="EZ154">
        <v>0</v>
      </c>
      <c r="FA154">
        <v>0</v>
      </c>
      <c r="FB154" t="s">
        <v>198</v>
      </c>
      <c r="FC154" t="s">
        <v>198</v>
      </c>
      <c r="FD154" t="s">
        <v>198</v>
      </c>
      <c r="FE154" t="s">
        <v>198</v>
      </c>
      <c r="FF154" t="s">
        <v>198</v>
      </c>
      <c r="FG154" t="s">
        <v>198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 t="s">
        <v>203</v>
      </c>
      <c r="FP154" t="s">
        <v>203</v>
      </c>
      <c r="FQ154" t="s">
        <v>203</v>
      </c>
      <c r="FR154" t="s">
        <v>203</v>
      </c>
      <c r="FS154" t="s">
        <v>203</v>
      </c>
      <c r="FT154" t="s">
        <v>203</v>
      </c>
      <c r="FU154" t="s">
        <v>198</v>
      </c>
      <c r="FV154" t="s">
        <v>198</v>
      </c>
      <c r="FW154" t="s">
        <v>198</v>
      </c>
      <c r="FX154" t="s">
        <v>198</v>
      </c>
      <c r="FY154" t="s">
        <v>198</v>
      </c>
      <c r="FZ154" t="s">
        <v>198</v>
      </c>
      <c r="GA154">
        <v>31.2</v>
      </c>
      <c r="GB154">
        <v>31.2</v>
      </c>
      <c r="GC154" t="s">
        <v>203</v>
      </c>
      <c r="GD154">
        <v>0</v>
      </c>
      <c r="GE154">
        <v>504</v>
      </c>
      <c r="GF154">
        <v>0</v>
      </c>
      <c r="GG154">
        <v>0</v>
      </c>
      <c r="GH154">
        <v>0</v>
      </c>
      <c r="GI154">
        <v>1</v>
      </c>
      <c r="GJ154">
        <v>1</v>
      </c>
      <c r="GK154">
        <v>0</v>
      </c>
      <c r="GL154" t="s">
        <v>198</v>
      </c>
      <c r="GM154" t="s">
        <v>198</v>
      </c>
      <c r="GN154" t="s">
        <v>198</v>
      </c>
    </row>
    <row r="155" spans="1:196">
      <c r="A155" s="19">
        <v>46316.90567526621</v>
      </c>
      <c r="B155">
        <v>0</v>
      </c>
      <c r="C155">
        <v>0</v>
      </c>
      <c r="D155">
        <v>277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584.2</v>
      </c>
      <c r="N155">
        <v>-0.5</v>
      </c>
      <c r="O155">
        <v>0</v>
      </c>
      <c r="P155">
        <v>0</v>
      </c>
      <c r="Q155">
        <v>0</v>
      </c>
      <c r="R155">
        <v>0</v>
      </c>
      <c r="S155">
        <v>115.6</v>
      </c>
      <c r="T155" t="s">
        <v>485</v>
      </c>
      <c r="U155">
        <v>115.7</v>
      </c>
      <c r="V155">
        <v>1762727256586.8</v>
      </c>
      <c r="W155">
        <v>1</v>
      </c>
      <c r="X155" t="s">
        <v>197</v>
      </c>
      <c r="Y155">
        <v>0</v>
      </c>
      <c r="Z155">
        <v>98</v>
      </c>
      <c r="AA155">
        <v>278</v>
      </c>
      <c r="AB155" t="s">
        <v>197</v>
      </c>
      <c r="AC155" t="s">
        <v>198</v>
      </c>
      <c r="AD155" t="s">
        <v>199</v>
      </c>
      <c r="AE155">
        <v>0</v>
      </c>
      <c r="AF155">
        <v>44</v>
      </c>
      <c r="AG155">
        <v>255</v>
      </c>
      <c r="AH155">
        <v>0</v>
      </c>
      <c r="AI155">
        <v>0</v>
      </c>
      <c r="AJ155">
        <v>0</v>
      </c>
      <c r="AK155">
        <v>12.6</v>
      </c>
      <c r="AL155">
        <v>0</v>
      </c>
      <c r="AM155">
        <v>0</v>
      </c>
      <c r="AN155" t="s">
        <v>197</v>
      </c>
      <c r="AO155">
        <v>100</v>
      </c>
      <c r="AP155" t="s">
        <v>197</v>
      </c>
      <c r="AQ155" t="s">
        <v>200</v>
      </c>
      <c r="AR155">
        <v>1</v>
      </c>
      <c r="AS155">
        <v>0</v>
      </c>
      <c r="AT155" t="s">
        <v>501</v>
      </c>
      <c r="AU155" t="s">
        <v>501</v>
      </c>
      <c r="AV155" t="s">
        <v>202</v>
      </c>
      <c r="AW155" t="s">
        <v>203</v>
      </c>
      <c r="AX155" t="s">
        <v>203</v>
      </c>
      <c r="AY155" t="s">
        <v>203</v>
      </c>
      <c r="AZ155" t="s">
        <v>203</v>
      </c>
      <c r="BA155" t="s">
        <v>203</v>
      </c>
      <c r="BB155" t="s">
        <v>203</v>
      </c>
      <c r="BC155" t="s">
        <v>203</v>
      </c>
      <c r="BD155" t="s">
        <v>203</v>
      </c>
      <c r="BE155" t="s">
        <v>203</v>
      </c>
      <c r="BF155">
        <v>0</v>
      </c>
      <c r="BG155">
        <v>0.2</v>
      </c>
      <c r="BH155">
        <v>50</v>
      </c>
      <c r="BI155">
        <v>0</v>
      </c>
      <c r="BJ155" t="s">
        <v>198</v>
      </c>
      <c r="BK155" t="s">
        <v>198</v>
      </c>
      <c r="BL155" t="s">
        <v>198</v>
      </c>
      <c r="BM155" t="s">
        <v>198</v>
      </c>
      <c r="BN155" t="s">
        <v>198</v>
      </c>
      <c r="BO155" t="s">
        <v>198</v>
      </c>
      <c r="BP155" t="s">
        <v>198</v>
      </c>
      <c r="BQ155" t="s">
        <v>198</v>
      </c>
      <c r="BR155" t="s">
        <v>198</v>
      </c>
      <c r="BS155" t="s">
        <v>198</v>
      </c>
      <c r="BT155" t="s">
        <v>198</v>
      </c>
      <c r="BU155" t="s">
        <v>198</v>
      </c>
      <c r="BV155" t="s">
        <v>198</v>
      </c>
      <c r="BW155" t="s">
        <v>198</v>
      </c>
      <c r="BX155" t="s">
        <v>198</v>
      </c>
      <c r="BY155" t="s">
        <v>198</v>
      </c>
      <c r="BZ155" t="s">
        <v>198</v>
      </c>
      <c r="CA155" t="s">
        <v>198</v>
      </c>
      <c r="CB155" t="s">
        <v>204</v>
      </c>
      <c r="CC155" t="s">
        <v>204</v>
      </c>
      <c r="CD155" t="s">
        <v>204</v>
      </c>
      <c r="CE155" t="s">
        <v>204</v>
      </c>
      <c r="CF155" t="s">
        <v>204</v>
      </c>
      <c r="CG155" t="s">
        <v>204</v>
      </c>
      <c r="CH155" t="s">
        <v>204</v>
      </c>
      <c r="CI155" t="s">
        <v>204</v>
      </c>
      <c r="CJ155" t="s">
        <v>204</v>
      </c>
      <c r="CK155" t="s">
        <v>204</v>
      </c>
      <c r="CL155" t="s">
        <v>204</v>
      </c>
      <c r="CM155" t="s">
        <v>204</v>
      </c>
      <c r="CN155" t="s">
        <v>203</v>
      </c>
      <c r="CO155" t="s">
        <v>203</v>
      </c>
      <c r="CP155" t="s">
        <v>203</v>
      </c>
      <c r="CQ155" t="s">
        <v>203</v>
      </c>
      <c r="CR155" t="s">
        <v>203</v>
      </c>
      <c r="CS155" t="s">
        <v>203</v>
      </c>
      <c r="CT155" t="s">
        <v>203</v>
      </c>
      <c r="CU155" t="s">
        <v>203</v>
      </c>
      <c r="CV155">
        <v>0</v>
      </c>
      <c r="CW155">
        <v>0</v>
      </c>
      <c r="CX155" t="s">
        <v>198</v>
      </c>
      <c r="CY155" t="s">
        <v>198</v>
      </c>
      <c r="CZ155" t="s">
        <v>198</v>
      </c>
      <c r="DA155" t="s">
        <v>198</v>
      </c>
      <c r="DB155" t="s">
        <v>198</v>
      </c>
      <c r="DC155">
        <v>0</v>
      </c>
      <c r="DD155">
        <v>0</v>
      </c>
      <c r="DE155">
        <v>0</v>
      </c>
      <c r="DF155">
        <v>0</v>
      </c>
      <c r="DG155">
        <v>-35.3631166</v>
      </c>
      <c r="DH155">
        <v>149.1639735</v>
      </c>
      <c r="DI155" t="s">
        <v>360</v>
      </c>
      <c r="DJ155">
        <v>1.2</v>
      </c>
      <c r="DK155">
        <v>2</v>
      </c>
      <c r="DL155">
        <v>159.8</v>
      </c>
      <c r="DM155">
        <v>0</v>
      </c>
      <c r="DN155">
        <v>6</v>
      </c>
      <c r="DO155">
        <v>10</v>
      </c>
      <c r="DP155">
        <v>0</v>
      </c>
      <c r="DQ155">
        <v>255</v>
      </c>
      <c r="DR155">
        <v>255</v>
      </c>
      <c r="DS155">
        <v>255</v>
      </c>
      <c r="DT155">
        <v>255</v>
      </c>
      <c r="DU155">
        <v>255</v>
      </c>
      <c r="DV155">
        <v>255</v>
      </c>
      <c r="DW155">
        <v>255</v>
      </c>
      <c r="DX155" t="s">
        <v>206</v>
      </c>
      <c r="DY155" t="s">
        <v>206</v>
      </c>
      <c r="DZ155" t="s">
        <v>207</v>
      </c>
      <c r="EA155" t="s">
        <v>198</v>
      </c>
      <c r="EB155" t="s">
        <v>198</v>
      </c>
      <c r="EC155" t="s">
        <v>198</v>
      </c>
      <c r="ED155">
        <v>0</v>
      </c>
      <c r="EE155">
        <v>0</v>
      </c>
      <c r="EF155">
        <v>0</v>
      </c>
      <c r="EG155">
        <v>0</v>
      </c>
      <c r="EH155">
        <v>255</v>
      </c>
      <c r="EI155">
        <v>255</v>
      </c>
      <c r="EJ155">
        <v>255</v>
      </c>
      <c r="EK155">
        <v>255</v>
      </c>
      <c r="EL155">
        <v>255</v>
      </c>
      <c r="EM155">
        <v>255</v>
      </c>
      <c r="EN155">
        <v>255</v>
      </c>
      <c r="EO155">
        <v>255</v>
      </c>
      <c r="EP155">
        <v>255</v>
      </c>
      <c r="EQ155">
        <v>255</v>
      </c>
      <c r="ER155" t="s">
        <v>208</v>
      </c>
      <c r="ES155" t="s">
        <v>209</v>
      </c>
      <c r="ET155" t="s">
        <v>209</v>
      </c>
      <c r="EU155">
        <v>0</v>
      </c>
      <c r="EV155">
        <v>16.2</v>
      </c>
      <c r="EW155">
        <v>-114.7</v>
      </c>
      <c r="EX155">
        <v>-0.2</v>
      </c>
      <c r="EY155">
        <v>0</v>
      </c>
      <c r="EZ155">
        <v>0</v>
      </c>
      <c r="FA155">
        <v>0</v>
      </c>
      <c r="FB155" t="s">
        <v>198</v>
      </c>
      <c r="FC155" t="s">
        <v>198</v>
      </c>
      <c r="FD155" t="s">
        <v>198</v>
      </c>
      <c r="FE155" t="s">
        <v>198</v>
      </c>
      <c r="FF155" t="s">
        <v>198</v>
      </c>
      <c r="FG155" t="s">
        <v>198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 t="s">
        <v>203</v>
      </c>
      <c r="FP155" t="s">
        <v>203</v>
      </c>
      <c r="FQ155" t="s">
        <v>203</v>
      </c>
      <c r="FR155" t="s">
        <v>203</v>
      </c>
      <c r="FS155" t="s">
        <v>203</v>
      </c>
      <c r="FT155" t="s">
        <v>203</v>
      </c>
      <c r="FU155" t="s">
        <v>198</v>
      </c>
      <c r="FV155" t="s">
        <v>198</v>
      </c>
      <c r="FW155" t="s">
        <v>198</v>
      </c>
      <c r="FX155" t="s">
        <v>198</v>
      </c>
      <c r="FY155" t="s">
        <v>198</v>
      </c>
      <c r="FZ155" t="s">
        <v>198</v>
      </c>
      <c r="GA155">
        <v>31.2</v>
      </c>
      <c r="GB155">
        <v>31.2</v>
      </c>
      <c r="GC155" t="s">
        <v>203</v>
      </c>
      <c r="GD155">
        <v>0</v>
      </c>
      <c r="GE155">
        <v>504</v>
      </c>
      <c r="GF155">
        <v>0</v>
      </c>
      <c r="GG155">
        <v>0</v>
      </c>
      <c r="GH155">
        <v>0</v>
      </c>
      <c r="GI155">
        <v>1</v>
      </c>
      <c r="GJ155">
        <v>1</v>
      </c>
      <c r="GK155">
        <v>0</v>
      </c>
      <c r="GL155" t="s">
        <v>198</v>
      </c>
      <c r="GM155" t="s">
        <v>198</v>
      </c>
      <c r="GN155" t="s">
        <v>198</v>
      </c>
    </row>
    <row r="156" spans="1:196">
      <c r="A156" s="19">
        <v>46316.90568684028</v>
      </c>
      <c r="B156">
        <v>0</v>
      </c>
      <c r="C156">
        <v>0</v>
      </c>
      <c r="D156">
        <v>277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584.2</v>
      </c>
      <c r="N156">
        <v>-0.5</v>
      </c>
      <c r="O156">
        <v>0</v>
      </c>
      <c r="P156">
        <v>0</v>
      </c>
      <c r="Q156">
        <v>0</v>
      </c>
      <c r="R156">
        <v>0</v>
      </c>
      <c r="S156">
        <v>115.6</v>
      </c>
      <c r="T156" t="s">
        <v>485</v>
      </c>
      <c r="U156">
        <v>115.7</v>
      </c>
      <c r="V156">
        <v>1762727256586.8</v>
      </c>
      <c r="W156">
        <v>1</v>
      </c>
      <c r="X156" t="s">
        <v>197</v>
      </c>
      <c r="Y156">
        <v>0</v>
      </c>
      <c r="Z156">
        <v>98</v>
      </c>
      <c r="AA156">
        <v>278</v>
      </c>
      <c r="AB156" t="s">
        <v>197</v>
      </c>
      <c r="AC156" t="s">
        <v>198</v>
      </c>
      <c r="AD156" t="s">
        <v>199</v>
      </c>
      <c r="AE156">
        <v>0</v>
      </c>
      <c r="AF156">
        <v>44</v>
      </c>
      <c r="AG156">
        <v>255</v>
      </c>
      <c r="AH156">
        <v>0</v>
      </c>
      <c r="AI156">
        <v>0</v>
      </c>
      <c r="AJ156">
        <v>0</v>
      </c>
      <c r="AK156">
        <v>12.6</v>
      </c>
      <c r="AL156">
        <v>0</v>
      </c>
      <c r="AM156">
        <v>0</v>
      </c>
      <c r="AN156" t="s">
        <v>197</v>
      </c>
      <c r="AO156">
        <v>100</v>
      </c>
      <c r="AP156" t="s">
        <v>197</v>
      </c>
      <c r="AQ156" t="s">
        <v>200</v>
      </c>
      <c r="AR156">
        <v>1</v>
      </c>
      <c r="AS156">
        <v>0</v>
      </c>
      <c r="AT156" t="s">
        <v>502</v>
      </c>
      <c r="AU156" t="s">
        <v>502</v>
      </c>
      <c r="AV156" t="s">
        <v>202</v>
      </c>
      <c r="AW156" t="s">
        <v>203</v>
      </c>
      <c r="AX156" t="s">
        <v>203</v>
      </c>
      <c r="AY156" t="s">
        <v>203</v>
      </c>
      <c r="AZ156" t="s">
        <v>203</v>
      </c>
      <c r="BA156" t="s">
        <v>203</v>
      </c>
      <c r="BB156" t="s">
        <v>203</v>
      </c>
      <c r="BC156" t="s">
        <v>203</v>
      </c>
      <c r="BD156" t="s">
        <v>203</v>
      </c>
      <c r="BE156" t="s">
        <v>203</v>
      </c>
      <c r="BF156">
        <v>0</v>
      </c>
      <c r="BG156">
        <v>0.2</v>
      </c>
      <c r="BH156">
        <v>50</v>
      </c>
      <c r="BI156">
        <v>0</v>
      </c>
      <c r="BJ156" t="s">
        <v>198</v>
      </c>
      <c r="BK156" t="s">
        <v>198</v>
      </c>
      <c r="BL156" t="s">
        <v>198</v>
      </c>
      <c r="BM156" t="s">
        <v>198</v>
      </c>
      <c r="BN156" t="s">
        <v>198</v>
      </c>
      <c r="BO156" t="s">
        <v>198</v>
      </c>
      <c r="BP156" t="s">
        <v>198</v>
      </c>
      <c r="BQ156" t="s">
        <v>198</v>
      </c>
      <c r="BR156" t="s">
        <v>198</v>
      </c>
      <c r="BS156" t="s">
        <v>198</v>
      </c>
      <c r="BT156" t="s">
        <v>198</v>
      </c>
      <c r="BU156" t="s">
        <v>198</v>
      </c>
      <c r="BV156" t="s">
        <v>198</v>
      </c>
      <c r="BW156" t="s">
        <v>198</v>
      </c>
      <c r="BX156" t="s">
        <v>198</v>
      </c>
      <c r="BY156" t="s">
        <v>198</v>
      </c>
      <c r="BZ156" t="s">
        <v>198</v>
      </c>
      <c r="CA156" t="s">
        <v>198</v>
      </c>
      <c r="CB156" t="s">
        <v>204</v>
      </c>
      <c r="CC156" t="s">
        <v>204</v>
      </c>
      <c r="CD156" t="s">
        <v>204</v>
      </c>
      <c r="CE156" t="s">
        <v>204</v>
      </c>
      <c r="CF156" t="s">
        <v>204</v>
      </c>
      <c r="CG156" t="s">
        <v>204</v>
      </c>
      <c r="CH156" t="s">
        <v>204</v>
      </c>
      <c r="CI156" t="s">
        <v>204</v>
      </c>
      <c r="CJ156" t="s">
        <v>204</v>
      </c>
      <c r="CK156" t="s">
        <v>204</v>
      </c>
      <c r="CL156" t="s">
        <v>204</v>
      </c>
      <c r="CM156" t="s">
        <v>204</v>
      </c>
      <c r="CN156" t="s">
        <v>203</v>
      </c>
      <c r="CO156" t="s">
        <v>203</v>
      </c>
      <c r="CP156" t="s">
        <v>203</v>
      </c>
      <c r="CQ156" t="s">
        <v>203</v>
      </c>
      <c r="CR156" t="s">
        <v>203</v>
      </c>
      <c r="CS156" t="s">
        <v>203</v>
      </c>
      <c r="CT156" t="s">
        <v>203</v>
      </c>
      <c r="CU156" t="s">
        <v>203</v>
      </c>
      <c r="CV156">
        <v>0</v>
      </c>
      <c r="CW156">
        <v>0</v>
      </c>
      <c r="CX156" t="s">
        <v>198</v>
      </c>
      <c r="CY156" t="s">
        <v>198</v>
      </c>
      <c r="CZ156" t="s">
        <v>198</v>
      </c>
      <c r="DA156" t="s">
        <v>198</v>
      </c>
      <c r="DB156" t="s">
        <v>198</v>
      </c>
      <c r="DC156">
        <v>0</v>
      </c>
      <c r="DD156">
        <v>0</v>
      </c>
      <c r="DE156">
        <v>0</v>
      </c>
      <c r="DF156">
        <v>0</v>
      </c>
      <c r="DG156">
        <v>-35.3631166</v>
      </c>
      <c r="DH156">
        <v>149.1639735</v>
      </c>
      <c r="DI156" t="s">
        <v>360</v>
      </c>
      <c r="DJ156">
        <v>1.2</v>
      </c>
      <c r="DK156">
        <v>2</v>
      </c>
      <c r="DL156">
        <v>159.8</v>
      </c>
      <c r="DM156">
        <v>0</v>
      </c>
      <c r="DN156">
        <v>6</v>
      </c>
      <c r="DO156">
        <v>10</v>
      </c>
      <c r="DP156">
        <v>0</v>
      </c>
      <c r="DQ156">
        <v>255</v>
      </c>
      <c r="DR156">
        <v>255</v>
      </c>
      <c r="DS156">
        <v>255</v>
      </c>
      <c r="DT156">
        <v>255</v>
      </c>
      <c r="DU156">
        <v>255</v>
      </c>
      <c r="DV156">
        <v>255</v>
      </c>
      <c r="DW156">
        <v>255</v>
      </c>
      <c r="DX156" t="s">
        <v>206</v>
      </c>
      <c r="DY156" t="s">
        <v>206</v>
      </c>
      <c r="DZ156" t="s">
        <v>207</v>
      </c>
      <c r="EA156" t="s">
        <v>198</v>
      </c>
      <c r="EB156" t="s">
        <v>198</v>
      </c>
      <c r="EC156" t="s">
        <v>198</v>
      </c>
      <c r="ED156">
        <v>0</v>
      </c>
      <c r="EE156">
        <v>0</v>
      </c>
      <c r="EF156">
        <v>0</v>
      </c>
      <c r="EG156">
        <v>0</v>
      </c>
      <c r="EH156">
        <v>255</v>
      </c>
      <c r="EI156">
        <v>255</v>
      </c>
      <c r="EJ156">
        <v>255</v>
      </c>
      <c r="EK156">
        <v>255</v>
      </c>
      <c r="EL156">
        <v>255</v>
      </c>
      <c r="EM156">
        <v>255</v>
      </c>
      <c r="EN156">
        <v>255</v>
      </c>
      <c r="EO156">
        <v>255</v>
      </c>
      <c r="EP156">
        <v>255</v>
      </c>
      <c r="EQ156">
        <v>255</v>
      </c>
      <c r="ER156" t="s">
        <v>208</v>
      </c>
      <c r="ES156" t="s">
        <v>209</v>
      </c>
      <c r="ET156" t="s">
        <v>209</v>
      </c>
      <c r="EU156">
        <v>0</v>
      </c>
      <c r="EV156">
        <v>16.2</v>
      </c>
      <c r="EW156">
        <v>-114.7</v>
      </c>
      <c r="EX156">
        <v>-0.2</v>
      </c>
      <c r="EY156">
        <v>0</v>
      </c>
      <c r="EZ156">
        <v>0</v>
      </c>
      <c r="FA156">
        <v>0</v>
      </c>
      <c r="FB156" t="s">
        <v>198</v>
      </c>
      <c r="FC156" t="s">
        <v>198</v>
      </c>
      <c r="FD156" t="s">
        <v>198</v>
      </c>
      <c r="FE156" t="s">
        <v>198</v>
      </c>
      <c r="FF156" t="s">
        <v>198</v>
      </c>
      <c r="FG156" t="s">
        <v>198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 t="s">
        <v>203</v>
      </c>
      <c r="FP156" t="s">
        <v>203</v>
      </c>
      <c r="FQ156" t="s">
        <v>203</v>
      </c>
      <c r="FR156" t="s">
        <v>203</v>
      </c>
      <c r="FS156" t="s">
        <v>203</v>
      </c>
      <c r="FT156" t="s">
        <v>203</v>
      </c>
      <c r="FU156" t="s">
        <v>198</v>
      </c>
      <c r="FV156" t="s">
        <v>198</v>
      </c>
      <c r="FW156" t="s">
        <v>198</v>
      </c>
      <c r="FX156" t="s">
        <v>198</v>
      </c>
      <c r="FY156" t="s">
        <v>198</v>
      </c>
      <c r="FZ156" t="s">
        <v>198</v>
      </c>
      <c r="GA156">
        <v>31.2</v>
      </c>
      <c r="GB156">
        <v>31.2</v>
      </c>
      <c r="GC156" t="s">
        <v>203</v>
      </c>
      <c r="GD156">
        <v>0</v>
      </c>
      <c r="GE156">
        <v>504</v>
      </c>
      <c r="GF156">
        <v>0</v>
      </c>
      <c r="GG156">
        <v>0</v>
      </c>
      <c r="GH156">
        <v>0</v>
      </c>
      <c r="GI156">
        <v>1</v>
      </c>
      <c r="GJ156">
        <v>1</v>
      </c>
      <c r="GK156">
        <v>0</v>
      </c>
      <c r="GL156" t="s">
        <v>198</v>
      </c>
      <c r="GM156" t="s">
        <v>198</v>
      </c>
      <c r="GN156" t="s">
        <v>198</v>
      </c>
    </row>
    <row r="157" spans="1:196">
      <c r="A157" s="19">
        <v>46316.90569841435</v>
      </c>
      <c r="B157">
        <v>0</v>
      </c>
      <c r="C157">
        <v>0</v>
      </c>
      <c r="D157">
        <v>277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584.2</v>
      </c>
      <c r="N157">
        <v>-0.5</v>
      </c>
      <c r="O157">
        <v>0</v>
      </c>
      <c r="P157">
        <v>0</v>
      </c>
      <c r="Q157">
        <v>0</v>
      </c>
      <c r="R157">
        <v>0</v>
      </c>
      <c r="S157">
        <v>115.6</v>
      </c>
      <c r="T157" t="s">
        <v>485</v>
      </c>
      <c r="U157">
        <v>115.7</v>
      </c>
      <c r="V157">
        <v>1762727256586.8</v>
      </c>
      <c r="W157">
        <v>1</v>
      </c>
      <c r="X157" t="s">
        <v>197</v>
      </c>
      <c r="Y157">
        <v>0</v>
      </c>
      <c r="Z157">
        <v>98</v>
      </c>
      <c r="AA157">
        <v>278</v>
      </c>
      <c r="AB157" t="s">
        <v>197</v>
      </c>
      <c r="AC157" t="s">
        <v>198</v>
      </c>
      <c r="AD157" t="s">
        <v>199</v>
      </c>
      <c r="AE157">
        <v>0</v>
      </c>
      <c r="AF157">
        <v>44</v>
      </c>
      <c r="AG157">
        <v>255</v>
      </c>
      <c r="AH157">
        <v>0</v>
      </c>
      <c r="AI157">
        <v>0</v>
      </c>
      <c r="AJ157">
        <v>0</v>
      </c>
      <c r="AK157">
        <v>12.6</v>
      </c>
      <c r="AL157">
        <v>0</v>
      </c>
      <c r="AM157">
        <v>0</v>
      </c>
      <c r="AN157" t="s">
        <v>197</v>
      </c>
      <c r="AO157">
        <v>100</v>
      </c>
      <c r="AP157" t="s">
        <v>197</v>
      </c>
      <c r="AQ157" t="s">
        <v>200</v>
      </c>
      <c r="AR157">
        <v>1</v>
      </c>
      <c r="AS157">
        <v>0</v>
      </c>
      <c r="AT157" t="s">
        <v>503</v>
      </c>
      <c r="AU157" t="s">
        <v>503</v>
      </c>
      <c r="AV157" t="s">
        <v>202</v>
      </c>
      <c r="AW157" t="s">
        <v>203</v>
      </c>
      <c r="AX157" t="s">
        <v>203</v>
      </c>
      <c r="AY157" t="s">
        <v>203</v>
      </c>
      <c r="AZ157" t="s">
        <v>203</v>
      </c>
      <c r="BA157" t="s">
        <v>203</v>
      </c>
      <c r="BB157" t="s">
        <v>203</v>
      </c>
      <c r="BC157" t="s">
        <v>203</v>
      </c>
      <c r="BD157" t="s">
        <v>203</v>
      </c>
      <c r="BE157" t="s">
        <v>203</v>
      </c>
      <c r="BF157">
        <v>0</v>
      </c>
      <c r="BG157">
        <v>0.2</v>
      </c>
      <c r="BH157">
        <v>50</v>
      </c>
      <c r="BI157">
        <v>0</v>
      </c>
      <c r="BJ157" t="s">
        <v>198</v>
      </c>
      <c r="BK157" t="s">
        <v>198</v>
      </c>
      <c r="BL157" t="s">
        <v>198</v>
      </c>
      <c r="BM157" t="s">
        <v>198</v>
      </c>
      <c r="BN157" t="s">
        <v>198</v>
      </c>
      <c r="BO157" t="s">
        <v>198</v>
      </c>
      <c r="BP157" t="s">
        <v>198</v>
      </c>
      <c r="BQ157" t="s">
        <v>198</v>
      </c>
      <c r="BR157" t="s">
        <v>198</v>
      </c>
      <c r="BS157" t="s">
        <v>198</v>
      </c>
      <c r="BT157" t="s">
        <v>198</v>
      </c>
      <c r="BU157" t="s">
        <v>198</v>
      </c>
      <c r="BV157" t="s">
        <v>198</v>
      </c>
      <c r="BW157" t="s">
        <v>198</v>
      </c>
      <c r="BX157" t="s">
        <v>198</v>
      </c>
      <c r="BY157" t="s">
        <v>198</v>
      </c>
      <c r="BZ157" t="s">
        <v>198</v>
      </c>
      <c r="CA157" t="s">
        <v>198</v>
      </c>
      <c r="CB157" t="s">
        <v>204</v>
      </c>
      <c r="CC157" t="s">
        <v>204</v>
      </c>
      <c r="CD157" t="s">
        <v>204</v>
      </c>
      <c r="CE157" t="s">
        <v>204</v>
      </c>
      <c r="CF157" t="s">
        <v>204</v>
      </c>
      <c r="CG157" t="s">
        <v>204</v>
      </c>
      <c r="CH157" t="s">
        <v>204</v>
      </c>
      <c r="CI157" t="s">
        <v>204</v>
      </c>
      <c r="CJ157" t="s">
        <v>204</v>
      </c>
      <c r="CK157" t="s">
        <v>204</v>
      </c>
      <c r="CL157" t="s">
        <v>204</v>
      </c>
      <c r="CM157" t="s">
        <v>204</v>
      </c>
      <c r="CN157" t="s">
        <v>203</v>
      </c>
      <c r="CO157" t="s">
        <v>203</v>
      </c>
      <c r="CP157" t="s">
        <v>203</v>
      </c>
      <c r="CQ157" t="s">
        <v>203</v>
      </c>
      <c r="CR157" t="s">
        <v>203</v>
      </c>
      <c r="CS157" t="s">
        <v>203</v>
      </c>
      <c r="CT157" t="s">
        <v>203</v>
      </c>
      <c r="CU157" t="s">
        <v>203</v>
      </c>
      <c r="CV157">
        <v>0</v>
      </c>
      <c r="CW157">
        <v>0</v>
      </c>
      <c r="CX157" t="s">
        <v>198</v>
      </c>
      <c r="CY157" t="s">
        <v>198</v>
      </c>
      <c r="CZ157" t="s">
        <v>198</v>
      </c>
      <c r="DA157" t="s">
        <v>198</v>
      </c>
      <c r="DB157" t="s">
        <v>198</v>
      </c>
      <c r="DC157">
        <v>0</v>
      </c>
      <c r="DD157">
        <v>0</v>
      </c>
      <c r="DE157">
        <v>0</v>
      </c>
      <c r="DF157">
        <v>0</v>
      </c>
      <c r="DG157">
        <v>-35.3631166</v>
      </c>
      <c r="DH157">
        <v>149.1639735</v>
      </c>
      <c r="DI157" t="s">
        <v>360</v>
      </c>
      <c r="DJ157">
        <v>1.2</v>
      </c>
      <c r="DK157">
        <v>2</v>
      </c>
      <c r="DL157">
        <v>159.8</v>
      </c>
      <c r="DM157">
        <v>0</v>
      </c>
      <c r="DN157">
        <v>6</v>
      </c>
      <c r="DO157">
        <v>10</v>
      </c>
      <c r="DP157">
        <v>0</v>
      </c>
      <c r="DQ157">
        <v>255</v>
      </c>
      <c r="DR157">
        <v>255</v>
      </c>
      <c r="DS157">
        <v>255</v>
      </c>
      <c r="DT157">
        <v>255</v>
      </c>
      <c r="DU157">
        <v>255</v>
      </c>
      <c r="DV157">
        <v>255</v>
      </c>
      <c r="DW157">
        <v>255</v>
      </c>
      <c r="DX157" t="s">
        <v>206</v>
      </c>
      <c r="DY157" t="s">
        <v>206</v>
      </c>
      <c r="DZ157" t="s">
        <v>207</v>
      </c>
      <c r="EA157" t="s">
        <v>198</v>
      </c>
      <c r="EB157" t="s">
        <v>198</v>
      </c>
      <c r="EC157" t="s">
        <v>198</v>
      </c>
      <c r="ED157">
        <v>0</v>
      </c>
      <c r="EE157">
        <v>0</v>
      </c>
      <c r="EF157">
        <v>0</v>
      </c>
      <c r="EG157">
        <v>0</v>
      </c>
      <c r="EH157">
        <v>255</v>
      </c>
      <c r="EI157">
        <v>255</v>
      </c>
      <c r="EJ157">
        <v>255</v>
      </c>
      <c r="EK157">
        <v>255</v>
      </c>
      <c r="EL157">
        <v>255</v>
      </c>
      <c r="EM157">
        <v>255</v>
      </c>
      <c r="EN157">
        <v>255</v>
      </c>
      <c r="EO157">
        <v>255</v>
      </c>
      <c r="EP157">
        <v>255</v>
      </c>
      <c r="EQ157">
        <v>255</v>
      </c>
      <c r="ER157" t="s">
        <v>208</v>
      </c>
      <c r="ES157" t="s">
        <v>209</v>
      </c>
      <c r="ET157" t="s">
        <v>209</v>
      </c>
      <c r="EU157">
        <v>0</v>
      </c>
      <c r="EV157">
        <v>16.2</v>
      </c>
      <c r="EW157">
        <v>-114.7</v>
      </c>
      <c r="EX157">
        <v>-0.2</v>
      </c>
      <c r="EY157">
        <v>0</v>
      </c>
      <c r="EZ157">
        <v>0</v>
      </c>
      <c r="FA157">
        <v>0</v>
      </c>
      <c r="FB157" t="s">
        <v>198</v>
      </c>
      <c r="FC157" t="s">
        <v>198</v>
      </c>
      <c r="FD157" t="s">
        <v>198</v>
      </c>
      <c r="FE157" t="s">
        <v>198</v>
      </c>
      <c r="FF157" t="s">
        <v>198</v>
      </c>
      <c r="FG157" t="s">
        <v>198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 t="s">
        <v>203</v>
      </c>
      <c r="FP157" t="s">
        <v>203</v>
      </c>
      <c r="FQ157" t="s">
        <v>203</v>
      </c>
      <c r="FR157" t="s">
        <v>203</v>
      </c>
      <c r="FS157" t="s">
        <v>203</v>
      </c>
      <c r="FT157" t="s">
        <v>203</v>
      </c>
      <c r="FU157" t="s">
        <v>198</v>
      </c>
      <c r="FV157" t="s">
        <v>198</v>
      </c>
      <c r="FW157" t="s">
        <v>198</v>
      </c>
      <c r="FX157" t="s">
        <v>198</v>
      </c>
      <c r="FY157" t="s">
        <v>198</v>
      </c>
      <c r="FZ157" t="s">
        <v>198</v>
      </c>
      <c r="GA157">
        <v>31.2</v>
      </c>
      <c r="GB157">
        <v>31.2</v>
      </c>
      <c r="GC157" t="s">
        <v>203</v>
      </c>
      <c r="GD157">
        <v>0</v>
      </c>
      <c r="GE157">
        <v>504</v>
      </c>
      <c r="GF157">
        <v>0</v>
      </c>
      <c r="GG157">
        <v>0</v>
      </c>
      <c r="GH157">
        <v>0</v>
      </c>
      <c r="GI157">
        <v>1</v>
      </c>
      <c r="GJ157">
        <v>1</v>
      </c>
      <c r="GK157">
        <v>0</v>
      </c>
      <c r="GL157" t="s">
        <v>198</v>
      </c>
      <c r="GM157" t="s">
        <v>198</v>
      </c>
      <c r="GN157" t="s">
        <v>198</v>
      </c>
    </row>
    <row r="158" spans="1:196">
      <c r="A158" s="19">
        <v>46316.90570998842</v>
      </c>
      <c r="B158">
        <v>0</v>
      </c>
      <c r="C158">
        <v>0</v>
      </c>
      <c r="D158">
        <v>277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584.2</v>
      </c>
      <c r="N158">
        <v>-0.5</v>
      </c>
      <c r="O158">
        <v>0</v>
      </c>
      <c r="P158">
        <v>0</v>
      </c>
      <c r="Q158">
        <v>0</v>
      </c>
      <c r="R158">
        <v>0</v>
      </c>
      <c r="S158">
        <v>115.6</v>
      </c>
      <c r="T158" t="s">
        <v>485</v>
      </c>
      <c r="U158">
        <v>115.7</v>
      </c>
      <c r="V158">
        <v>1762727256586.8</v>
      </c>
      <c r="W158">
        <v>1</v>
      </c>
      <c r="X158" t="s">
        <v>197</v>
      </c>
      <c r="Y158">
        <v>0</v>
      </c>
      <c r="Z158">
        <v>98</v>
      </c>
      <c r="AA158">
        <v>278</v>
      </c>
      <c r="AB158" t="s">
        <v>197</v>
      </c>
      <c r="AC158" t="s">
        <v>198</v>
      </c>
      <c r="AD158" t="s">
        <v>199</v>
      </c>
      <c r="AE158">
        <v>0</v>
      </c>
      <c r="AF158">
        <v>44</v>
      </c>
      <c r="AG158">
        <v>255</v>
      </c>
      <c r="AH158">
        <v>0</v>
      </c>
      <c r="AI158">
        <v>0</v>
      </c>
      <c r="AJ158">
        <v>0</v>
      </c>
      <c r="AK158">
        <v>12.6</v>
      </c>
      <c r="AL158">
        <v>0</v>
      </c>
      <c r="AM158">
        <v>0</v>
      </c>
      <c r="AN158" t="s">
        <v>197</v>
      </c>
      <c r="AO158">
        <v>100</v>
      </c>
      <c r="AP158" t="s">
        <v>197</v>
      </c>
      <c r="AQ158" t="s">
        <v>200</v>
      </c>
      <c r="AR158">
        <v>1</v>
      </c>
      <c r="AS158">
        <v>0</v>
      </c>
      <c r="AT158" t="s">
        <v>504</v>
      </c>
      <c r="AU158" t="s">
        <v>504</v>
      </c>
      <c r="AV158" t="s">
        <v>202</v>
      </c>
      <c r="AW158" t="s">
        <v>203</v>
      </c>
      <c r="AX158" t="s">
        <v>203</v>
      </c>
      <c r="AY158" t="s">
        <v>203</v>
      </c>
      <c r="AZ158" t="s">
        <v>203</v>
      </c>
      <c r="BA158" t="s">
        <v>203</v>
      </c>
      <c r="BB158" t="s">
        <v>203</v>
      </c>
      <c r="BC158" t="s">
        <v>203</v>
      </c>
      <c r="BD158" t="s">
        <v>203</v>
      </c>
      <c r="BE158" t="s">
        <v>203</v>
      </c>
      <c r="BF158">
        <v>0</v>
      </c>
      <c r="BG158">
        <v>0.2</v>
      </c>
      <c r="BH158">
        <v>50</v>
      </c>
      <c r="BI158">
        <v>0</v>
      </c>
      <c r="BJ158" t="s">
        <v>198</v>
      </c>
      <c r="BK158" t="s">
        <v>198</v>
      </c>
      <c r="BL158" t="s">
        <v>198</v>
      </c>
      <c r="BM158" t="s">
        <v>198</v>
      </c>
      <c r="BN158" t="s">
        <v>198</v>
      </c>
      <c r="BO158" t="s">
        <v>198</v>
      </c>
      <c r="BP158" t="s">
        <v>198</v>
      </c>
      <c r="BQ158" t="s">
        <v>198</v>
      </c>
      <c r="BR158" t="s">
        <v>198</v>
      </c>
      <c r="BS158" t="s">
        <v>198</v>
      </c>
      <c r="BT158" t="s">
        <v>198</v>
      </c>
      <c r="BU158" t="s">
        <v>198</v>
      </c>
      <c r="BV158" t="s">
        <v>198</v>
      </c>
      <c r="BW158" t="s">
        <v>198</v>
      </c>
      <c r="BX158" t="s">
        <v>198</v>
      </c>
      <c r="BY158" t="s">
        <v>198</v>
      </c>
      <c r="BZ158" t="s">
        <v>198</v>
      </c>
      <c r="CA158" t="s">
        <v>198</v>
      </c>
      <c r="CB158" t="s">
        <v>204</v>
      </c>
      <c r="CC158" t="s">
        <v>204</v>
      </c>
      <c r="CD158" t="s">
        <v>204</v>
      </c>
      <c r="CE158" t="s">
        <v>204</v>
      </c>
      <c r="CF158" t="s">
        <v>204</v>
      </c>
      <c r="CG158" t="s">
        <v>204</v>
      </c>
      <c r="CH158" t="s">
        <v>204</v>
      </c>
      <c r="CI158" t="s">
        <v>204</v>
      </c>
      <c r="CJ158" t="s">
        <v>204</v>
      </c>
      <c r="CK158" t="s">
        <v>204</v>
      </c>
      <c r="CL158" t="s">
        <v>204</v>
      </c>
      <c r="CM158" t="s">
        <v>204</v>
      </c>
      <c r="CN158" t="s">
        <v>203</v>
      </c>
      <c r="CO158" t="s">
        <v>203</v>
      </c>
      <c r="CP158" t="s">
        <v>203</v>
      </c>
      <c r="CQ158" t="s">
        <v>203</v>
      </c>
      <c r="CR158" t="s">
        <v>203</v>
      </c>
      <c r="CS158" t="s">
        <v>203</v>
      </c>
      <c r="CT158" t="s">
        <v>203</v>
      </c>
      <c r="CU158" t="s">
        <v>203</v>
      </c>
      <c r="CV158">
        <v>0</v>
      </c>
      <c r="CW158">
        <v>0</v>
      </c>
      <c r="CX158" t="s">
        <v>198</v>
      </c>
      <c r="CY158" t="s">
        <v>198</v>
      </c>
      <c r="CZ158" t="s">
        <v>198</v>
      </c>
      <c r="DA158" t="s">
        <v>198</v>
      </c>
      <c r="DB158" t="s">
        <v>198</v>
      </c>
      <c r="DC158">
        <v>0</v>
      </c>
      <c r="DD158">
        <v>0</v>
      </c>
      <c r="DE158">
        <v>0</v>
      </c>
      <c r="DF158">
        <v>0</v>
      </c>
      <c r="DG158">
        <v>-35.3631166</v>
      </c>
      <c r="DH158">
        <v>149.1639735</v>
      </c>
      <c r="DI158" t="s">
        <v>360</v>
      </c>
      <c r="DJ158">
        <v>1.2</v>
      </c>
      <c r="DK158">
        <v>2</v>
      </c>
      <c r="DL158">
        <v>159.8</v>
      </c>
      <c r="DM158">
        <v>0</v>
      </c>
      <c r="DN158">
        <v>6</v>
      </c>
      <c r="DO158">
        <v>10</v>
      </c>
      <c r="DP158">
        <v>0</v>
      </c>
      <c r="DQ158">
        <v>255</v>
      </c>
      <c r="DR158">
        <v>255</v>
      </c>
      <c r="DS158">
        <v>255</v>
      </c>
      <c r="DT158">
        <v>255</v>
      </c>
      <c r="DU158">
        <v>255</v>
      </c>
      <c r="DV158">
        <v>255</v>
      </c>
      <c r="DW158">
        <v>255</v>
      </c>
      <c r="DX158" t="s">
        <v>206</v>
      </c>
      <c r="DY158" t="s">
        <v>206</v>
      </c>
      <c r="DZ158" t="s">
        <v>207</v>
      </c>
      <c r="EA158" t="s">
        <v>198</v>
      </c>
      <c r="EB158" t="s">
        <v>198</v>
      </c>
      <c r="EC158" t="s">
        <v>198</v>
      </c>
      <c r="ED158">
        <v>0</v>
      </c>
      <c r="EE158">
        <v>0</v>
      </c>
      <c r="EF158">
        <v>0</v>
      </c>
      <c r="EG158">
        <v>0</v>
      </c>
      <c r="EH158">
        <v>255</v>
      </c>
      <c r="EI158">
        <v>255</v>
      </c>
      <c r="EJ158">
        <v>255</v>
      </c>
      <c r="EK158">
        <v>255</v>
      </c>
      <c r="EL158">
        <v>255</v>
      </c>
      <c r="EM158">
        <v>255</v>
      </c>
      <c r="EN158">
        <v>255</v>
      </c>
      <c r="EO158">
        <v>255</v>
      </c>
      <c r="EP158">
        <v>255</v>
      </c>
      <c r="EQ158">
        <v>255</v>
      </c>
      <c r="ER158" t="s">
        <v>208</v>
      </c>
      <c r="ES158" t="s">
        <v>209</v>
      </c>
      <c r="ET158" t="s">
        <v>209</v>
      </c>
      <c r="EU158">
        <v>0</v>
      </c>
      <c r="EV158">
        <v>16.2</v>
      </c>
      <c r="EW158">
        <v>-114.7</v>
      </c>
      <c r="EX158">
        <v>-0.2</v>
      </c>
      <c r="EY158">
        <v>0</v>
      </c>
      <c r="EZ158">
        <v>0</v>
      </c>
      <c r="FA158">
        <v>0</v>
      </c>
      <c r="FB158" t="s">
        <v>198</v>
      </c>
      <c r="FC158" t="s">
        <v>198</v>
      </c>
      <c r="FD158" t="s">
        <v>198</v>
      </c>
      <c r="FE158" t="s">
        <v>198</v>
      </c>
      <c r="FF158" t="s">
        <v>198</v>
      </c>
      <c r="FG158" t="s">
        <v>198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203</v>
      </c>
      <c r="FP158" t="s">
        <v>203</v>
      </c>
      <c r="FQ158" t="s">
        <v>203</v>
      </c>
      <c r="FR158" t="s">
        <v>203</v>
      </c>
      <c r="FS158" t="s">
        <v>203</v>
      </c>
      <c r="FT158" t="s">
        <v>203</v>
      </c>
      <c r="FU158" t="s">
        <v>198</v>
      </c>
      <c r="FV158" t="s">
        <v>198</v>
      </c>
      <c r="FW158" t="s">
        <v>198</v>
      </c>
      <c r="FX158" t="s">
        <v>198</v>
      </c>
      <c r="FY158" t="s">
        <v>198</v>
      </c>
      <c r="FZ158" t="s">
        <v>198</v>
      </c>
      <c r="GA158">
        <v>31.2</v>
      </c>
      <c r="GB158">
        <v>31.2</v>
      </c>
      <c r="GC158" t="s">
        <v>203</v>
      </c>
      <c r="GD158">
        <v>0</v>
      </c>
      <c r="GE158">
        <v>504</v>
      </c>
      <c r="GF158">
        <v>0</v>
      </c>
      <c r="GG158">
        <v>0</v>
      </c>
      <c r="GH158">
        <v>0</v>
      </c>
      <c r="GI158">
        <v>1</v>
      </c>
      <c r="GJ158">
        <v>1</v>
      </c>
      <c r="GK158">
        <v>0</v>
      </c>
      <c r="GL158" t="s">
        <v>198</v>
      </c>
      <c r="GM158" t="s">
        <v>198</v>
      </c>
      <c r="GN158" t="s">
        <v>198</v>
      </c>
    </row>
    <row r="159" spans="1:196">
      <c r="A159" s="19">
        <v>46316.9057215625</v>
      </c>
      <c r="B159">
        <v>0</v>
      </c>
      <c r="C159">
        <v>0</v>
      </c>
      <c r="D159">
        <v>277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584.2</v>
      </c>
      <c r="N159">
        <v>-0.5</v>
      </c>
      <c r="O159">
        <v>0</v>
      </c>
      <c r="P159">
        <v>0</v>
      </c>
      <c r="Q159">
        <v>0</v>
      </c>
      <c r="R159">
        <v>0</v>
      </c>
      <c r="S159">
        <v>115.6</v>
      </c>
      <c r="T159" t="s">
        <v>485</v>
      </c>
      <c r="U159">
        <v>115.7</v>
      </c>
      <c r="V159">
        <v>1762727256586.8</v>
      </c>
      <c r="W159">
        <v>1</v>
      </c>
      <c r="X159" t="s">
        <v>197</v>
      </c>
      <c r="Y159">
        <v>0</v>
      </c>
      <c r="Z159">
        <v>98</v>
      </c>
      <c r="AA159">
        <v>278</v>
      </c>
      <c r="AB159" t="s">
        <v>197</v>
      </c>
      <c r="AC159" t="s">
        <v>198</v>
      </c>
      <c r="AD159" t="s">
        <v>199</v>
      </c>
      <c r="AE159">
        <v>0</v>
      </c>
      <c r="AF159">
        <v>44</v>
      </c>
      <c r="AG159">
        <v>255</v>
      </c>
      <c r="AH159">
        <v>0</v>
      </c>
      <c r="AI159">
        <v>0</v>
      </c>
      <c r="AJ159">
        <v>0</v>
      </c>
      <c r="AK159">
        <v>12.6</v>
      </c>
      <c r="AL159">
        <v>0</v>
      </c>
      <c r="AM159">
        <v>0</v>
      </c>
      <c r="AN159" t="s">
        <v>197</v>
      </c>
      <c r="AO159">
        <v>100</v>
      </c>
      <c r="AP159" t="s">
        <v>197</v>
      </c>
      <c r="AQ159" t="s">
        <v>200</v>
      </c>
      <c r="AR159">
        <v>1</v>
      </c>
      <c r="AS159">
        <v>0</v>
      </c>
      <c r="AT159" t="s">
        <v>505</v>
      </c>
      <c r="AU159" t="s">
        <v>505</v>
      </c>
      <c r="AV159" t="s">
        <v>202</v>
      </c>
      <c r="AW159" t="s">
        <v>203</v>
      </c>
      <c r="AX159" t="s">
        <v>203</v>
      </c>
      <c r="AY159" t="s">
        <v>203</v>
      </c>
      <c r="AZ159" t="s">
        <v>203</v>
      </c>
      <c r="BA159" t="s">
        <v>203</v>
      </c>
      <c r="BB159" t="s">
        <v>203</v>
      </c>
      <c r="BC159" t="s">
        <v>203</v>
      </c>
      <c r="BD159" t="s">
        <v>203</v>
      </c>
      <c r="BE159" t="s">
        <v>203</v>
      </c>
      <c r="BF159">
        <v>0</v>
      </c>
      <c r="BG159">
        <v>0.2</v>
      </c>
      <c r="BH159">
        <v>50</v>
      </c>
      <c r="BI159">
        <v>0</v>
      </c>
      <c r="BJ159" t="s">
        <v>198</v>
      </c>
      <c r="BK159" t="s">
        <v>198</v>
      </c>
      <c r="BL159" t="s">
        <v>198</v>
      </c>
      <c r="BM159" t="s">
        <v>198</v>
      </c>
      <c r="BN159" t="s">
        <v>198</v>
      </c>
      <c r="BO159" t="s">
        <v>198</v>
      </c>
      <c r="BP159" t="s">
        <v>198</v>
      </c>
      <c r="BQ159" t="s">
        <v>198</v>
      </c>
      <c r="BR159" t="s">
        <v>198</v>
      </c>
      <c r="BS159" t="s">
        <v>198</v>
      </c>
      <c r="BT159" t="s">
        <v>198</v>
      </c>
      <c r="BU159" t="s">
        <v>198</v>
      </c>
      <c r="BV159" t="s">
        <v>198</v>
      </c>
      <c r="BW159" t="s">
        <v>198</v>
      </c>
      <c r="BX159" t="s">
        <v>198</v>
      </c>
      <c r="BY159" t="s">
        <v>198</v>
      </c>
      <c r="BZ159" t="s">
        <v>198</v>
      </c>
      <c r="CA159" t="s">
        <v>198</v>
      </c>
      <c r="CB159" t="s">
        <v>204</v>
      </c>
      <c r="CC159" t="s">
        <v>204</v>
      </c>
      <c r="CD159" t="s">
        <v>204</v>
      </c>
      <c r="CE159" t="s">
        <v>204</v>
      </c>
      <c r="CF159" t="s">
        <v>204</v>
      </c>
      <c r="CG159" t="s">
        <v>204</v>
      </c>
      <c r="CH159" t="s">
        <v>204</v>
      </c>
      <c r="CI159" t="s">
        <v>204</v>
      </c>
      <c r="CJ159" t="s">
        <v>204</v>
      </c>
      <c r="CK159" t="s">
        <v>204</v>
      </c>
      <c r="CL159" t="s">
        <v>204</v>
      </c>
      <c r="CM159" t="s">
        <v>204</v>
      </c>
      <c r="CN159" t="s">
        <v>203</v>
      </c>
      <c r="CO159" t="s">
        <v>203</v>
      </c>
      <c r="CP159" t="s">
        <v>203</v>
      </c>
      <c r="CQ159" t="s">
        <v>203</v>
      </c>
      <c r="CR159" t="s">
        <v>203</v>
      </c>
      <c r="CS159" t="s">
        <v>203</v>
      </c>
      <c r="CT159" t="s">
        <v>203</v>
      </c>
      <c r="CU159" t="s">
        <v>203</v>
      </c>
      <c r="CV159">
        <v>0</v>
      </c>
      <c r="CW159">
        <v>0</v>
      </c>
      <c r="CX159" t="s">
        <v>198</v>
      </c>
      <c r="CY159" t="s">
        <v>198</v>
      </c>
      <c r="CZ159" t="s">
        <v>198</v>
      </c>
      <c r="DA159" t="s">
        <v>198</v>
      </c>
      <c r="DB159" t="s">
        <v>198</v>
      </c>
      <c r="DC159">
        <v>0</v>
      </c>
      <c r="DD159">
        <v>0</v>
      </c>
      <c r="DE159">
        <v>0</v>
      </c>
      <c r="DF159">
        <v>0</v>
      </c>
      <c r="DG159">
        <v>-35.3631166</v>
      </c>
      <c r="DH159">
        <v>149.1639735</v>
      </c>
      <c r="DI159" t="s">
        <v>360</v>
      </c>
      <c r="DJ159">
        <v>1.2</v>
      </c>
      <c r="DK159">
        <v>2</v>
      </c>
      <c r="DL159">
        <v>159.8</v>
      </c>
      <c r="DM159">
        <v>0</v>
      </c>
      <c r="DN159">
        <v>6</v>
      </c>
      <c r="DO159">
        <v>10</v>
      </c>
      <c r="DP159">
        <v>0</v>
      </c>
      <c r="DQ159">
        <v>255</v>
      </c>
      <c r="DR159">
        <v>255</v>
      </c>
      <c r="DS159">
        <v>255</v>
      </c>
      <c r="DT159">
        <v>255</v>
      </c>
      <c r="DU159">
        <v>255</v>
      </c>
      <c r="DV159">
        <v>255</v>
      </c>
      <c r="DW159">
        <v>255</v>
      </c>
      <c r="DX159" t="s">
        <v>206</v>
      </c>
      <c r="DY159" t="s">
        <v>206</v>
      </c>
      <c r="DZ159" t="s">
        <v>207</v>
      </c>
      <c r="EA159" t="s">
        <v>198</v>
      </c>
      <c r="EB159" t="s">
        <v>198</v>
      </c>
      <c r="EC159" t="s">
        <v>198</v>
      </c>
      <c r="ED159">
        <v>0</v>
      </c>
      <c r="EE159">
        <v>0</v>
      </c>
      <c r="EF159">
        <v>0</v>
      </c>
      <c r="EG159">
        <v>0</v>
      </c>
      <c r="EH159">
        <v>255</v>
      </c>
      <c r="EI159">
        <v>255</v>
      </c>
      <c r="EJ159">
        <v>255</v>
      </c>
      <c r="EK159">
        <v>255</v>
      </c>
      <c r="EL159">
        <v>255</v>
      </c>
      <c r="EM159">
        <v>255</v>
      </c>
      <c r="EN159">
        <v>255</v>
      </c>
      <c r="EO159">
        <v>255</v>
      </c>
      <c r="EP159">
        <v>255</v>
      </c>
      <c r="EQ159">
        <v>255</v>
      </c>
      <c r="ER159" t="s">
        <v>208</v>
      </c>
      <c r="ES159" t="s">
        <v>209</v>
      </c>
      <c r="ET159" t="s">
        <v>209</v>
      </c>
      <c r="EU159">
        <v>0</v>
      </c>
      <c r="EV159">
        <v>16.2</v>
      </c>
      <c r="EW159">
        <v>-114.7</v>
      </c>
      <c r="EX159">
        <v>-0.2</v>
      </c>
      <c r="EY159">
        <v>0</v>
      </c>
      <c r="EZ159">
        <v>0</v>
      </c>
      <c r="FA159">
        <v>0</v>
      </c>
      <c r="FB159" t="s">
        <v>198</v>
      </c>
      <c r="FC159" t="s">
        <v>198</v>
      </c>
      <c r="FD159" t="s">
        <v>198</v>
      </c>
      <c r="FE159" t="s">
        <v>198</v>
      </c>
      <c r="FF159" t="s">
        <v>198</v>
      </c>
      <c r="FG159" t="s">
        <v>198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 t="s">
        <v>203</v>
      </c>
      <c r="FP159" t="s">
        <v>203</v>
      </c>
      <c r="FQ159" t="s">
        <v>203</v>
      </c>
      <c r="FR159" t="s">
        <v>203</v>
      </c>
      <c r="FS159" t="s">
        <v>203</v>
      </c>
      <c r="FT159" t="s">
        <v>203</v>
      </c>
      <c r="FU159" t="s">
        <v>198</v>
      </c>
      <c r="FV159" t="s">
        <v>198</v>
      </c>
      <c r="FW159" t="s">
        <v>198</v>
      </c>
      <c r="FX159" t="s">
        <v>198</v>
      </c>
      <c r="FY159" t="s">
        <v>198</v>
      </c>
      <c r="FZ159" t="s">
        <v>198</v>
      </c>
      <c r="GA159">
        <v>31.2</v>
      </c>
      <c r="GB159">
        <v>31.2</v>
      </c>
      <c r="GC159" t="s">
        <v>203</v>
      </c>
      <c r="GD159">
        <v>0</v>
      </c>
      <c r="GE159">
        <v>504</v>
      </c>
      <c r="GF159">
        <v>0</v>
      </c>
      <c r="GG159">
        <v>0</v>
      </c>
      <c r="GH159">
        <v>0</v>
      </c>
      <c r="GI159">
        <v>1</v>
      </c>
      <c r="GJ159">
        <v>1</v>
      </c>
      <c r="GK159">
        <v>0</v>
      </c>
      <c r="GL159" t="s">
        <v>198</v>
      </c>
      <c r="GM159" t="s">
        <v>198</v>
      </c>
      <c r="GN159" t="s">
        <v>198</v>
      </c>
    </row>
    <row r="160" spans="1:196">
      <c r="A160" s="19">
        <v>46316.905733125</v>
      </c>
      <c r="B160">
        <v>0</v>
      </c>
      <c r="C160">
        <v>0</v>
      </c>
      <c r="D160">
        <v>277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584.2</v>
      </c>
      <c r="N160">
        <v>-0.5</v>
      </c>
      <c r="O160">
        <v>0</v>
      </c>
      <c r="P160">
        <v>0</v>
      </c>
      <c r="Q160">
        <v>0</v>
      </c>
      <c r="R160">
        <v>0</v>
      </c>
      <c r="S160">
        <v>115.6</v>
      </c>
      <c r="T160" t="s">
        <v>485</v>
      </c>
      <c r="U160">
        <v>115.7</v>
      </c>
      <c r="V160">
        <v>1762727256586.8</v>
      </c>
      <c r="W160">
        <v>1</v>
      </c>
      <c r="X160" t="s">
        <v>197</v>
      </c>
      <c r="Y160">
        <v>0</v>
      </c>
      <c r="Z160">
        <v>98</v>
      </c>
      <c r="AA160">
        <v>278</v>
      </c>
      <c r="AB160" t="s">
        <v>197</v>
      </c>
      <c r="AC160" t="s">
        <v>198</v>
      </c>
      <c r="AD160" t="s">
        <v>199</v>
      </c>
      <c r="AE160">
        <v>0</v>
      </c>
      <c r="AF160">
        <v>44</v>
      </c>
      <c r="AG160">
        <v>255</v>
      </c>
      <c r="AH160">
        <v>0</v>
      </c>
      <c r="AI160">
        <v>0</v>
      </c>
      <c r="AJ160">
        <v>0</v>
      </c>
      <c r="AK160">
        <v>12.6</v>
      </c>
      <c r="AL160">
        <v>0</v>
      </c>
      <c r="AM160">
        <v>0</v>
      </c>
      <c r="AN160" t="s">
        <v>197</v>
      </c>
      <c r="AO160">
        <v>100</v>
      </c>
      <c r="AP160" t="s">
        <v>197</v>
      </c>
      <c r="AQ160" t="s">
        <v>200</v>
      </c>
      <c r="AR160">
        <v>1</v>
      </c>
      <c r="AS160">
        <v>0</v>
      </c>
      <c r="AT160" t="s">
        <v>506</v>
      </c>
      <c r="AU160" t="s">
        <v>506</v>
      </c>
      <c r="AV160" t="s">
        <v>202</v>
      </c>
      <c r="AW160" t="s">
        <v>203</v>
      </c>
      <c r="AX160" t="s">
        <v>203</v>
      </c>
      <c r="AY160" t="s">
        <v>203</v>
      </c>
      <c r="AZ160" t="s">
        <v>203</v>
      </c>
      <c r="BA160" t="s">
        <v>203</v>
      </c>
      <c r="BB160" t="s">
        <v>203</v>
      </c>
      <c r="BC160" t="s">
        <v>203</v>
      </c>
      <c r="BD160" t="s">
        <v>203</v>
      </c>
      <c r="BE160" t="s">
        <v>203</v>
      </c>
      <c r="BF160">
        <v>0</v>
      </c>
      <c r="BG160">
        <v>0.2</v>
      </c>
      <c r="BH160">
        <v>50</v>
      </c>
      <c r="BI160">
        <v>0</v>
      </c>
      <c r="BJ160" t="s">
        <v>198</v>
      </c>
      <c r="BK160" t="s">
        <v>198</v>
      </c>
      <c r="BL160" t="s">
        <v>198</v>
      </c>
      <c r="BM160" t="s">
        <v>198</v>
      </c>
      <c r="BN160" t="s">
        <v>198</v>
      </c>
      <c r="BO160" t="s">
        <v>198</v>
      </c>
      <c r="BP160" t="s">
        <v>198</v>
      </c>
      <c r="BQ160" t="s">
        <v>198</v>
      </c>
      <c r="BR160" t="s">
        <v>198</v>
      </c>
      <c r="BS160" t="s">
        <v>198</v>
      </c>
      <c r="BT160" t="s">
        <v>198</v>
      </c>
      <c r="BU160" t="s">
        <v>198</v>
      </c>
      <c r="BV160" t="s">
        <v>198</v>
      </c>
      <c r="BW160" t="s">
        <v>198</v>
      </c>
      <c r="BX160" t="s">
        <v>198</v>
      </c>
      <c r="BY160" t="s">
        <v>198</v>
      </c>
      <c r="BZ160" t="s">
        <v>198</v>
      </c>
      <c r="CA160" t="s">
        <v>198</v>
      </c>
      <c r="CB160" t="s">
        <v>204</v>
      </c>
      <c r="CC160" t="s">
        <v>204</v>
      </c>
      <c r="CD160" t="s">
        <v>204</v>
      </c>
      <c r="CE160" t="s">
        <v>204</v>
      </c>
      <c r="CF160" t="s">
        <v>204</v>
      </c>
      <c r="CG160" t="s">
        <v>204</v>
      </c>
      <c r="CH160" t="s">
        <v>204</v>
      </c>
      <c r="CI160" t="s">
        <v>204</v>
      </c>
      <c r="CJ160" t="s">
        <v>204</v>
      </c>
      <c r="CK160" t="s">
        <v>204</v>
      </c>
      <c r="CL160" t="s">
        <v>204</v>
      </c>
      <c r="CM160" t="s">
        <v>204</v>
      </c>
      <c r="CN160" t="s">
        <v>203</v>
      </c>
      <c r="CO160" t="s">
        <v>203</v>
      </c>
      <c r="CP160" t="s">
        <v>203</v>
      </c>
      <c r="CQ160" t="s">
        <v>203</v>
      </c>
      <c r="CR160" t="s">
        <v>203</v>
      </c>
      <c r="CS160" t="s">
        <v>203</v>
      </c>
      <c r="CT160" t="s">
        <v>203</v>
      </c>
      <c r="CU160" t="s">
        <v>203</v>
      </c>
      <c r="CV160">
        <v>0</v>
      </c>
      <c r="CW160">
        <v>0</v>
      </c>
      <c r="CX160" t="s">
        <v>198</v>
      </c>
      <c r="CY160" t="s">
        <v>198</v>
      </c>
      <c r="CZ160" t="s">
        <v>198</v>
      </c>
      <c r="DA160" t="s">
        <v>198</v>
      </c>
      <c r="DB160" t="s">
        <v>198</v>
      </c>
      <c r="DC160">
        <v>0</v>
      </c>
      <c r="DD160">
        <v>0</v>
      </c>
      <c r="DE160">
        <v>0</v>
      </c>
      <c r="DF160">
        <v>0</v>
      </c>
      <c r="DG160">
        <v>-35.3631166</v>
      </c>
      <c r="DH160">
        <v>149.1639735</v>
      </c>
      <c r="DI160" t="s">
        <v>360</v>
      </c>
      <c r="DJ160">
        <v>1.2</v>
      </c>
      <c r="DK160">
        <v>2</v>
      </c>
      <c r="DL160">
        <v>159.8</v>
      </c>
      <c r="DM160">
        <v>0</v>
      </c>
      <c r="DN160">
        <v>6</v>
      </c>
      <c r="DO160">
        <v>10</v>
      </c>
      <c r="DP160">
        <v>0</v>
      </c>
      <c r="DQ160">
        <v>255</v>
      </c>
      <c r="DR160">
        <v>255</v>
      </c>
      <c r="DS160">
        <v>255</v>
      </c>
      <c r="DT160">
        <v>255</v>
      </c>
      <c r="DU160">
        <v>255</v>
      </c>
      <c r="DV160">
        <v>255</v>
      </c>
      <c r="DW160">
        <v>255</v>
      </c>
      <c r="DX160" t="s">
        <v>206</v>
      </c>
      <c r="DY160" t="s">
        <v>206</v>
      </c>
      <c r="DZ160" t="s">
        <v>207</v>
      </c>
      <c r="EA160" t="s">
        <v>198</v>
      </c>
      <c r="EB160" t="s">
        <v>198</v>
      </c>
      <c r="EC160" t="s">
        <v>198</v>
      </c>
      <c r="ED160">
        <v>0</v>
      </c>
      <c r="EE160">
        <v>0</v>
      </c>
      <c r="EF160">
        <v>0</v>
      </c>
      <c r="EG160">
        <v>0</v>
      </c>
      <c r="EH160">
        <v>255</v>
      </c>
      <c r="EI160">
        <v>255</v>
      </c>
      <c r="EJ160">
        <v>255</v>
      </c>
      <c r="EK160">
        <v>255</v>
      </c>
      <c r="EL160">
        <v>255</v>
      </c>
      <c r="EM160">
        <v>255</v>
      </c>
      <c r="EN160">
        <v>255</v>
      </c>
      <c r="EO160">
        <v>255</v>
      </c>
      <c r="EP160">
        <v>255</v>
      </c>
      <c r="EQ160">
        <v>255</v>
      </c>
      <c r="ER160" t="s">
        <v>208</v>
      </c>
      <c r="ES160" t="s">
        <v>209</v>
      </c>
      <c r="ET160" t="s">
        <v>209</v>
      </c>
      <c r="EU160">
        <v>0</v>
      </c>
      <c r="EV160">
        <v>16.2</v>
      </c>
      <c r="EW160">
        <v>-114.7</v>
      </c>
      <c r="EX160">
        <v>-0.2</v>
      </c>
      <c r="EY160">
        <v>0</v>
      </c>
      <c r="EZ160">
        <v>0</v>
      </c>
      <c r="FA160">
        <v>0</v>
      </c>
      <c r="FB160" t="s">
        <v>198</v>
      </c>
      <c r="FC160" t="s">
        <v>198</v>
      </c>
      <c r="FD160" t="s">
        <v>198</v>
      </c>
      <c r="FE160" t="s">
        <v>198</v>
      </c>
      <c r="FF160" t="s">
        <v>198</v>
      </c>
      <c r="FG160" t="s">
        <v>198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203</v>
      </c>
      <c r="FP160" t="s">
        <v>203</v>
      </c>
      <c r="FQ160" t="s">
        <v>203</v>
      </c>
      <c r="FR160" t="s">
        <v>203</v>
      </c>
      <c r="FS160" t="s">
        <v>203</v>
      </c>
      <c r="FT160" t="s">
        <v>203</v>
      </c>
      <c r="FU160" t="s">
        <v>198</v>
      </c>
      <c r="FV160" t="s">
        <v>198</v>
      </c>
      <c r="FW160" t="s">
        <v>198</v>
      </c>
      <c r="FX160" t="s">
        <v>198</v>
      </c>
      <c r="FY160" t="s">
        <v>198</v>
      </c>
      <c r="FZ160" t="s">
        <v>198</v>
      </c>
      <c r="GA160">
        <v>31.2</v>
      </c>
      <c r="GB160">
        <v>31.2</v>
      </c>
      <c r="GC160" t="s">
        <v>203</v>
      </c>
      <c r="GD160">
        <v>0</v>
      </c>
      <c r="GE160">
        <v>504</v>
      </c>
      <c r="GF160">
        <v>0</v>
      </c>
      <c r="GG160">
        <v>0</v>
      </c>
      <c r="GH160">
        <v>0</v>
      </c>
      <c r="GI160">
        <v>1</v>
      </c>
      <c r="GJ160">
        <v>1</v>
      </c>
      <c r="GK160">
        <v>0</v>
      </c>
      <c r="GL160" t="s">
        <v>198</v>
      </c>
      <c r="GM160" t="s">
        <v>198</v>
      </c>
      <c r="GN160" t="s">
        <v>198</v>
      </c>
    </row>
    <row r="161" spans="1:196">
      <c r="A161" s="19">
        <v>46316.90574471065</v>
      </c>
      <c r="B161">
        <v>0</v>
      </c>
      <c r="C161">
        <v>0</v>
      </c>
      <c r="D161">
        <v>277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584.2</v>
      </c>
      <c r="N161">
        <v>-0.5</v>
      </c>
      <c r="O161">
        <v>0</v>
      </c>
      <c r="P161">
        <v>0</v>
      </c>
      <c r="Q161">
        <v>0</v>
      </c>
      <c r="R161">
        <v>0</v>
      </c>
      <c r="S161">
        <v>115.6</v>
      </c>
      <c r="T161" t="s">
        <v>485</v>
      </c>
      <c r="U161">
        <v>115.7</v>
      </c>
      <c r="V161">
        <v>1762727256586.8</v>
      </c>
      <c r="W161">
        <v>1</v>
      </c>
      <c r="X161" t="s">
        <v>197</v>
      </c>
      <c r="Y161">
        <v>0</v>
      </c>
      <c r="Z161">
        <v>98</v>
      </c>
      <c r="AA161">
        <v>278</v>
      </c>
      <c r="AB161" t="s">
        <v>197</v>
      </c>
      <c r="AC161" t="s">
        <v>198</v>
      </c>
      <c r="AD161" t="s">
        <v>199</v>
      </c>
      <c r="AE161">
        <v>0</v>
      </c>
      <c r="AF161">
        <v>44</v>
      </c>
      <c r="AG161">
        <v>255</v>
      </c>
      <c r="AH161">
        <v>0</v>
      </c>
      <c r="AI161">
        <v>0</v>
      </c>
      <c r="AJ161">
        <v>0</v>
      </c>
      <c r="AK161">
        <v>12.6</v>
      </c>
      <c r="AL161">
        <v>0</v>
      </c>
      <c r="AM161">
        <v>0</v>
      </c>
      <c r="AN161" t="s">
        <v>197</v>
      </c>
      <c r="AO161">
        <v>100</v>
      </c>
      <c r="AP161" t="s">
        <v>197</v>
      </c>
      <c r="AQ161" t="s">
        <v>200</v>
      </c>
      <c r="AR161">
        <v>1</v>
      </c>
      <c r="AS161">
        <v>0</v>
      </c>
      <c r="AT161" t="s">
        <v>507</v>
      </c>
      <c r="AU161" t="s">
        <v>507</v>
      </c>
      <c r="AV161" t="s">
        <v>202</v>
      </c>
      <c r="AW161" t="s">
        <v>203</v>
      </c>
      <c r="AX161" t="s">
        <v>203</v>
      </c>
      <c r="AY161" t="s">
        <v>203</v>
      </c>
      <c r="AZ161" t="s">
        <v>203</v>
      </c>
      <c r="BA161" t="s">
        <v>203</v>
      </c>
      <c r="BB161" t="s">
        <v>203</v>
      </c>
      <c r="BC161" t="s">
        <v>203</v>
      </c>
      <c r="BD161" t="s">
        <v>203</v>
      </c>
      <c r="BE161" t="s">
        <v>203</v>
      </c>
      <c r="BF161">
        <v>0</v>
      </c>
      <c r="BG161">
        <v>0.2</v>
      </c>
      <c r="BH161">
        <v>50</v>
      </c>
      <c r="BI161">
        <v>0</v>
      </c>
      <c r="BJ161" t="s">
        <v>198</v>
      </c>
      <c r="BK161" t="s">
        <v>198</v>
      </c>
      <c r="BL161" t="s">
        <v>198</v>
      </c>
      <c r="BM161" t="s">
        <v>198</v>
      </c>
      <c r="BN161" t="s">
        <v>198</v>
      </c>
      <c r="BO161" t="s">
        <v>198</v>
      </c>
      <c r="BP161" t="s">
        <v>198</v>
      </c>
      <c r="BQ161" t="s">
        <v>198</v>
      </c>
      <c r="BR161" t="s">
        <v>198</v>
      </c>
      <c r="BS161" t="s">
        <v>198</v>
      </c>
      <c r="BT161" t="s">
        <v>198</v>
      </c>
      <c r="BU161" t="s">
        <v>198</v>
      </c>
      <c r="BV161" t="s">
        <v>198</v>
      </c>
      <c r="BW161" t="s">
        <v>198</v>
      </c>
      <c r="BX161" t="s">
        <v>198</v>
      </c>
      <c r="BY161" t="s">
        <v>198</v>
      </c>
      <c r="BZ161" t="s">
        <v>198</v>
      </c>
      <c r="CA161" t="s">
        <v>198</v>
      </c>
      <c r="CB161" t="s">
        <v>204</v>
      </c>
      <c r="CC161" t="s">
        <v>204</v>
      </c>
      <c r="CD161" t="s">
        <v>204</v>
      </c>
      <c r="CE161" t="s">
        <v>204</v>
      </c>
      <c r="CF161" t="s">
        <v>204</v>
      </c>
      <c r="CG161" t="s">
        <v>204</v>
      </c>
      <c r="CH161" t="s">
        <v>204</v>
      </c>
      <c r="CI161" t="s">
        <v>204</v>
      </c>
      <c r="CJ161" t="s">
        <v>204</v>
      </c>
      <c r="CK161" t="s">
        <v>204</v>
      </c>
      <c r="CL161" t="s">
        <v>204</v>
      </c>
      <c r="CM161" t="s">
        <v>204</v>
      </c>
      <c r="CN161" t="s">
        <v>203</v>
      </c>
      <c r="CO161" t="s">
        <v>203</v>
      </c>
      <c r="CP161" t="s">
        <v>203</v>
      </c>
      <c r="CQ161" t="s">
        <v>203</v>
      </c>
      <c r="CR161" t="s">
        <v>203</v>
      </c>
      <c r="CS161" t="s">
        <v>203</v>
      </c>
      <c r="CT161" t="s">
        <v>203</v>
      </c>
      <c r="CU161" t="s">
        <v>203</v>
      </c>
      <c r="CV161">
        <v>0</v>
      </c>
      <c r="CW161">
        <v>0</v>
      </c>
      <c r="CX161" t="s">
        <v>198</v>
      </c>
      <c r="CY161" t="s">
        <v>198</v>
      </c>
      <c r="CZ161" t="s">
        <v>198</v>
      </c>
      <c r="DA161" t="s">
        <v>198</v>
      </c>
      <c r="DB161" t="s">
        <v>198</v>
      </c>
      <c r="DC161">
        <v>0</v>
      </c>
      <c r="DD161">
        <v>0</v>
      </c>
      <c r="DE161">
        <v>0</v>
      </c>
      <c r="DF161">
        <v>0</v>
      </c>
      <c r="DG161">
        <v>-35.3631166</v>
      </c>
      <c r="DH161">
        <v>149.1639735</v>
      </c>
      <c r="DI161" t="s">
        <v>360</v>
      </c>
      <c r="DJ161">
        <v>1.2</v>
      </c>
      <c r="DK161">
        <v>2</v>
      </c>
      <c r="DL161">
        <v>159.8</v>
      </c>
      <c r="DM161">
        <v>0</v>
      </c>
      <c r="DN161">
        <v>6</v>
      </c>
      <c r="DO161">
        <v>10</v>
      </c>
      <c r="DP161">
        <v>0</v>
      </c>
      <c r="DQ161">
        <v>255</v>
      </c>
      <c r="DR161">
        <v>255</v>
      </c>
      <c r="DS161">
        <v>255</v>
      </c>
      <c r="DT161">
        <v>255</v>
      </c>
      <c r="DU161">
        <v>255</v>
      </c>
      <c r="DV161">
        <v>255</v>
      </c>
      <c r="DW161">
        <v>255</v>
      </c>
      <c r="DX161" t="s">
        <v>206</v>
      </c>
      <c r="DY161" t="s">
        <v>206</v>
      </c>
      <c r="DZ161" t="s">
        <v>207</v>
      </c>
      <c r="EA161" t="s">
        <v>198</v>
      </c>
      <c r="EB161" t="s">
        <v>198</v>
      </c>
      <c r="EC161" t="s">
        <v>198</v>
      </c>
      <c r="ED161">
        <v>0</v>
      </c>
      <c r="EE161">
        <v>0</v>
      </c>
      <c r="EF161">
        <v>0</v>
      </c>
      <c r="EG161">
        <v>0</v>
      </c>
      <c r="EH161">
        <v>255</v>
      </c>
      <c r="EI161">
        <v>255</v>
      </c>
      <c r="EJ161">
        <v>255</v>
      </c>
      <c r="EK161">
        <v>255</v>
      </c>
      <c r="EL161">
        <v>255</v>
      </c>
      <c r="EM161">
        <v>255</v>
      </c>
      <c r="EN161">
        <v>255</v>
      </c>
      <c r="EO161">
        <v>255</v>
      </c>
      <c r="EP161">
        <v>255</v>
      </c>
      <c r="EQ161">
        <v>255</v>
      </c>
      <c r="ER161" t="s">
        <v>208</v>
      </c>
      <c r="ES161" t="s">
        <v>209</v>
      </c>
      <c r="ET161" t="s">
        <v>209</v>
      </c>
      <c r="EU161">
        <v>0</v>
      </c>
      <c r="EV161">
        <v>16.2</v>
      </c>
      <c r="EW161">
        <v>-114.7</v>
      </c>
      <c r="EX161">
        <v>-0.2</v>
      </c>
      <c r="EY161">
        <v>0</v>
      </c>
      <c r="EZ161">
        <v>0</v>
      </c>
      <c r="FA161">
        <v>0</v>
      </c>
      <c r="FB161" t="s">
        <v>198</v>
      </c>
      <c r="FC161" t="s">
        <v>198</v>
      </c>
      <c r="FD161" t="s">
        <v>198</v>
      </c>
      <c r="FE161" t="s">
        <v>198</v>
      </c>
      <c r="FF161" t="s">
        <v>198</v>
      </c>
      <c r="FG161" t="s">
        <v>198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 t="s">
        <v>203</v>
      </c>
      <c r="FP161" t="s">
        <v>203</v>
      </c>
      <c r="FQ161" t="s">
        <v>203</v>
      </c>
      <c r="FR161" t="s">
        <v>203</v>
      </c>
      <c r="FS161" t="s">
        <v>203</v>
      </c>
      <c r="FT161" t="s">
        <v>203</v>
      </c>
      <c r="FU161" t="s">
        <v>198</v>
      </c>
      <c r="FV161" t="s">
        <v>198</v>
      </c>
      <c r="FW161" t="s">
        <v>198</v>
      </c>
      <c r="FX161" t="s">
        <v>198</v>
      </c>
      <c r="FY161" t="s">
        <v>198</v>
      </c>
      <c r="FZ161" t="s">
        <v>198</v>
      </c>
      <c r="GA161">
        <v>31.2</v>
      </c>
      <c r="GB161">
        <v>31.2</v>
      </c>
      <c r="GC161" t="s">
        <v>203</v>
      </c>
      <c r="GD161">
        <v>0</v>
      </c>
      <c r="GE161">
        <v>504</v>
      </c>
      <c r="GF161">
        <v>0</v>
      </c>
      <c r="GG161">
        <v>0</v>
      </c>
      <c r="GH161">
        <v>0</v>
      </c>
      <c r="GI161">
        <v>1</v>
      </c>
      <c r="GJ161">
        <v>1</v>
      </c>
      <c r="GK161">
        <v>0</v>
      </c>
      <c r="GL161" t="s">
        <v>198</v>
      </c>
      <c r="GM161" t="s">
        <v>198</v>
      </c>
      <c r="GN161" t="s">
        <v>198</v>
      </c>
    </row>
    <row r="162" spans="1:196">
      <c r="A162" s="19">
        <v>46316.90575628472</v>
      </c>
      <c r="B162">
        <v>0</v>
      </c>
      <c r="C162">
        <v>0</v>
      </c>
      <c r="D162">
        <v>277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584.2</v>
      </c>
      <c r="N162">
        <v>-0.5</v>
      </c>
      <c r="O162">
        <v>0</v>
      </c>
      <c r="P162">
        <v>0</v>
      </c>
      <c r="Q162">
        <v>0</v>
      </c>
      <c r="R162">
        <v>0</v>
      </c>
      <c r="S162">
        <v>115.6</v>
      </c>
      <c r="T162" t="s">
        <v>485</v>
      </c>
      <c r="U162">
        <v>115.7</v>
      </c>
      <c r="V162">
        <v>1762727256586.8</v>
      </c>
      <c r="W162">
        <v>1</v>
      </c>
      <c r="X162" t="s">
        <v>197</v>
      </c>
      <c r="Y162">
        <v>0</v>
      </c>
      <c r="Z162">
        <v>98</v>
      </c>
      <c r="AA162">
        <v>278</v>
      </c>
      <c r="AB162" t="s">
        <v>197</v>
      </c>
      <c r="AC162" t="s">
        <v>198</v>
      </c>
      <c r="AD162" t="s">
        <v>199</v>
      </c>
      <c r="AE162">
        <v>0</v>
      </c>
      <c r="AF162">
        <v>44</v>
      </c>
      <c r="AG162">
        <v>255</v>
      </c>
      <c r="AH162">
        <v>0</v>
      </c>
      <c r="AI162">
        <v>0</v>
      </c>
      <c r="AJ162">
        <v>0</v>
      </c>
      <c r="AK162">
        <v>12.6</v>
      </c>
      <c r="AL162">
        <v>0</v>
      </c>
      <c r="AM162">
        <v>0</v>
      </c>
      <c r="AN162" t="s">
        <v>197</v>
      </c>
      <c r="AO162">
        <v>100</v>
      </c>
      <c r="AP162" t="s">
        <v>197</v>
      </c>
      <c r="AQ162" t="s">
        <v>200</v>
      </c>
      <c r="AR162">
        <v>1</v>
      </c>
      <c r="AS162">
        <v>0</v>
      </c>
      <c r="AT162" t="s">
        <v>508</v>
      </c>
      <c r="AU162" t="s">
        <v>508</v>
      </c>
      <c r="AV162" t="s">
        <v>202</v>
      </c>
      <c r="AW162" t="s">
        <v>203</v>
      </c>
      <c r="AX162" t="s">
        <v>203</v>
      </c>
      <c r="AY162" t="s">
        <v>203</v>
      </c>
      <c r="AZ162" t="s">
        <v>203</v>
      </c>
      <c r="BA162" t="s">
        <v>203</v>
      </c>
      <c r="BB162" t="s">
        <v>203</v>
      </c>
      <c r="BC162" t="s">
        <v>203</v>
      </c>
      <c r="BD162" t="s">
        <v>203</v>
      </c>
      <c r="BE162" t="s">
        <v>203</v>
      </c>
      <c r="BF162">
        <v>0</v>
      </c>
      <c r="BG162">
        <v>0.2</v>
      </c>
      <c r="BH162">
        <v>50</v>
      </c>
      <c r="BI162">
        <v>0</v>
      </c>
      <c r="BJ162" t="s">
        <v>198</v>
      </c>
      <c r="BK162" t="s">
        <v>198</v>
      </c>
      <c r="BL162" t="s">
        <v>198</v>
      </c>
      <c r="BM162" t="s">
        <v>198</v>
      </c>
      <c r="BN162" t="s">
        <v>198</v>
      </c>
      <c r="BO162" t="s">
        <v>198</v>
      </c>
      <c r="BP162" t="s">
        <v>198</v>
      </c>
      <c r="BQ162" t="s">
        <v>198</v>
      </c>
      <c r="BR162" t="s">
        <v>198</v>
      </c>
      <c r="BS162" t="s">
        <v>198</v>
      </c>
      <c r="BT162" t="s">
        <v>198</v>
      </c>
      <c r="BU162" t="s">
        <v>198</v>
      </c>
      <c r="BV162" t="s">
        <v>198</v>
      </c>
      <c r="BW162" t="s">
        <v>198</v>
      </c>
      <c r="BX162" t="s">
        <v>198</v>
      </c>
      <c r="BY162" t="s">
        <v>198</v>
      </c>
      <c r="BZ162" t="s">
        <v>198</v>
      </c>
      <c r="CA162" t="s">
        <v>198</v>
      </c>
      <c r="CB162" t="s">
        <v>204</v>
      </c>
      <c r="CC162" t="s">
        <v>204</v>
      </c>
      <c r="CD162" t="s">
        <v>204</v>
      </c>
      <c r="CE162" t="s">
        <v>204</v>
      </c>
      <c r="CF162" t="s">
        <v>204</v>
      </c>
      <c r="CG162" t="s">
        <v>204</v>
      </c>
      <c r="CH162" t="s">
        <v>204</v>
      </c>
      <c r="CI162" t="s">
        <v>204</v>
      </c>
      <c r="CJ162" t="s">
        <v>204</v>
      </c>
      <c r="CK162" t="s">
        <v>204</v>
      </c>
      <c r="CL162" t="s">
        <v>204</v>
      </c>
      <c r="CM162" t="s">
        <v>204</v>
      </c>
      <c r="CN162" t="s">
        <v>203</v>
      </c>
      <c r="CO162" t="s">
        <v>203</v>
      </c>
      <c r="CP162" t="s">
        <v>203</v>
      </c>
      <c r="CQ162" t="s">
        <v>203</v>
      </c>
      <c r="CR162" t="s">
        <v>203</v>
      </c>
      <c r="CS162" t="s">
        <v>203</v>
      </c>
      <c r="CT162" t="s">
        <v>203</v>
      </c>
      <c r="CU162" t="s">
        <v>203</v>
      </c>
      <c r="CV162">
        <v>0</v>
      </c>
      <c r="CW162">
        <v>0</v>
      </c>
      <c r="CX162" t="s">
        <v>198</v>
      </c>
      <c r="CY162" t="s">
        <v>198</v>
      </c>
      <c r="CZ162" t="s">
        <v>198</v>
      </c>
      <c r="DA162" t="s">
        <v>198</v>
      </c>
      <c r="DB162" t="s">
        <v>198</v>
      </c>
      <c r="DC162">
        <v>0</v>
      </c>
      <c r="DD162">
        <v>0</v>
      </c>
      <c r="DE162">
        <v>0</v>
      </c>
      <c r="DF162">
        <v>0</v>
      </c>
      <c r="DG162">
        <v>-35.3631166</v>
      </c>
      <c r="DH162">
        <v>149.1639735</v>
      </c>
      <c r="DI162" t="s">
        <v>360</v>
      </c>
      <c r="DJ162">
        <v>1.2</v>
      </c>
      <c r="DK162">
        <v>2</v>
      </c>
      <c r="DL162">
        <v>159.8</v>
      </c>
      <c r="DM162">
        <v>0</v>
      </c>
      <c r="DN162">
        <v>6</v>
      </c>
      <c r="DO162">
        <v>10</v>
      </c>
      <c r="DP162">
        <v>0</v>
      </c>
      <c r="DQ162">
        <v>255</v>
      </c>
      <c r="DR162">
        <v>255</v>
      </c>
      <c r="DS162">
        <v>255</v>
      </c>
      <c r="DT162">
        <v>255</v>
      </c>
      <c r="DU162">
        <v>255</v>
      </c>
      <c r="DV162">
        <v>255</v>
      </c>
      <c r="DW162">
        <v>255</v>
      </c>
      <c r="DX162" t="s">
        <v>206</v>
      </c>
      <c r="DY162" t="s">
        <v>206</v>
      </c>
      <c r="DZ162" t="s">
        <v>207</v>
      </c>
      <c r="EA162" t="s">
        <v>198</v>
      </c>
      <c r="EB162" t="s">
        <v>198</v>
      </c>
      <c r="EC162" t="s">
        <v>198</v>
      </c>
      <c r="ED162">
        <v>0</v>
      </c>
      <c r="EE162">
        <v>0</v>
      </c>
      <c r="EF162">
        <v>0</v>
      </c>
      <c r="EG162">
        <v>0</v>
      </c>
      <c r="EH162">
        <v>255</v>
      </c>
      <c r="EI162">
        <v>255</v>
      </c>
      <c r="EJ162">
        <v>255</v>
      </c>
      <c r="EK162">
        <v>255</v>
      </c>
      <c r="EL162">
        <v>255</v>
      </c>
      <c r="EM162">
        <v>255</v>
      </c>
      <c r="EN162">
        <v>255</v>
      </c>
      <c r="EO162">
        <v>255</v>
      </c>
      <c r="EP162">
        <v>255</v>
      </c>
      <c r="EQ162">
        <v>255</v>
      </c>
      <c r="ER162" t="s">
        <v>208</v>
      </c>
      <c r="ES162" t="s">
        <v>209</v>
      </c>
      <c r="ET162" t="s">
        <v>209</v>
      </c>
      <c r="EU162">
        <v>0</v>
      </c>
      <c r="EV162">
        <v>16.2</v>
      </c>
      <c r="EW162">
        <v>-114.7</v>
      </c>
      <c r="EX162">
        <v>-0.2</v>
      </c>
      <c r="EY162">
        <v>0</v>
      </c>
      <c r="EZ162">
        <v>0</v>
      </c>
      <c r="FA162">
        <v>0</v>
      </c>
      <c r="FB162" t="s">
        <v>198</v>
      </c>
      <c r="FC162" t="s">
        <v>198</v>
      </c>
      <c r="FD162" t="s">
        <v>198</v>
      </c>
      <c r="FE162" t="s">
        <v>198</v>
      </c>
      <c r="FF162" t="s">
        <v>198</v>
      </c>
      <c r="FG162" t="s">
        <v>198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203</v>
      </c>
      <c r="FP162" t="s">
        <v>203</v>
      </c>
      <c r="FQ162" t="s">
        <v>203</v>
      </c>
      <c r="FR162" t="s">
        <v>203</v>
      </c>
      <c r="FS162" t="s">
        <v>203</v>
      </c>
      <c r="FT162" t="s">
        <v>203</v>
      </c>
      <c r="FU162" t="s">
        <v>198</v>
      </c>
      <c r="FV162" t="s">
        <v>198</v>
      </c>
      <c r="FW162" t="s">
        <v>198</v>
      </c>
      <c r="FX162" t="s">
        <v>198</v>
      </c>
      <c r="FY162" t="s">
        <v>198</v>
      </c>
      <c r="FZ162" t="s">
        <v>198</v>
      </c>
      <c r="GA162">
        <v>31.2</v>
      </c>
      <c r="GB162">
        <v>31.2</v>
      </c>
      <c r="GC162" t="s">
        <v>203</v>
      </c>
      <c r="GD162">
        <v>0</v>
      </c>
      <c r="GE162">
        <v>504</v>
      </c>
      <c r="GF162">
        <v>0</v>
      </c>
      <c r="GG162">
        <v>0</v>
      </c>
      <c r="GH162">
        <v>0</v>
      </c>
      <c r="GI162">
        <v>1</v>
      </c>
      <c r="GJ162">
        <v>1</v>
      </c>
      <c r="GK162">
        <v>0</v>
      </c>
      <c r="GL162" t="s">
        <v>198</v>
      </c>
      <c r="GM162" t="s">
        <v>198</v>
      </c>
      <c r="GN162" t="s">
        <v>198</v>
      </c>
    </row>
    <row r="163" spans="1:196">
      <c r="A163" s="19">
        <v>46316.9057678588</v>
      </c>
      <c r="B163">
        <v>0</v>
      </c>
      <c r="C163">
        <v>0</v>
      </c>
      <c r="D163">
        <v>277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584.2</v>
      </c>
      <c r="N163">
        <v>-0.5</v>
      </c>
      <c r="O163">
        <v>0</v>
      </c>
      <c r="P163">
        <v>0</v>
      </c>
      <c r="Q163">
        <v>0</v>
      </c>
      <c r="R163">
        <v>0</v>
      </c>
      <c r="S163">
        <v>115.6</v>
      </c>
      <c r="T163" t="s">
        <v>485</v>
      </c>
      <c r="U163">
        <v>115.7</v>
      </c>
      <c r="V163">
        <v>1762727256586.8</v>
      </c>
      <c r="W163">
        <v>1</v>
      </c>
      <c r="X163" t="s">
        <v>197</v>
      </c>
      <c r="Y163">
        <v>0</v>
      </c>
      <c r="Z163">
        <v>98</v>
      </c>
      <c r="AA163">
        <v>278</v>
      </c>
      <c r="AB163" t="s">
        <v>197</v>
      </c>
      <c r="AC163" t="s">
        <v>198</v>
      </c>
      <c r="AD163" t="s">
        <v>199</v>
      </c>
      <c r="AE163">
        <v>0</v>
      </c>
      <c r="AF163">
        <v>44</v>
      </c>
      <c r="AG163">
        <v>255</v>
      </c>
      <c r="AH163">
        <v>0</v>
      </c>
      <c r="AI163">
        <v>0</v>
      </c>
      <c r="AJ163">
        <v>0</v>
      </c>
      <c r="AK163">
        <v>12.6</v>
      </c>
      <c r="AL163">
        <v>0</v>
      </c>
      <c r="AM163">
        <v>0</v>
      </c>
      <c r="AN163" t="s">
        <v>197</v>
      </c>
      <c r="AO163">
        <v>100</v>
      </c>
      <c r="AP163" t="s">
        <v>197</v>
      </c>
      <c r="AQ163" t="s">
        <v>200</v>
      </c>
      <c r="AR163">
        <v>1</v>
      </c>
      <c r="AS163">
        <v>0</v>
      </c>
      <c r="AT163" t="s">
        <v>509</v>
      </c>
      <c r="AU163" t="s">
        <v>509</v>
      </c>
      <c r="AV163" t="s">
        <v>202</v>
      </c>
      <c r="AW163" t="s">
        <v>203</v>
      </c>
      <c r="AX163" t="s">
        <v>203</v>
      </c>
      <c r="AY163" t="s">
        <v>203</v>
      </c>
      <c r="AZ163" t="s">
        <v>203</v>
      </c>
      <c r="BA163" t="s">
        <v>203</v>
      </c>
      <c r="BB163" t="s">
        <v>203</v>
      </c>
      <c r="BC163" t="s">
        <v>203</v>
      </c>
      <c r="BD163" t="s">
        <v>203</v>
      </c>
      <c r="BE163" t="s">
        <v>203</v>
      </c>
      <c r="BF163">
        <v>0</v>
      </c>
      <c r="BG163">
        <v>0.2</v>
      </c>
      <c r="BH163">
        <v>50</v>
      </c>
      <c r="BI163">
        <v>0</v>
      </c>
      <c r="BJ163" t="s">
        <v>198</v>
      </c>
      <c r="BK163" t="s">
        <v>198</v>
      </c>
      <c r="BL163" t="s">
        <v>198</v>
      </c>
      <c r="BM163" t="s">
        <v>198</v>
      </c>
      <c r="BN163" t="s">
        <v>198</v>
      </c>
      <c r="BO163" t="s">
        <v>198</v>
      </c>
      <c r="BP163" t="s">
        <v>198</v>
      </c>
      <c r="BQ163" t="s">
        <v>198</v>
      </c>
      <c r="BR163" t="s">
        <v>198</v>
      </c>
      <c r="BS163" t="s">
        <v>198</v>
      </c>
      <c r="BT163" t="s">
        <v>198</v>
      </c>
      <c r="BU163" t="s">
        <v>198</v>
      </c>
      <c r="BV163" t="s">
        <v>198</v>
      </c>
      <c r="BW163" t="s">
        <v>198</v>
      </c>
      <c r="BX163" t="s">
        <v>198</v>
      </c>
      <c r="BY163" t="s">
        <v>198</v>
      </c>
      <c r="BZ163" t="s">
        <v>198</v>
      </c>
      <c r="CA163" t="s">
        <v>198</v>
      </c>
      <c r="CB163" t="s">
        <v>204</v>
      </c>
      <c r="CC163" t="s">
        <v>204</v>
      </c>
      <c r="CD163" t="s">
        <v>204</v>
      </c>
      <c r="CE163" t="s">
        <v>204</v>
      </c>
      <c r="CF163" t="s">
        <v>204</v>
      </c>
      <c r="CG163" t="s">
        <v>204</v>
      </c>
      <c r="CH163" t="s">
        <v>204</v>
      </c>
      <c r="CI163" t="s">
        <v>204</v>
      </c>
      <c r="CJ163" t="s">
        <v>204</v>
      </c>
      <c r="CK163" t="s">
        <v>204</v>
      </c>
      <c r="CL163" t="s">
        <v>204</v>
      </c>
      <c r="CM163" t="s">
        <v>204</v>
      </c>
      <c r="CN163" t="s">
        <v>203</v>
      </c>
      <c r="CO163" t="s">
        <v>203</v>
      </c>
      <c r="CP163" t="s">
        <v>203</v>
      </c>
      <c r="CQ163" t="s">
        <v>203</v>
      </c>
      <c r="CR163" t="s">
        <v>203</v>
      </c>
      <c r="CS163" t="s">
        <v>203</v>
      </c>
      <c r="CT163" t="s">
        <v>203</v>
      </c>
      <c r="CU163" t="s">
        <v>203</v>
      </c>
      <c r="CV163">
        <v>0</v>
      </c>
      <c r="CW163">
        <v>0</v>
      </c>
      <c r="CX163" t="s">
        <v>198</v>
      </c>
      <c r="CY163" t="s">
        <v>198</v>
      </c>
      <c r="CZ163" t="s">
        <v>198</v>
      </c>
      <c r="DA163" t="s">
        <v>198</v>
      </c>
      <c r="DB163" t="s">
        <v>198</v>
      </c>
      <c r="DC163">
        <v>0</v>
      </c>
      <c r="DD163">
        <v>0</v>
      </c>
      <c r="DE163">
        <v>0</v>
      </c>
      <c r="DF163">
        <v>0</v>
      </c>
      <c r="DG163">
        <v>-35.3631166</v>
      </c>
      <c r="DH163">
        <v>149.1639735</v>
      </c>
      <c r="DI163" t="s">
        <v>360</v>
      </c>
      <c r="DJ163">
        <v>1.2</v>
      </c>
      <c r="DK163">
        <v>2</v>
      </c>
      <c r="DL163">
        <v>159.8</v>
      </c>
      <c r="DM163">
        <v>0</v>
      </c>
      <c r="DN163">
        <v>6</v>
      </c>
      <c r="DO163">
        <v>10</v>
      </c>
      <c r="DP163">
        <v>0</v>
      </c>
      <c r="DQ163">
        <v>255</v>
      </c>
      <c r="DR163">
        <v>255</v>
      </c>
      <c r="DS163">
        <v>255</v>
      </c>
      <c r="DT163">
        <v>255</v>
      </c>
      <c r="DU163">
        <v>255</v>
      </c>
      <c r="DV163">
        <v>255</v>
      </c>
      <c r="DW163">
        <v>255</v>
      </c>
      <c r="DX163" t="s">
        <v>206</v>
      </c>
      <c r="DY163" t="s">
        <v>206</v>
      </c>
      <c r="DZ163" t="s">
        <v>207</v>
      </c>
      <c r="EA163" t="s">
        <v>198</v>
      </c>
      <c r="EB163" t="s">
        <v>198</v>
      </c>
      <c r="EC163" t="s">
        <v>198</v>
      </c>
      <c r="ED163">
        <v>0</v>
      </c>
      <c r="EE163">
        <v>0</v>
      </c>
      <c r="EF163">
        <v>0</v>
      </c>
      <c r="EG163">
        <v>0</v>
      </c>
      <c r="EH163">
        <v>255</v>
      </c>
      <c r="EI163">
        <v>255</v>
      </c>
      <c r="EJ163">
        <v>255</v>
      </c>
      <c r="EK163">
        <v>255</v>
      </c>
      <c r="EL163">
        <v>255</v>
      </c>
      <c r="EM163">
        <v>255</v>
      </c>
      <c r="EN163">
        <v>255</v>
      </c>
      <c r="EO163">
        <v>255</v>
      </c>
      <c r="EP163">
        <v>255</v>
      </c>
      <c r="EQ163">
        <v>255</v>
      </c>
      <c r="ER163" t="s">
        <v>208</v>
      </c>
      <c r="ES163" t="s">
        <v>209</v>
      </c>
      <c r="ET163" t="s">
        <v>209</v>
      </c>
      <c r="EU163">
        <v>0</v>
      </c>
      <c r="EV163">
        <v>16.2</v>
      </c>
      <c r="EW163">
        <v>-114.7</v>
      </c>
      <c r="EX163">
        <v>-0.2</v>
      </c>
      <c r="EY163">
        <v>0</v>
      </c>
      <c r="EZ163">
        <v>0</v>
      </c>
      <c r="FA163">
        <v>0</v>
      </c>
      <c r="FB163" t="s">
        <v>198</v>
      </c>
      <c r="FC163" t="s">
        <v>198</v>
      </c>
      <c r="FD163" t="s">
        <v>198</v>
      </c>
      <c r="FE163" t="s">
        <v>198</v>
      </c>
      <c r="FF163" t="s">
        <v>198</v>
      </c>
      <c r="FG163" t="s">
        <v>198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 t="s">
        <v>203</v>
      </c>
      <c r="FP163" t="s">
        <v>203</v>
      </c>
      <c r="FQ163" t="s">
        <v>203</v>
      </c>
      <c r="FR163" t="s">
        <v>203</v>
      </c>
      <c r="FS163" t="s">
        <v>203</v>
      </c>
      <c r="FT163" t="s">
        <v>203</v>
      </c>
      <c r="FU163" t="s">
        <v>198</v>
      </c>
      <c r="FV163" t="s">
        <v>198</v>
      </c>
      <c r="FW163" t="s">
        <v>198</v>
      </c>
      <c r="FX163" t="s">
        <v>198</v>
      </c>
      <c r="FY163" t="s">
        <v>198</v>
      </c>
      <c r="FZ163" t="s">
        <v>198</v>
      </c>
      <c r="GA163">
        <v>31.2</v>
      </c>
      <c r="GB163">
        <v>31.2</v>
      </c>
      <c r="GC163" t="s">
        <v>203</v>
      </c>
      <c r="GD163">
        <v>0</v>
      </c>
      <c r="GE163">
        <v>504</v>
      </c>
      <c r="GF163">
        <v>0</v>
      </c>
      <c r="GG163">
        <v>0</v>
      </c>
      <c r="GH163">
        <v>0</v>
      </c>
      <c r="GI163">
        <v>1</v>
      </c>
      <c r="GJ163">
        <v>1</v>
      </c>
      <c r="GK163">
        <v>0</v>
      </c>
      <c r="GL163" t="s">
        <v>198</v>
      </c>
      <c r="GM163" t="s">
        <v>198</v>
      </c>
      <c r="GN163" t="s">
        <v>198</v>
      </c>
    </row>
    <row r="164" spans="1:196">
      <c r="A164" s="19">
        <v>46316.90577943287</v>
      </c>
      <c r="B164">
        <v>0</v>
      </c>
      <c r="C164">
        <v>0</v>
      </c>
      <c r="D164">
        <v>277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584.2</v>
      </c>
      <c r="N164">
        <v>-0.5</v>
      </c>
      <c r="O164">
        <v>0</v>
      </c>
      <c r="P164">
        <v>0</v>
      </c>
      <c r="Q164">
        <v>0</v>
      </c>
      <c r="R164">
        <v>0</v>
      </c>
      <c r="S164">
        <v>115.6</v>
      </c>
      <c r="T164" t="s">
        <v>485</v>
      </c>
      <c r="U164">
        <v>115.7</v>
      </c>
      <c r="V164">
        <v>1762727256586.8</v>
      </c>
      <c r="W164">
        <v>1</v>
      </c>
      <c r="X164" t="s">
        <v>197</v>
      </c>
      <c r="Y164">
        <v>0</v>
      </c>
      <c r="Z164">
        <v>98</v>
      </c>
      <c r="AA164">
        <v>278</v>
      </c>
      <c r="AB164" t="s">
        <v>197</v>
      </c>
      <c r="AC164" t="s">
        <v>198</v>
      </c>
      <c r="AD164" t="s">
        <v>199</v>
      </c>
      <c r="AE164">
        <v>0</v>
      </c>
      <c r="AF164">
        <v>44</v>
      </c>
      <c r="AG164">
        <v>255</v>
      </c>
      <c r="AH164">
        <v>0</v>
      </c>
      <c r="AI164">
        <v>0</v>
      </c>
      <c r="AJ164">
        <v>0</v>
      </c>
      <c r="AK164">
        <v>12.6</v>
      </c>
      <c r="AL164">
        <v>0</v>
      </c>
      <c r="AM164">
        <v>0</v>
      </c>
      <c r="AN164" t="s">
        <v>197</v>
      </c>
      <c r="AO164">
        <v>100</v>
      </c>
      <c r="AP164" t="s">
        <v>197</v>
      </c>
      <c r="AQ164" t="s">
        <v>200</v>
      </c>
      <c r="AR164">
        <v>1</v>
      </c>
      <c r="AS164">
        <v>0</v>
      </c>
      <c r="AT164" t="s">
        <v>510</v>
      </c>
      <c r="AU164" t="s">
        <v>510</v>
      </c>
      <c r="AV164" t="s">
        <v>202</v>
      </c>
      <c r="AW164" t="s">
        <v>203</v>
      </c>
      <c r="AX164" t="s">
        <v>203</v>
      </c>
      <c r="AY164" t="s">
        <v>203</v>
      </c>
      <c r="AZ164" t="s">
        <v>203</v>
      </c>
      <c r="BA164" t="s">
        <v>203</v>
      </c>
      <c r="BB164" t="s">
        <v>203</v>
      </c>
      <c r="BC164" t="s">
        <v>203</v>
      </c>
      <c r="BD164" t="s">
        <v>203</v>
      </c>
      <c r="BE164" t="s">
        <v>203</v>
      </c>
      <c r="BF164">
        <v>0</v>
      </c>
      <c r="BG164">
        <v>0.2</v>
      </c>
      <c r="BH164">
        <v>50</v>
      </c>
      <c r="BI164">
        <v>0</v>
      </c>
      <c r="BJ164" t="s">
        <v>198</v>
      </c>
      <c r="BK164" t="s">
        <v>198</v>
      </c>
      <c r="BL164" t="s">
        <v>198</v>
      </c>
      <c r="BM164" t="s">
        <v>198</v>
      </c>
      <c r="BN164" t="s">
        <v>198</v>
      </c>
      <c r="BO164" t="s">
        <v>198</v>
      </c>
      <c r="BP164" t="s">
        <v>198</v>
      </c>
      <c r="BQ164" t="s">
        <v>198</v>
      </c>
      <c r="BR164" t="s">
        <v>198</v>
      </c>
      <c r="BS164" t="s">
        <v>198</v>
      </c>
      <c r="BT164" t="s">
        <v>198</v>
      </c>
      <c r="BU164" t="s">
        <v>198</v>
      </c>
      <c r="BV164" t="s">
        <v>198</v>
      </c>
      <c r="BW164" t="s">
        <v>198</v>
      </c>
      <c r="BX164" t="s">
        <v>198</v>
      </c>
      <c r="BY164" t="s">
        <v>198</v>
      </c>
      <c r="BZ164" t="s">
        <v>198</v>
      </c>
      <c r="CA164" t="s">
        <v>198</v>
      </c>
      <c r="CB164" t="s">
        <v>204</v>
      </c>
      <c r="CC164" t="s">
        <v>204</v>
      </c>
      <c r="CD164" t="s">
        <v>204</v>
      </c>
      <c r="CE164" t="s">
        <v>204</v>
      </c>
      <c r="CF164" t="s">
        <v>204</v>
      </c>
      <c r="CG164" t="s">
        <v>204</v>
      </c>
      <c r="CH164" t="s">
        <v>204</v>
      </c>
      <c r="CI164" t="s">
        <v>204</v>
      </c>
      <c r="CJ164" t="s">
        <v>204</v>
      </c>
      <c r="CK164" t="s">
        <v>204</v>
      </c>
      <c r="CL164" t="s">
        <v>204</v>
      </c>
      <c r="CM164" t="s">
        <v>204</v>
      </c>
      <c r="CN164" t="s">
        <v>203</v>
      </c>
      <c r="CO164" t="s">
        <v>203</v>
      </c>
      <c r="CP164" t="s">
        <v>203</v>
      </c>
      <c r="CQ164" t="s">
        <v>203</v>
      </c>
      <c r="CR164" t="s">
        <v>203</v>
      </c>
      <c r="CS164" t="s">
        <v>203</v>
      </c>
      <c r="CT164" t="s">
        <v>203</v>
      </c>
      <c r="CU164" t="s">
        <v>203</v>
      </c>
      <c r="CV164">
        <v>0</v>
      </c>
      <c r="CW164">
        <v>0</v>
      </c>
      <c r="CX164" t="s">
        <v>198</v>
      </c>
      <c r="CY164" t="s">
        <v>198</v>
      </c>
      <c r="CZ164" t="s">
        <v>198</v>
      </c>
      <c r="DA164" t="s">
        <v>198</v>
      </c>
      <c r="DB164" t="s">
        <v>198</v>
      </c>
      <c r="DC164">
        <v>0</v>
      </c>
      <c r="DD164">
        <v>0</v>
      </c>
      <c r="DE164">
        <v>0</v>
      </c>
      <c r="DF164">
        <v>0</v>
      </c>
      <c r="DG164">
        <v>-35.3631166</v>
      </c>
      <c r="DH164">
        <v>149.1639735</v>
      </c>
      <c r="DI164" t="s">
        <v>360</v>
      </c>
      <c r="DJ164">
        <v>1.2</v>
      </c>
      <c r="DK164">
        <v>2</v>
      </c>
      <c r="DL164">
        <v>159.8</v>
      </c>
      <c r="DM164">
        <v>0</v>
      </c>
      <c r="DN164">
        <v>6</v>
      </c>
      <c r="DO164">
        <v>10</v>
      </c>
      <c r="DP164">
        <v>0</v>
      </c>
      <c r="DQ164">
        <v>255</v>
      </c>
      <c r="DR164">
        <v>255</v>
      </c>
      <c r="DS164">
        <v>255</v>
      </c>
      <c r="DT164">
        <v>255</v>
      </c>
      <c r="DU164">
        <v>255</v>
      </c>
      <c r="DV164">
        <v>255</v>
      </c>
      <c r="DW164">
        <v>255</v>
      </c>
      <c r="DX164" t="s">
        <v>206</v>
      </c>
      <c r="DY164" t="s">
        <v>206</v>
      </c>
      <c r="DZ164" t="s">
        <v>207</v>
      </c>
      <c r="EA164" t="s">
        <v>198</v>
      </c>
      <c r="EB164" t="s">
        <v>198</v>
      </c>
      <c r="EC164" t="s">
        <v>198</v>
      </c>
      <c r="ED164">
        <v>0</v>
      </c>
      <c r="EE164">
        <v>0</v>
      </c>
      <c r="EF164">
        <v>0</v>
      </c>
      <c r="EG164">
        <v>0</v>
      </c>
      <c r="EH164">
        <v>255</v>
      </c>
      <c r="EI164">
        <v>255</v>
      </c>
      <c r="EJ164">
        <v>255</v>
      </c>
      <c r="EK164">
        <v>255</v>
      </c>
      <c r="EL164">
        <v>255</v>
      </c>
      <c r="EM164">
        <v>255</v>
      </c>
      <c r="EN164">
        <v>255</v>
      </c>
      <c r="EO164">
        <v>255</v>
      </c>
      <c r="EP164">
        <v>255</v>
      </c>
      <c r="EQ164">
        <v>255</v>
      </c>
      <c r="ER164" t="s">
        <v>208</v>
      </c>
      <c r="ES164" t="s">
        <v>209</v>
      </c>
      <c r="ET164" t="s">
        <v>209</v>
      </c>
      <c r="EU164">
        <v>0</v>
      </c>
      <c r="EV164">
        <v>16.2</v>
      </c>
      <c r="EW164">
        <v>-114.7</v>
      </c>
      <c r="EX164">
        <v>-0.2</v>
      </c>
      <c r="EY164">
        <v>0</v>
      </c>
      <c r="EZ164">
        <v>0</v>
      </c>
      <c r="FA164">
        <v>0</v>
      </c>
      <c r="FB164" t="s">
        <v>198</v>
      </c>
      <c r="FC164" t="s">
        <v>198</v>
      </c>
      <c r="FD164" t="s">
        <v>198</v>
      </c>
      <c r="FE164" t="s">
        <v>198</v>
      </c>
      <c r="FF164" t="s">
        <v>198</v>
      </c>
      <c r="FG164" t="s">
        <v>198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203</v>
      </c>
      <c r="FP164" t="s">
        <v>203</v>
      </c>
      <c r="FQ164" t="s">
        <v>203</v>
      </c>
      <c r="FR164" t="s">
        <v>203</v>
      </c>
      <c r="FS164" t="s">
        <v>203</v>
      </c>
      <c r="FT164" t="s">
        <v>203</v>
      </c>
      <c r="FU164" t="s">
        <v>198</v>
      </c>
      <c r="FV164" t="s">
        <v>198</v>
      </c>
      <c r="FW164" t="s">
        <v>198</v>
      </c>
      <c r="FX164" t="s">
        <v>198</v>
      </c>
      <c r="FY164" t="s">
        <v>198</v>
      </c>
      <c r="FZ164" t="s">
        <v>198</v>
      </c>
      <c r="GA164">
        <v>31.2</v>
      </c>
      <c r="GB164">
        <v>31.2</v>
      </c>
      <c r="GC164" t="s">
        <v>203</v>
      </c>
      <c r="GD164">
        <v>0</v>
      </c>
      <c r="GE164">
        <v>504</v>
      </c>
      <c r="GF164">
        <v>0</v>
      </c>
      <c r="GG164">
        <v>0</v>
      </c>
      <c r="GH164">
        <v>0</v>
      </c>
      <c r="GI164">
        <v>1</v>
      </c>
      <c r="GJ164">
        <v>1</v>
      </c>
      <c r="GK164">
        <v>0</v>
      </c>
      <c r="GL164" t="s">
        <v>198</v>
      </c>
      <c r="GM164" t="s">
        <v>198</v>
      </c>
      <c r="GN164" t="s">
        <v>198</v>
      </c>
    </row>
    <row r="165" spans="1:196">
      <c r="A165" s="19">
        <v>46316.90579100695</v>
      </c>
      <c r="B165">
        <v>0</v>
      </c>
      <c r="C165">
        <v>0</v>
      </c>
      <c r="D165">
        <v>277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584.2</v>
      </c>
      <c r="N165">
        <v>-0.5</v>
      </c>
      <c r="O165">
        <v>0</v>
      </c>
      <c r="P165">
        <v>0</v>
      </c>
      <c r="Q165">
        <v>0</v>
      </c>
      <c r="R165">
        <v>0</v>
      </c>
      <c r="S165">
        <v>115.6</v>
      </c>
      <c r="T165" t="s">
        <v>485</v>
      </c>
      <c r="U165">
        <v>115.7</v>
      </c>
      <c r="V165">
        <v>1762727256586.8</v>
      </c>
      <c r="W165">
        <v>1</v>
      </c>
      <c r="X165" t="s">
        <v>197</v>
      </c>
      <c r="Y165">
        <v>0</v>
      </c>
      <c r="Z165">
        <v>98</v>
      </c>
      <c r="AA165">
        <v>278</v>
      </c>
      <c r="AB165" t="s">
        <v>197</v>
      </c>
      <c r="AC165" t="s">
        <v>198</v>
      </c>
      <c r="AD165" t="s">
        <v>199</v>
      </c>
      <c r="AE165">
        <v>0</v>
      </c>
      <c r="AF165">
        <v>44</v>
      </c>
      <c r="AG165">
        <v>255</v>
      </c>
      <c r="AH165">
        <v>0</v>
      </c>
      <c r="AI165">
        <v>0</v>
      </c>
      <c r="AJ165">
        <v>0</v>
      </c>
      <c r="AK165">
        <v>12.6</v>
      </c>
      <c r="AL165">
        <v>0</v>
      </c>
      <c r="AM165">
        <v>0</v>
      </c>
      <c r="AN165" t="s">
        <v>197</v>
      </c>
      <c r="AO165">
        <v>100</v>
      </c>
      <c r="AP165" t="s">
        <v>197</v>
      </c>
      <c r="AQ165" t="s">
        <v>200</v>
      </c>
      <c r="AR165">
        <v>1</v>
      </c>
      <c r="AS165">
        <v>0</v>
      </c>
      <c r="AT165" t="s">
        <v>511</v>
      </c>
      <c r="AU165" t="s">
        <v>511</v>
      </c>
      <c r="AV165" t="s">
        <v>202</v>
      </c>
      <c r="AW165" t="s">
        <v>203</v>
      </c>
      <c r="AX165" t="s">
        <v>203</v>
      </c>
      <c r="AY165" t="s">
        <v>203</v>
      </c>
      <c r="AZ165" t="s">
        <v>203</v>
      </c>
      <c r="BA165" t="s">
        <v>203</v>
      </c>
      <c r="BB165" t="s">
        <v>203</v>
      </c>
      <c r="BC165" t="s">
        <v>203</v>
      </c>
      <c r="BD165" t="s">
        <v>203</v>
      </c>
      <c r="BE165" t="s">
        <v>203</v>
      </c>
      <c r="BF165">
        <v>0</v>
      </c>
      <c r="BG165">
        <v>0.2</v>
      </c>
      <c r="BH165">
        <v>50</v>
      </c>
      <c r="BI165">
        <v>0</v>
      </c>
      <c r="BJ165" t="s">
        <v>198</v>
      </c>
      <c r="BK165" t="s">
        <v>198</v>
      </c>
      <c r="BL165" t="s">
        <v>198</v>
      </c>
      <c r="BM165" t="s">
        <v>198</v>
      </c>
      <c r="BN165" t="s">
        <v>198</v>
      </c>
      <c r="BO165" t="s">
        <v>198</v>
      </c>
      <c r="BP165" t="s">
        <v>198</v>
      </c>
      <c r="BQ165" t="s">
        <v>198</v>
      </c>
      <c r="BR165" t="s">
        <v>198</v>
      </c>
      <c r="BS165" t="s">
        <v>198</v>
      </c>
      <c r="BT165" t="s">
        <v>198</v>
      </c>
      <c r="BU165" t="s">
        <v>198</v>
      </c>
      <c r="BV165" t="s">
        <v>198</v>
      </c>
      <c r="BW165" t="s">
        <v>198</v>
      </c>
      <c r="BX165" t="s">
        <v>198</v>
      </c>
      <c r="BY165" t="s">
        <v>198</v>
      </c>
      <c r="BZ165" t="s">
        <v>198</v>
      </c>
      <c r="CA165" t="s">
        <v>198</v>
      </c>
      <c r="CB165" t="s">
        <v>204</v>
      </c>
      <c r="CC165" t="s">
        <v>204</v>
      </c>
      <c r="CD165" t="s">
        <v>204</v>
      </c>
      <c r="CE165" t="s">
        <v>204</v>
      </c>
      <c r="CF165" t="s">
        <v>204</v>
      </c>
      <c r="CG165" t="s">
        <v>204</v>
      </c>
      <c r="CH165" t="s">
        <v>204</v>
      </c>
      <c r="CI165" t="s">
        <v>204</v>
      </c>
      <c r="CJ165" t="s">
        <v>204</v>
      </c>
      <c r="CK165" t="s">
        <v>204</v>
      </c>
      <c r="CL165" t="s">
        <v>204</v>
      </c>
      <c r="CM165" t="s">
        <v>204</v>
      </c>
      <c r="CN165" t="s">
        <v>203</v>
      </c>
      <c r="CO165" t="s">
        <v>203</v>
      </c>
      <c r="CP165" t="s">
        <v>203</v>
      </c>
      <c r="CQ165" t="s">
        <v>203</v>
      </c>
      <c r="CR165" t="s">
        <v>203</v>
      </c>
      <c r="CS165" t="s">
        <v>203</v>
      </c>
      <c r="CT165" t="s">
        <v>203</v>
      </c>
      <c r="CU165" t="s">
        <v>203</v>
      </c>
      <c r="CV165">
        <v>0</v>
      </c>
      <c r="CW165">
        <v>0</v>
      </c>
      <c r="CX165" t="s">
        <v>198</v>
      </c>
      <c r="CY165" t="s">
        <v>198</v>
      </c>
      <c r="CZ165" t="s">
        <v>198</v>
      </c>
      <c r="DA165" t="s">
        <v>198</v>
      </c>
      <c r="DB165" t="s">
        <v>198</v>
      </c>
      <c r="DC165">
        <v>0</v>
      </c>
      <c r="DD165">
        <v>0</v>
      </c>
      <c r="DE165">
        <v>0</v>
      </c>
      <c r="DF165">
        <v>0</v>
      </c>
      <c r="DG165">
        <v>-35.3631166</v>
      </c>
      <c r="DH165">
        <v>149.1639735</v>
      </c>
      <c r="DI165" t="s">
        <v>360</v>
      </c>
      <c r="DJ165">
        <v>1.2</v>
      </c>
      <c r="DK165">
        <v>2</v>
      </c>
      <c r="DL165">
        <v>159.8</v>
      </c>
      <c r="DM165">
        <v>0</v>
      </c>
      <c r="DN165">
        <v>6</v>
      </c>
      <c r="DO165">
        <v>10</v>
      </c>
      <c r="DP165">
        <v>0</v>
      </c>
      <c r="DQ165">
        <v>255</v>
      </c>
      <c r="DR165">
        <v>255</v>
      </c>
      <c r="DS165">
        <v>255</v>
      </c>
      <c r="DT165">
        <v>255</v>
      </c>
      <c r="DU165">
        <v>255</v>
      </c>
      <c r="DV165">
        <v>255</v>
      </c>
      <c r="DW165">
        <v>255</v>
      </c>
      <c r="DX165" t="s">
        <v>206</v>
      </c>
      <c r="DY165" t="s">
        <v>206</v>
      </c>
      <c r="DZ165" t="s">
        <v>207</v>
      </c>
      <c r="EA165" t="s">
        <v>198</v>
      </c>
      <c r="EB165" t="s">
        <v>198</v>
      </c>
      <c r="EC165" t="s">
        <v>198</v>
      </c>
      <c r="ED165">
        <v>0</v>
      </c>
      <c r="EE165">
        <v>0</v>
      </c>
      <c r="EF165">
        <v>0</v>
      </c>
      <c r="EG165">
        <v>0</v>
      </c>
      <c r="EH165">
        <v>255</v>
      </c>
      <c r="EI165">
        <v>255</v>
      </c>
      <c r="EJ165">
        <v>255</v>
      </c>
      <c r="EK165">
        <v>255</v>
      </c>
      <c r="EL165">
        <v>255</v>
      </c>
      <c r="EM165">
        <v>255</v>
      </c>
      <c r="EN165">
        <v>255</v>
      </c>
      <c r="EO165">
        <v>255</v>
      </c>
      <c r="EP165">
        <v>255</v>
      </c>
      <c r="EQ165">
        <v>255</v>
      </c>
      <c r="ER165" t="s">
        <v>208</v>
      </c>
      <c r="ES165" t="s">
        <v>209</v>
      </c>
      <c r="ET165" t="s">
        <v>209</v>
      </c>
      <c r="EU165">
        <v>0</v>
      </c>
      <c r="EV165">
        <v>16.2</v>
      </c>
      <c r="EW165">
        <v>-114.7</v>
      </c>
      <c r="EX165">
        <v>-0.2</v>
      </c>
      <c r="EY165">
        <v>0</v>
      </c>
      <c r="EZ165">
        <v>0</v>
      </c>
      <c r="FA165">
        <v>0</v>
      </c>
      <c r="FB165" t="s">
        <v>198</v>
      </c>
      <c r="FC165" t="s">
        <v>198</v>
      </c>
      <c r="FD165" t="s">
        <v>198</v>
      </c>
      <c r="FE165" t="s">
        <v>198</v>
      </c>
      <c r="FF165" t="s">
        <v>198</v>
      </c>
      <c r="FG165" t="s">
        <v>198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 t="s">
        <v>203</v>
      </c>
      <c r="FP165" t="s">
        <v>203</v>
      </c>
      <c r="FQ165" t="s">
        <v>203</v>
      </c>
      <c r="FR165" t="s">
        <v>203</v>
      </c>
      <c r="FS165" t="s">
        <v>203</v>
      </c>
      <c r="FT165" t="s">
        <v>203</v>
      </c>
      <c r="FU165" t="s">
        <v>198</v>
      </c>
      <c r="FV165" t="s">
        <v>198</v>
      </c>
      <c r="FW165" t="s">
        <v>198</v>
      </c>
      <c r="FX165" t="s">
        <v>198</v>
      </c>
      <c r="FY165" t="s">
        <v>198</v>
      </c>
      <c r="FZ165" t="s">
        <v>198</v>
      </c>
      <c r="GA165">
        <v>31.2</v>
      </c>
      <c r="GB165">
        <v>31.2</v>
      </c>
      <c r="GC165" t="s">
        <v>203</v>
      </c>
      <c r="GD165">
        <v>0</v>
      </c>
      <c r="GE165">
        <v>504</v>
      </c>
      <c r="GF165">
        <v>0</v>
      </c>
      <c r="GG165">
        <v>0</v>
      </c>
      <c r="GH165">
        <v>0</v>
      </c>
      <c r="GI165">
        <v>1</v>
      </c>
      <c r="GJ165">
        <v>1</v>
      </c>
      <c r="GK165">
        <v>0</v>
      </c>
      <c r="GL165" t="s">
        <v>198</v>
      </c>
      <c r="GM165" t="s">
        <v>198</v>
      </c>
      <c r="GN165" t="s">
        <v>198</v>
      </c>
    </row>
    <row r="166" spans="1:196">
      <c r="A166" s="19">
        <v>46316.90580258102</v>
      </c>
      <c r="B166">
        <v>0</v>
      </c>
      <c r="C166">
        <v>0</v>
      </c>
      <c r="D166">
        <v>277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584.2</v>
      </c>
      <c r="N166">
        <v>-0.5</v>
      </c>
      <c r="O166">
        <v>0</v>
      </c>
      <c r="P166">
        <v>0</v>
      </c>
      <c r="Q166">
        <v>0</v>
      </c>
      <c r="R166">
        <v>0</v>
      </c>
      <c r="S166">
        <v>115.6</v>
      </c>
      <c r="T166" t="s">
        <v>485</v>
      </c>
      <c r="U166">
        <v>115.7</v>
      </c>
      <c r="V166">
        <v>1762727256586.8</v>
      </c>
      <c r="W166">
        <v>1</v>
      </c>
      <c r="X166" t="s">
        <v>197</v>
      </c>
      <c r="Y166">
        <v>0</v>
      </c>
      <c r="Z166">
        <v>98</v>
      </c>
      <c r="AA166">
        <v>278</v>
      </c>
      <c r="AB166" t="s">
        <v>197</v>
      </c>
      <c r="AC166" t="s">
        <v>198</v>
      </c>
      <c r="AD166" t="s">
        <v>199</v>
      </c>
      <c r="AE166">
        <v>0</v>
      </c>
      <c r="AF166">
        <v>44</v>
      </c>
      <c r="AG166">
        <v>255</v>
      </c>
      <c r="AH166">
        <v>0</v>
      </c>
      <c r="AI166">
        <v>0</v>
      </c>
      <c r="AJ166">
        <v>0</v>
      </c>
      <c r="AK166">
        <v>12.6</v>
      </c>
      <c r="AL166">
        <v>0</v>
      </c>
      <c r="AM166">
        <v>0</v>
      </c>
      <c r="AN166" t="s">
        <v>197</v>
      </c>
      <c r="AO166">
        <v>100</v>
      </c>
      <c r="AP166" t="s">
        <v>197</v>
      </c>
      <c r="AQ166" t="s">
        <v>200</v>
      </c>
      <c r="AR166">
        <v>1</v>
      </c>
      <c r="AS166">
        <v>0</v>
      </c>
      <c r="AT166" t="s">
        <v>512</v>
      </c>
      <c r="AU166" t="s">
        <v>512</v>
      </c>
      <c r="AV166" t="s">
        <v>202</v>
      </c>
      <c r="AW166" t="s">
        <v>203</v>
      </c>
      <c r="AX166" t="s">
        <v>203</v>
      </c>
      <c r="AY166" t="s">
        <v>203</v>
      </c>
      <c r="AZ166" t="s">
        <v>203</v>
      </c>
      <c r="BA166" t="s">
        <v>203</v>
      </c>
      <c r="BB166" t="s">
        <v>203</v>
      </c>
      <c r="BC166" t="s">
        <v>203</v>
      </c>
      <c r="BD166" t="s">
        <v>203</v>
      </c>
      <c r="BE166" t="s">
        <v>203</v>
      </c>
      <c r="BF166">
        <v>0</v>
      </c>
      <c r="BG166">
        <v>0.2</v>
      </c>
      <c r="BH166">
        <v>50</v>
      </c>
      <c r="BI166">
        <v>0</v>
      </c>
      <c r="BJ166" t="s">
        <v>198</v>
      </c>
      <c r="BK166" t="s">
        <v>198</v>
      </c>
      <c r="BL166" t="s">
        <v>198</v>
      </c>
      <c r="BM166" t="s">
        <v>198</v>
      </c>
      <c r="BN166" t="s">
        <v>198</v>
      </c>
      <c r="BO166" t="s">
        <v>198</v>
      </c>
      <c r="BP166" t="s">
        <v>198</v>
      </c>
      <c r="BQ166" t="s">
        <v>198</v>
      </c>
      <c r="BR166" t="s">
        <v>198</v>
      </c>
      <c r="BS166" t="s">
        <v>198</v>
      </c>
      <c r="BT166" t="s">
        <v>198</v>
      </c>
      <c r="BU166" t="s">
        <v>198</v>
      </c>
      <c r="BV166" t="s">
        <v>198</v>
      </c>
      <c r="BW166" t="s">
        <v>198</v>
      </c>
      <c r="BX166" t="s">
        <v>198</v>
      </c>
      <c r="BY166" t="s">
        <v>198</v>
      </c>
      <c r="BZ166" t="s">
        <v>198</v>
      </c>
      <c r="CA166" t="s">
        <v>198</v>
      </c>
      <c r="CB166" t="s">
        <v>204</v>
      </c>
      <c r="CC166" t="s">
        <v>204</v>
      </c>
      <c r="CD166" t="s">
        <v>204</v>
      </c>
      <c r="CE166" t="s">
        <v>204</v>
      </c>
      <c r="CF166" t="s">
        <v>204</v>
      </c>
      <c r="CG166" t="s">
        <v>204</v>
      </c>
      <c r="CH166" t="s">
        <v>204</v>
      </c>
      <c r="CI166" t="s">
        <v>204</v>
      </c>
      <c r="CJ166" t="s">
        <v>204</v>
      </c>
      <c r="CK166" t="s">
        <v>204</v>
      </c>
      <c r="CL166" t="s">
        <v>204</v>
      </c>
      <c r="CM166" t="s">
        <v>204</v>
      </c>
      <c r="CN166" t="s">
        <v>203</v>
      </c>
      <c r="CO166" t="s">
        <v>203</v>
      </c>
      <c r="CP166" t="s">
        <v>203</v>
      </c>
      <c r="CQ166" t="s">
        <v>203</v>
      </c>
      <c r="CR166" t="s">
        <v>203</v>
      </c>
      <c r="CS166" t="s">
        <v>203</v>
      </c>
      <c r="CT166" t="s">
        <v>203</v>
      </c>
      <c r="CU166" t="s">
        <v>203</v>
      </c>
      <c r="CV166">
        <v>0</v>
      </c>
      <c r="CW166">
        <v>0</v>
      </c>
      <c r="CX166" t="s">
        <v>198</v>
      </c>
      <c r="CY166" t="s">
        <v>198</v>
      </c>
      <c r="CZ166" t="s">
        <v>198</v>
      </c>
      <c r="DA166" t="s">
        <v>198</v>
      </c>
      <c r="DB166" t="s">
        <v>198</v>
      </c>
      <c r="DC166">
        <v>0</v>
      </c>
      <c r="DD166">
        <v>0</v>
      </c>
      <c r="DE166">
        <v>0</v>
      </c>
      <c r="DF166">
        <v>0</v>
      </c>
      <c r="DG166">
        <v>-35.3631166</v>
      </c>
      <c r="DH166">
        <v>149.1639735</v>
      </c>
      <c r="DI166" t="s">
        <v>360</v>
      </c>
      <c r="DJ166">
        <v>1.2</v>
      </c>
      <c r="DK166">
        <v>2</v>
      </c>
      <c r="DL166">
        <v>159.8</v>
      </c>
      <c r="DM166">
        <v>0</v>
      </c>
      <c r="DN166">
        <v>6</v>
      </c>
      <c r="DO166">
        <v>10</v>
      </c>
      <c r="DP166">
        <v>0</v>
      </c>
      <c r="DQ166">
        <v>255</v>
      </c>
      <c r="DR166">
        <v>255</v>
      </c>
      <c r="DS166">
        <v>255</v>
      </c>
      <c r="DT166">
        <v>255</v>
      </c>
      <c r="DU166">
        <v>255</v>
      </c>
      <c r="DV166">
        <v>255</v>
      </c>
      <c r="DW166">
        <v>255</v>
      </c>
      <c r="DX166" t="s">
        <v>206</v>
      </c>
      <c r="DY166" t="s">
        <v>206</v>
      </c>
      <c r="DZ166" t="s">
        <v>207</v>
      </c>
      <c r="EA166" t="s">
        <v>198</v>
      </c>
      <c r="EB166" t="s">
        <v>198</v>
      </c>
      <c r="EC166" t="s">
        <v>198</v>
      </c>
      <c r="ED166">
        <v>0</v>
      </c>
      <c r="EE166">
        <v>0</v>
      </c>
      <c r="EF166">
        <v>0</v>
      </c>
      <c r="EG166">
        <v>0</v>
      </c>
      <c r="EH166">
        <v>255</v>
      </c>
      <c r="EI166">
        <v>255</v>
      </c>
      <c r="EJ166">
        <v>255</v>
      </c>
      <c r="EK166">
        <v>255</v>
      </c>
      <c r="EL166">
        <v>255</v>
      </c>
      <c r="EM166">
        <v>255</v>
      </c>
      <c r="EN166">
        <v>255</v>
      </c>
      <c r="EO166">
        <v>255</v>
      </c>
      <c r="EP166">
        <v>255</v>
      </c>
      <c r="EQ166">
        <v>255</v>
      </c>
      <c r="ER166" t="s">
        <v>208</v>
      </c>
      <c r="ES166" t="s">
        <v>209</v>
      </c>
      <c r="ET166" t="s">
        <v>209</v>
      </c>
      <c r="EU166">
        <v>0</v>
      </c>
      <c r="EV166">
        <v>16.2</v>
      </c>
      <c r="EW166">
        <v>-114.7</v>
      </c>
      <c r="EX166">
        <v>-0.2</v>
      </c>
      <c r="EY166">
        <v>0</v>
      </c>
      <c r="EZ166">
        <v>0</v>
      </c>
      <c r="FA166">
        <v>0</v>
      </c>
      <c r="FB166" t="s">
        <v>198</v>
      </c>
      <c r="FC166" t="s">
        <v>198</v>
      </c>
      <c r="FD166" t="s">
        <v>198</v>
      </c>
      <c r="FE166" t="s">
        <v>198</v>
      </c>
      <c r="FF166" t="s">
        <v>198</v>
      </c>
      <c r="FG166" t="s">
        <v>198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203</v>
      </c>
      <c r="FP166" t="s">
        <v>203</v>
      </c>
      <c r="FQ166" t="s">
        <v>203</v>
      </c>
      <c r="FR166" t="s">
        <v>203</v>
      </c>
      <c r="FS166" t="s">
        <v>203</v>
      </c>
      <c r="FT166" t="s">
        <v>203</v>
      </c>
      <c r="FU166" t="s">
        <v>198</v>
      </c>
      <c r="FV166" t="s">
        <v>198</v>
      </c>
      <c r="FW166" t="s">
        <v>198</v>
      </c>
      <c r="FX166" t="s">
        <v>198</v>
      </c>
      <c r="FY166" t="s">
        <v>198</v>
      </c>
      <c r="FZ166" t="s">
        <v>198</v>
      </c>
      <c r="GA166">
        <v>31.2</v>
      </c>
      <c r="GB166">
        <v>31.2</v>
      </c>
      <c r="GC166" t="s">
        <v>203</v>
      </c>
      <c r="GD166">
        <v>0</v>
      </c>
      <c r="GE166">
        <v>504</v>
      </c>
      <c r="GF166">
        <v>0</v>
      </c>
      <c r="GG166">
        <v>0</v>
      </c>
      <c r="GH166">
        <v>0</v>
      </c>
      <c r="GI166">
        <v>1</v>
      </c>
      <c r="GJ166">
        <v>1</v>
      </c>
      <c r="GK166">
        <v>0</v>
      </c>
      <c r="GL166" t="s">
        <v>198</v>
      </c>
      <c r="GM166" t="s">
        <v>198</v>
      </c>
      <c r="GN166" t="s">
        <v>198</v>
      </c>
    </row>
    <row r="167" spans="1:196">
      <c r="A167" s="19">
        <v>46316.90581415509</v>
      </c>
      <c r="B167">
        <v>0</v>
      </c>
      <c r="C167">
        <v>0</v>
      </c>
      <c r="D167">
        <v>277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584.2</v>
      </c>
      <c r="N167">
        <v>-0.5</v>
      </c>
      <c r="O167">
        <v>0</v>
      </c>
      <c r="P167">
        <v>0</v>
      </c>
      <c r="Q167">
        <v>0</v>
      </c>
      <c r="R167">
        <v>0</v>
      </c>
      <c r="S167">
        <v>115.6</v>
      </c>
      <c r="T167" t="s">
        <v>485</v>
      </c>
      <c r="U167">
        <v>115.7</v>
      </c>
      <c r="V167">
        <v>1762727256586.8</v>
      </c>
      <c r="W167">
        <v>1</v>
      </c>
      <c r="X167" t="s">
        <v>197</v>
      </c>
      <c r="Y167">
        <v>0</v>
      </c>
      <c r="Z167">
        <v>98</v>
      </c>
      <c r="AA167">
        <v>278</v>
      </c>
      <c r="AB167" t="s">
        <v>197</v>
      </c>
      <c r="AC167" t="s">
        <v>198</v>
      </c>
      <c r="AD167" t="s">
        <v>199</v>
      </c>
      <c r="AE167">
        <v>0</v>
      </c>
      <c r="AF167">
        <v>44</v>
      </c>
      <c r="AG167">
        <v>255</v>
      </c>
      <c r="AH167">
        <v>0</v>
      </c>
      <c r="AI167">
        <v>0</v>
      </c>
      <c r="AJ167">
        <v>0</v>
      </c>
      <c r="AK167">
        <v>12.6</v>
      </c>
      <c r="AL167">
        <v>0</v>
      </c>
      <c r="AM167">
        <v>0</v>
      </c>
      <c r="AN167" t="s">
        <v>197</v>
      </c>
      <c r="AO167">
        <v>100</v>
      </c>
      <c r="AP167" t="s">
        <v>197</v>
      </c>
      <c r="AQ167" t="s">
        <v>200</v>
      </c>
      <c r="AR167">
        <v>1</v>
      </c>
      <c r="AS167">
        <v>0</v>
      </c>
      <c r="AT167" t="s">
        <v>513</v>
      </c>
      <c r="AU167" t="s">
        <v>513</v>
      </c>
      <c r="AV167" t="s">
        <v>202</v>
      </c>
      <c r="AW167" t="s">
        <v>203</v>
      </c>
      <c r="AX167" t="s">
        <v>203</v>
      </c>
      <c r="AY167" t="s">
        <v>203</v>
      </c>
      <c r="AZ167" t="s">
        <v>203</v>
      </c>
      <c r="BA167" t="s">
        <v>203</v>
      </c>
      <c r="BB167" t="s">
        <v>203</v>
      </c>
      <c r="BC167" t="s">
        <v>203</v>
      </c>
      <c r="BD167" t="s">
        <v>203</v>
      </c>
      <c r="BE167" t="s">
        <v>203</v>
      </c>
      <c r="BF167">
        <v>0</v>
      </c>
      <c r="BG167">
        <v>0.2</v>
      </c>
      <c r="BH167">
        <v>50</v>
      </c>
      <c r="BI167">
        <v>0</v>
      </c>
      <c r="BJ167" t="s">
        <v>198</v>
      </c>
      <c r="BK167" t="s">
        <v>198</v>
      </c>
      <c r="BL167" t="s">
        <v>198</v>
      </c>
      <c r="BM167" t="s">
        <v>198</v>
      </c>
      <c r="BN167" t="s">
        <v>198</v>
      </c>
      <c r="BO167" t="s">
        <v>198</v>
      </c>
      <c r="BP167" t="s">
        <v>198</v>
      </c>
      <c r="BQ167" t="s">
        <v>198</v>
      </c>
      <c r="BR167" t="s">
        <v>198</v>
      </c>
      <c r="BS167" t="s">
        <v>198</v>
      </c>
      <c r="BT167" t="s">
        <v>198</v>
      </c>
      <c r="BU167" t="s">
        <v>198</v>
      </c>
      <c r="BV167" t="s">
        <v>198</v>
      </c>
      <c r="BW167" t="s">
        <v>198</v>
      </c>
      <c r="BX167" t="s">
        <v>198</v>
      </c>
      <c r="BY167" t="s">
        <v>198</v>
      </c>
      <c r="BZ167" t="s">
        <v>198</v>
      </c>
      <c r="CA167" t="s">
        <v>198</v>
      </c>
      <c r="CB167" t="s">
        <v>204</v>
      </c>
      <c r="CC167" t="s">
        <v>204</v>
      </c>
      <c r="CD167" t="s">
        <v>204</v>
      </c>
      <c r="CE167" t="s">
        <v>204</v>
      </c>
      <c r="CF167" t="s">
        <v>204</v>
      </c>
      <c r="CG167" t="s">
        <v>204</v>
      </c>
      <c r="CH167" t="s">
        <v>204</v>
      </c>
      <c r="CI167" t="s">
        <v>204</v>
      </c>
      <c r="CJ167" t="s">
        <v>204</v>
      </c>
      <c r="CK167" t="s">
        <v>204</v>
      </c>
      <c r="CL167" t="s">
        <v>204</v>
      </c>
      <c r="CM167" t="s">
        <v>204</v>
      </c>
      <c r="CN167" t="s">
        <v>203</v>
      </c>
      <c r="CO167" t="s">
        <v>203</v>
      </c>
      <c r="CP167" t="s">
        <v>203</v>
      </c>
      <c r="CQ167" t="s">
        <v>203</v>
      </c>
      <c r="CR167" t="s">
        <v>203</v>
      </c>
      <c r="CS167" t="s">
        <v>203</v>
      </c>
      <c r="CT167" t="s">
        <v>203</v>
      </c>
      <c r="CU167" t="s">
        <v>203</v>
      </c>
      <c r="CV167">
        <v>0</v>
      </c>
      <c r="CW167">
        <v>0</v>
      </c>
      <c r="CX167" t="s">
        <v>198</v>
      </c>
      <c r="CY167" t="s">
        <v>198</v>
      </c>
      <c r="CZ167" t="s">
        <v>198</v>
      </c>
      <c r="DA167" t="s">
        <v>198</v>
      </c>
      <c r="DB167" t="s">
        <v>198</v>
      </c>
      <c r="DC167">
        <v>0</v>
      </c>
      <c r="DD167">
        <v>0</v>
      </c>
      <c r="DE167">
        <v>0</v>
      </c>
      <c r="DF167">
        <v>0</v>
      </c>
      <c r="DG167">
        <v>-35.3631166</v>
      </c>
      <c r="DH167">
        <v>149.1639735</v>
      </c>
      <c r="DI167" t="s">
        <v>360</v>
      </c>
      <c r="DJ167">
        <v>1.2</v>
      </c>
      <c r="DK167">
        <v>2</v>
      </c>
      <c r="DL167">
        <v>159.8</v>
      </c>
      <c r="DM167">
        <v>0</v>
      </c>
      <c r="DN167">
        <v>6</v>
      </c>
      <c r="DO167">
        <v>10</v>
      </c>
      <c r="DP167">
        <v>0</v>
      </c>
      <c r="DQ167">
        <v>255</v>
      </c>
      <c r="DR167">
        <v>255</v>
      </c>
      <c r="DS167">
        <v>255</v>
      </c>
      <c r="DT167">
        <v>255</v>
      </c>
      <c r="DU167">
        <v>255</v>
      </c>
      <c r="DV167">
        <v>255</v>
      </c>
      <c r="DW167">
        <v>255</v>
      </c>
      <c r="DX167" t="s">
        <v>206</v>
      </c>
      <c r="DY167" t="s">
        <v>206</v>
      </c>
      <c r="DZ167" t="s">
        <v>207</v>
      </c>
      <c r="EA167" t="s">
        <v>198</v>
      </c>
      <c r="EB167" t="s">
        <v>198</v>
      </c>
      <c r="EC167" t="s">
        <v>198</v>
      </c>
      <c r="ED167">
        <v>0</v>
      </c>
      <c r="EE167">
        <v>0</v>
      </c>
      <c r="EF167">
        <v>0</v>
      </c>
      <c r="EG167">
        <v>0</v>
      </c>
      <c r="EH167">
        <v>255</v>
      </c>
      <c r="EI167">
        <v>255</v>
      </c>
      <c r="EJ167">
        <v>255</v>
      </c>
      <c r="EK167">
        <v>255</v>
      </c>
      <c r="EL167">
        <v>255</v>
      </c>
      <c r="EM167">
        <v>255</v>
      </c>
      <c r="EN167">
        <v>255</v>
      </c>
      <c r="EO167">
        <v>255</v>
      </c>
      <c r="EP167">
        <v>255</v>
      </c>
      <c r="EQ167">
        <v>255</v>
      </c>
      <c r="ER167" t="s">
        <v>208</v>
      </c>
      <c r="ES167" t="s">
        <v>209</v>
      </c>
      <c r="ET167" t="s">
        <v>209</v>
      </c>
      <c r="EU167">
        <v>0</v>
      </c>
      <c r="EV167">
        <v>16.2</v>
      </c>
      <c r="EW167">
        <v>-114.7</v>
      </c>
      <c r="EX167">
        <v>-0.2</v>
      </c>
      <c r="EY167">
        <v>0</v>
      </c>
      <c r="EZ167">
        <v>0</v>
      </c>
      <c r="FA167">
        <v>0</v>
      </c>
      <c r="FB167" t="s">
        <v>198</v>
      </c>
      <c r="FC167" t="s">
        <v>198</v>
      </c>
      <c r="FD167" t="s">
        <v>198</v>
      </c>
      <c r="FE167" t="s">
        <v>198</v>
      </c>
      <c r="FF167" t="s">
        <v>198</v>
      </c>
      <c r="FG167" t="s">
        <v>198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 t="s">
        <v>203</v>
      </c>
      <c r="FP167" t="s">
        <v>203</v>
      </c>
      <c r="FQ167" t="s">
        <v>203</v>
      </c>
      <c r="FR167" t="s">
        <v>203</v>
      </c>
      <c r="FS167" t="s">
        <v>203</v>
      </c>
      <c r="FT167" t="s">
        <v>203</v>
      </c>
      <c r="FU167" t="s">
        <v>198</v>
      </c>
      <c r="FV167" t="s">
        <v>198</v>
      </c>
      <c r="FW167" t="s">
        <v>198</v>
      </c>
      <c r="FX167" t="s">
        <v>198</v>
      </c>
      <c r="FY167" t="s">
        <v>198</v>
      </c>
      <c r="FZ167" t="s">
        <v>198</v>
      </c>
      <c r="GA167">
        <v>31.2</v>
      </c>
      <c r="GB167">
        <v>31.2</v>
      </c>
      <c r="GC167" t="s">
        <v>203</v>
      </c>
      <c r="GD167">
        <v>0</v>
      </c>
      <c r="GE167">
        <v>504</v>
      </c>
      <c r="GF167">
        <v>0</v>
      </c>
      <c r="GG167">
        <v>0</v>
      </c>
      <c r="GH167">
        <v>0</v>
      </c>
      <c r="GI167">
        <v>1</v>
      </c>
      <c r="GJ167">
        <v>1</v>
      </c>
      <c r="GK167">
        <v>0</v>
      </c>
      <c r="GL167" t="s">
        <v>198</v>
      </c>
      <c r="GM167" t="s">
        <v>198</v>
      </c>
      <c r="GN167" t="s">
        <v>198</v>
      </c>
    </row>
    <row r="168" spans="1:196">
      <c r="A168" s="19">
        <v>46316.90582572917</v>
      </c>
      <c r="B168">
        <v>0</v>
      </c>
      <c r="C168">
        <v>0</v>
      </c>
      <c r="D168">
        <v>277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584.2</v>
      </c>
      <c r="N168">
        <v>-0.5</v>
      </c>
      <c r="O168">
        <v>0</v>
      </c>
      <c r="P168">
        <v>0</v>
      </c>
      <c r="Q168">
        <v>0</v>
      </c>
      <c r="R168">
        <v>0</v>
      </c>
      <c r="S168">
        <v>115.6</v>
      </c>
      <c r="T168" t="s">
        <v>485</v>
      </c>
      <c r="U168">
        <v>115.7</v>
      </c>
      <c r="V168">
        <v>1762727256586.8</v>
      </c>
      <c r="W168">
        <v>1</v>
      </c>
      <c r="X168" t="s">
        <v>197</v>
      </c>
      <c r="Y168">
        <v>0</v>
      </c>
      <c r="Z168">
        <v>98</v>
      </c>
      <c r="AA168">
        <v>278</v>
      </c>
      <c r="AB168" t="s">
        <v>197</v>
      </c>
      <c r="AC168" t="s">
        <v>198</v>
      </c>
      <c r="AD168" t="s">
        <v>199</v>
      </c>
      <c r="AE168">
        <v>0</v>
      </c>
      <c r="AF168">
        <v>44</v>
      </c>
      <c r="AG168">
        <v>255</v>
      </c>
      <c r="AH168">
        <v>0</v>
      </c>
      <c r="AI168">
        <v>0</v>
      </c>
      <c r="AJ168">
        <v>0</v>
      </c>
      <c r="AK168">
        <v>12.6</v>
      </c>
      <c r="AL168">
        <v>0</v>
      </c>
      <c r="AM168">
        <v>0</v>
      </c>
      <c r="AN168" t="s">
        <v>197</v>
      </c>
      <c r="AO168">
        <v>100</v>
      </c>
      <c r="AP168" t="s">
        <v>197</v>
      </c>
      <c r="AQ168" t="s">
        <v>200</v>
      </c>
      <c r="AR168">
        <v>1</v>
      </c>
      <c r="AS168">
        <v>0</v>
      </c>
      <c r="AT168" t="s">
        <v>514</v>
      </c>
      <c r="AU168" t="s">
        <v>514</v>
      </c>
      <c r="AV168" t="s">
        <v>202</v>
      </c>
      <c r="AW168" t="s">
        <v>203</v>
      </c>
      <c r="AX168" t="s">
        <v>203</v>
      </c>
      <c r="AY168" t="s">
        <v>203</v>
      </c>
      <c r="AZ168" t="s">
        <v>203</v>
      </c>
      <c r="BA168" t="s">
        <v>203</v>
      </c>
      <c r="BB168" t="s">
        <v>203</v>
      </c>
      <c r="BC168" t="s">
        <v>203</v>
      </c>
      <c r="BD168" t="s">
        <v>203</v>
      </c>
      <c r="BE168" t="s">
        <v>203</v>
      </c>
      <c r="BF168">
        <v>0</v>
      </c>
      <c r="BG168">
        <v>0.2</v>
      </c>
      <c r="BH168">
        <v>50</v>
      </c>
      <c r="BI168">
        <v>0</v>
      </c>
      <c r="BJ168" t="s">
        <v>198</v>
      </c>
      <c r="BK168" t="s">
        <v>198</v>
      </c>
      <c r="BL168" t="s">
        <v>198</v>
      </c>
      <c r="BM168" t="s">
        <v>198</v>
      </c>
      <c r="BN168" t="s">
        <v>198</v>
      </c>
      <c r="BO168" t="s">
        <v>198</v>
      </c>
      <c r="BP168" t="s">
        <v>198</v>
      </c>
      <c r="BQ168" t="s">
        <v>198</v>
      </c>
      <c r="BR168" t="s">
        <v>198</v>
      </c>
      <c r="BS168" t="s">
        <v>198</v>
      </c>
      <c r="BT168" t="s">
        <v>198</v>
      </c>
      <c r="BU168" t="s">
        <v>198</v>
      </c>
      <c r="BV168" t="s">
        <v>198</v>
      </c>
      <c r="BW168" t="s">
        <v>198</v>
      </c>
      <c r="BX168" t="s">
        <v>198</v>
      </c>
      <c r="BY168" t="s">
        <v>198</v>
      </c>
      <c r="BZ168" t="s">
        <v>198</v>
      </c>
      <c r="CA168" t="s">
        <v>198</v>
      </c>
      <c r="CB168" t="s">
        <v>204</v>
      </c>
      <c r="CC168" t="s">
        <v>204</v>
      </c>
      <c r="CD168" t="s">
        <v>204</v>
      </c>
      <c r="CE168" t="s">
        <v>204</v>
      </c>
      <c r="CF168" t="s">
        <v>204</v>
      </c>
      <c r="CG168" t="s">
        <v>204</v>
      </c>
      <c r="CH168" t="s">
        <v>204</v>
      </c>
      <c r="CI168" t="s">
        <v>204</v>
      </c>
      <c r="CJ168" t="s">
        <v>204</v>
      </c>
      <c r="CK168" t="s">
        <v>204</v>
      </c>
      <c r="CL168" t="s">
        <v>204</v>
      </c>
      <c r="CM168" t="s">
        <v>204</v>
      </c>
      <c r="CN168" t="s">
        <v>203</v>
      </c>
      <c r="CO168" t="s">
        <v>203</v>
      </c>
      <c r="CP168" t="s">
        <v>203</v>
      </c>
      <c r="CQ168" t="s">
        <v>203</v>
      </c>
      <c r="CR168" t="s">
        <v>203</v>
      </c>
      <c r="CS168" t="s">
        <v>203</v>
      </c>
      <c r="CT168" t="s">
        <v>203</v>
      </c>
      <c r="CU168" t="s">
        <v>203</v>
      </c>
      <c r="CV168">
        <v>0</v>
      </c>
      <c r="CW168">
        <v>0</v>
      </c>
      <c r="CX168" t="s">
        <v>198</v>
      </c>
      <c r="CY168" t="s">
        <v>198</v>
      </c>
      <c r="CZ168" t="s">
        <v>198</v>
      </c>
      <c r="DA168" t="s">
        <v>198</v>
      </c>
      <c r="DB168" t="s">
        <v>198</v>
      </c>
      <c r="DC168">
        <v>0</v>
      </c>
      <c r="DD168">
        <v>0</v>
      </c>
      <c r="DE168">
        <v>0</v>
      </c>
      <c r="DF168">
        <v>0</v>
      </c>
      <c r="DG168">
        <v>-35.3631166</v>
      </c>
      <c r="DH168">
        <v>149.1639735</v>
      </c>
      <c r="DI168" t="s">
        <v>360</v>
      </c>
      <c r="DJ168">
        <v>1.2</v>
      </c>
      <c r="DK168">
        <v>2</v>
      </c>
      <c r="DL168">
        <v>159.8</v>
      </c>
      <c r="DM168">
        <v>0</v>
      </c>
      <c r="DN168">
        <v>6</v>
      </c>
      <c r="DO168">
        <v>10</v>
      </c>
      <c r="DP168">
        <v>0</v>
      </c>
      <c r="DQ168">
        <v>255</v>
      </c>
      <c r="DR168">
        <v>255</v>
      </c>
      <c r="DS168">
        <v>255</v>
      </c>
      <c r="DT168">
        <v>255</v>
      </c>
      <c r="DU168">
        <v>255</v>
      </c>
      <c r="DV168">
        <v>255</v>
      </c>
      <c r="DW168">
        <v>255</v>
      </c>
      <c r="DX168" t="s">
        <v>206</v>
      </c>
      <c r="DY168" t="s">
        <v>206</v>
      </c>
      <c r="DZ168" t="s">
        <v>207</v>
      </c>
      <c r="EA168" t="s">
        <v>198</v>
      </c>
      <c r="EB168" t="s">
        <v>198</v>
      </c>
      <c r="EC168" t="s">
        <v>198</v>
      </c>
      <c r="ED168">
        <v>0</v>
      </c>
      <c r="EE168">
        <v>0</v>
      </c>
      <c r="EF168">
        <v>0</v>
      </c>
      <c r="EG168">
        <v>0</v>
      </c>
      <c r="EH168">
        <v>255</v>
      </c>
      <c r="EI168">
        <v>255</v>
      </c>
      <c r="EJ168">
        <v>255</v>
      </c>
      <c r="EK168">
        <v>255</v>
      </c>
      <c r="EL168">
        <v>255</v>
      </c>
      <c r="EM168">
        <v>255</v>
      </c>
      <c r="EN168">
        <v>255</v>
      </c>
      <c r="EO168">
        <v>255</v>
      </c>
      <c r="EP168">
        <v>255</v>
      </c>
      <c r="EQ168">
        <v>255</v>
      </c>
      <c r="ER168" t="s">
        <v>208</v>
      </c>
      <c r="ES168" t="s">
        <v>209</v>
      </c>
      <c r="ET168" t="s">
        <v>209</v>
      </c>
      <c r="EU168">
        <v>0</v>
      </c>
      <c r="EV168">
        <v>16.2</v>
      </c>
      <c r="EW168">
        <v>-114.7</v>
      </c>
      <c r="EX168">
        <v>-0.2</v>
      </c>
      <c r="EY168">
        <v>0</v>
      </c>
      <c r="EZ168">
        <v>0</v>
      </c>
      <c r="FA168">
        <v>0</v>
      </c>
      <c r="FB168" t="s">
        <v>198</v>
      </c>
      <c r="FC168" t="s">
        <v>198</v>
      </c>
      <c r="FD168" t="s">
        <v>198</v>
      </c>
      <c r="FE168" t="s">
        <v>198</v>
      </c>
      <c r="FF168" t="s">
        <v>198</v>
      </c>
      <c r="FG168" t="s">
        <v>198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203</v>
      </c>
      <c r="FP168" t="s">
        <v>203</v>
      </c>
      <c r="FQ168" t="s">
        <v>203</v>
      </c>
      <c r="FR168" t="s">
        <v>203</v>
      </c>
      <c r="FS168" t="s">
        <v>203</v>
      </c>
      <c r="FT168" t="s">
        <v>203</v>
      </c>
      <c r="FU168" t="s">
        <v>198</v>
      </c>
      <c r="FV168" t="s">
        <v>198</v>
      </c>
      <c r="FW168" t="s">
        <v>198</v>
      </c>
      <c r="FX168" t="s">
        <v>198</v>
      </c>
      <c r="FY168" t="s">
        <v>198</v>
      </c>
      <c r="FZ168" t="s">
        <v>198</v>
      </c>
      <c r="GA168">
        <v>31.2</v>
      </c>
      <c r="GB168">
        <v>31.2</v>
      </c>
      <c r="GC168" t="s">
        <v>203</v>
      </c>
      <c r="GD168">
        <v>0</v>
      </c>
      <c r="GE168">
        <v>504</v>
      </c>
      <c r="GF168">
        <v>0</v>
      </c>
      <c r="GG168">
        <v>0</v>
      </c>
      <c r="GH168">
        <v>0</v>
      </c>
      <c r="GI168">
        <v>1</v>
      </c>
      <c r="GJ168">
        <v>1</v>
      </c>
      <c r="GK168">
        <v>0</v>
      </c>
      <c r="GL168" t="s">
        <v>198</v>
      </c>
      <c r="GM168" t="s">
        <v>198</v>
      </c>
      <c r="GN168" t="s">
        <v>198</v>
      </c>
    </row>
    <row r="169" spans="1:196">
      <c r="A169" s="19">
        <v>46316.90583730324</v>
      </c>
      <c r="B169">
        <v>0</v>
      </c>
      <c r="C169">
        <v>0</v>
      </c>
      <c r="D169">
        <v>277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584.2</v>
      </c>
      <c r="N169">
        <v>-0.5</v>
      </c>
      <c r="O169">
        <v>0</v>
      </c>
      <c r="P169">
        <v>0</v>
      </c>
      <c r="Q169">
        <v>0</v>
      </c>
      <c r="R169">
        <v>0</v>
      </c>
      <c r="S169">
        <v>115.6</v>
      </c>
      <c r="T169" t="s">
        <v>485</v>
      </c>
      <c r="U169">
        <v>115.7</v>
      </c>
      <c r="V169">
        <v>1762727256586.8</v>
      </c>
      <c r="W169">
        <v>1</v>
      </c>
      <c r="X169" t="s">
        <v>197</v>
      </c>
      <c r="Y169">
        <v>0</v>
      </c>
      <c r="Z169">
        <v>98</v>
      </c>
      <c r="AA169">
        <v>278</v>
      </c>
      <c r="AB169" t="s">
        <v>197</v>
      </c>
      <c r="AC169" t="s">
        <v>198</v>
      </c>
      <c r="AD169" t="s">
        <v>199</v>
      </c>
      <c r="AE169">
        <v>0</v>
      </c>
      <c r="AF169">
        <v>44</v>
      </c>
      <c r="AG169">
        <v>255</v>
      </c>
      <c r="AH169">
        <v>0</v>
      </c>
      <c r="AI169">
        <v>0</v>
      </c>
      <c r="AJ169">
        <v>0</v>
      </c>
      <c r="AK169">
        <v>12.6</v>
      </c>
      <c r="AL169">
        <v>0</v>
      </c>
      <c r="AM169">
        <v>0</v>
      </c>
      <c r="AN169" t="s">
        <v>197</v>
      </c>
      <c r="AO169">
        <v>100</v>
      </c>
      <c r="AP169" t="s">
        <v>197</v>
      </c>
      <c r="AQ169" t="s">
        <v>200</v>
      </c>
      <c r="AR169">
        <v>1</v>
      </c>
      <c r="AS169">
        <v>0</v>
      </c>
      <c r="AT169" t="s">
        <v>515</v>
      </c>
      <c r="AU169" t="s">
        <v>515</v>
      </c>
      <c r="AV169" t="s">
        <v>202</v>
      </c>
      <c r="AW169" t="s">
        <v>203</v>
      </c>
      <c r="AX169" t="s">
        <v>203</v>
      </c>
      <c r="AY169" t="s">
        <v>203</v>
      </c>
      <c r="AZ169" t="s">
        <v>203</v>
      </c>
      <c r="BA169" t="s">
        <v>203</v>
      </c>
      <c r="BB169" t="s">
        <v>203</v>
      </c>
      <c r="BC169" t="s">
        <v>203</v>
      </c>
      <c r="BD169" t="s">
        <v>203</v>
      </c>
      <c r="BE169" t="s">
        <v>203</v>
      </c>
      <c r="BF169">
        <v>0</v>
      </c>
      <c r="BG169">
        <v>0.2</v>
      </c>
      <c r="BH169">
        <v>50</v>
      </c>
      <c r="BI169">
        <v>0</v>
      </c>
      <c r="BJ169" t="s">
        <v>198</v>
      </c>
      <c r="BK169" t="s">
        <v>198</v>
      </c>
      <c r="BL169" t="s">
        <v>198</v>
      </c>
      <c r="BM169" t="s">
        <v>198</v>
      </c>
      <c r="BN169" t="s">
        <v>198</v>
      </c>
      <c r="BO169" t="s">
        <v>198</v>
      </c>
      <c r="BP169" t="s">
        <v>198</v>
      </c>
      <c r="BQ169" t="s">
        <v>198</v>
      </c>
      <c r="BR169" t="s">
        <v>198</v>
      </c>
      <c r="BS169" t="s">
        <v>198</v>
      </c>
      <c r="BT169" t="s">
        <v>198</v>
      </c>
      <c r="BU169" t="s">
        <v>198</v>
      </c>
      <c r="BV169" t="s">
        <v>198</v>
      </c>
      <c r="BW169" t="s">
        <v>198</v>
      </c>
      <c r="BX169" t="s">
        <v>198</v>
      </c>
      <c r="BY169" t="s">
        <v>198</v>
      </c>
      <c r="BZ169" t="s">
        <v>198</v>
      </c>
      <c r="CA169" t="s">
        <v>198</v>
      </c>
      <c r="CB169" t="s">
        <v>204</v>
      </c>
      <c r="CC169" t="s">
        <v>204</v>
      </c>
      <c r="CD169" t="s">
        <v>204</v>
      </c>
      <c r="CE169" t="s">
        <v>204</v>
      </c>
      <c r="CF169" t="s">
        <v>204</v>
      </c>
      <c r="CG169" t="s">
        <v>204</v>
      </c>
      <c r="CH169" t="s">
        <v>204</v>
      </c>
      <c r="CI169" t="s">
        <v>204</v>
      </c>
      <c r="CJ169" t="s">
        <v>204</v>
      </c>
      <c r="CK169" t="s">
        <v>204</v>
      </c>
      <c r="CL169" t="s">
        <v>204</v>
      </c>
      <c r="CM169" t="s">
        <v>204</v>
      </c>
      <c r="CN169" t="s">
        <v>203</v>
      </c>
      <c r="CO169" t="s">
        <v>203</v>
      </c>
      <c r="CP169" t="s">
        <v>203</v>
      </c>
      <c r="CQ169" t="s">
        <v>203</v>
      </c>
      <c r="CR169" t="s">
        <v>203</v>
      </c>
      <c r="CS169" t="s">
        <v>203</v>
      </c>
      <c r="CT169" t="s">
        <v>203</v>
      </c>
      <c r="CU169" t="s">
        <v>203</v>
      </c>
      <c r="CV169">
        <v>0</v>
      </c>
      <c r="CW169">
        <v>0</v>
      </c>
      <c r="CX169" t="s">
        <v>198</v>
      </c>
      <c r="CY169" t="s">
        <v>198</v>
      </c>
      <c r="CZ169" t="s">
        <v>198</v>
      </c>
      <c r="DA169" t="s">
        <v>198</v>
      </c>
      <c r="DB169" t="s">
        <v>198</v>
      </c>
      <c r="DC169">
        <v>0</v>
      </c>
      <c r="DD169">
        <v>0</v>
      </c>
      <c r="DE169">
        <v>0</v>
      </c>
      <c r="DF169">
        <v>0</v>
      </c>
      <c r="DG169">
        <v>-35.3631166</v>
      </c>
      <c r="DH169">
        <v>149.1639735</v>
      </c>
      <c r="DI169" t="s">
        <v>360</v>
      </c>
      <c r="DJ169">
        <v>1.2</v>
      </c>
      <c r="DK169">
        <v>2</v>
      </c>
      <c r="DL169">
        <v>159.8</v>
      </c>
      <c r="DM169">
        <v>0</v>
      </c>
      <c r="DN169">
        <v>6</v>
      </c>
      <c r="DO169">
        <v>10</v>
      </c>
      <c r="DP169">
        <v>0</v>
      </c>
      <c r="DQ169">
        <v>255</v>
      </c>
      <c r="DR169">
        <v>255</v>
      </c>
      <c r="DS169">
        <v>255</v>
      </c>
      <c r="DT169">
        <v>255</v>
      </c>
      <c r="DU169">
        <v>255</v>
      </c>
      <c r="DV169">
        <v>255</v>
      </c>
      <c r="DW169">
        <v>255</v>
      </c>
      <c r="DX169" t="s">
        <v>206</v>
      </c>
      <c r="DY169" t="s">
        <v>206</v>
      </c>
      <c r="DZ169" t="s">
        <v>207</v>
      </c>
      <c r="EA169" t="s">
        <v>198</v>
      </c>
      <c r="EB169" t="s">
        <v>198</v>
      </c>
      <c r="EC169" t="s">
        <v>198</v>
      </c>
      <c r="ED169">
        <v>0</v>
      </c>
      <c r="EE169">
        <v>0</v>
      </c>
      <c r="EF169">
        <v>0</v>
      </c>
      <c r="EG169">
        <v>0</v>
      </c>
      <c r="EH169">
        <v>255</v>
      </c>
      <c r="EI169">
        <v>255</v>
      </c>
      <c r="EJ169">
        <v>255</v>
      </c>
      <c r="EK169">
        <v>255</v>
      </c>
      <c r="EL169">
        <v>255</v>
      </c>
      <c r="EM169">
        <v>255</v>
      </c>
      <c r="EN169">
        <v>255</v>
      </c>
      <c r="EO169">
        <v>255</v>
      </c>
      <c r="EP169">
        <v>255</v>
      </c>
      <c r="EQ169">
        <v>255</v>
      </c>
      <c r="ER169" t="s">
        <v>208</v>
      </c>
      <c r="ES169" t="s">
        <v>209</v>
      </c>
      <c r="ET169" t="s">
        <v>209</v>
      </c>
      <c r="EU169">
        <v>0</v>
      </c>
      <c r="EV169">
        <v>16.2</v>
      </c>
      <c r="EW169">
        <v>-114.7</v>
      </c>
      <c r="EX169">
        <v>-0.2</v>
      </c>
      <c r="EY169">
        <v>0</v>
      </c>
      <c r="EZ169">
        <v>0</v>
      </c>
      <c r="FA169">
        <v>0</v>
      </c>
      <c r="FB169" t="s">
        <v>198</v>
      </c>
      <c r="FC169" t="s">
        <v>198</v>
      </c>
      <c r="FD169" t="s">
        <v>198</v>
      </c>
      <c r="FE169" t="s">
        <v>198</v>
      </c>
      <c r="FF169" t="s">
        <v>198</v>
      </c>
      <c r="FG169" t="s">
        <v>198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 t="s">
        <v>203</v>
      </c>
      <c r="FP169" t="s">
        <v>203</v>
      </c>
      <c r="FQ169" t="s">
        <v>203</v>
      </c>
      <c r="FR169" t="s">
        <v>203</v>
      </c>
      <c r="FS169" t="s">
        <v>203</v>
      </c>
      <c r="FT169" t="s">
        <v>203</v>
      </c>
      <c r="FU169" t="s">
        <v>198</v>
      </c>
      <c r="FV169" t="s">
        <v>198</v>
      </c>
      <c r="FW169" t="s">
        <v>198</v>
      </c>
      <c r="FX169" t="s">
        <v>198</v>
      </c>
      <c r="FY169" t="s">
        <v>198</v>
      </c>
      <c r="FZ169" t="s">
        <v>198</v>
      </c>
      <c r="GA169">
        <v>31.2</v>
      </c>
      <c r="GB169">
        <v>31.2</v>
      </c>
      <c r="GC169" t="s">
        <v>203</v>
      </c>
      <c r="GD169">
        <v>0</v>
      </c>
      <c r="GE169">
        <v>504</v>
      </c>
      <c r="GF169">
        <v>0</v>
      </c>
      <c r="GG169">
        <v>0</v>
      </c>
      <c r="GH169">
        <v>0</v>
      </c>
      <c r="GI169">
        <v>1</v>
      </c>
      <c r="GJ169">
        <v>1</v>
      </c>
      <c r="GK169">
        <v>0</v>
      </c>
      <c r="GL169" t="s">
        <v>198</v>
      </c>
      <c r="GM169" t="s">
        <v>198</v>
      </c>
      <c r="GN169" t="s">
        <v>198</v>
      </c>
    </row>
    <row r="170" spans="1:196">
      <c r="A170" s="19">
        <v>46316.90584887732</v>
      </c>
      <c r="B170">
        <v>0</v>
      </c>
      <c r="C170">
        <v>0</v>
      </c>
      <c r="D170">
        <v>277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584.2</v>
      </c>
      <c r="N170">
        <v>-0.5</v>
      </c>
      <c r="O170">
        <v>0</v>
      </c>
      <c r="P170">
        <v>0</v>
      </c>
      <c r="Q170">
        <v>0</v>
      </c>
      <c r="R170">
        <v>0</v>
      </c>
      <c r="S170">
        <v>115.6</v>
      </c>
      <c r="T170" t="s">
        <v>485</v>
      </c>
      <c r="U170">
        <v>115.7</v>
      </c>
      <c r="V170">
        <v>1762727256586.8</v>
      </c>
      <c r="W170">
        <v>1</v>
      </c>
      <c r="X170" t="s">
        <v>197</v>
      </c>
      <c r="Y170">
        <v>0</v>
      </c>
      <c r="Z170">
        <v>98</v>
      </c>
      <c r="AA170">
        <v>278</v>
      </c>
      <c r="AB170" t="s">
        <v>197</v>
      </c>
      <c r="AC170" t="s">
        <v>198</v>
      </c>
      <c r="AD170" t="s">
        <v>199</v>
      </c>
      <c r="AE170">
        <v>0</v>
      </c>
      <c r="AF170">
        <v>44</v>
      </c>
      <c r="AG170">
        <v>255</v>
      </c>
      <c r="AH170">
        <v>0</v>
      </c>
      <c r="AI170">
        <v>0</v>
      </c>
      <c r="AJ170">
        <v>0</v>
      </c>
      <c r="AK170">
        <v>12.6</v>
      </c>
      <c r="AL170">
        <v>0</v>
      </c>
      <c r="AM170">
        <v>0</v>
      </c>
      <c r="AN170" t="s">
        <v>197</v>
      </c>
      <c r="AO170">
        <v>100</v>
      </c>
      <c r="AP170" t="s">
        <v>197</v>
      </c>
      <c r="AQ170" t="s">
        <v>200</v>
      </c>
      <c r="AR170">
        <v>1</v>
      </c>
      <c r="AS170">
        <v>0</v>
      </c>
      <c r="AT170" t="s">
        <v>516</v>
      </c>
      <c r="AU170" t="s">
        <v>516</v>
      </c>
      <c r="AV170" t="s">
        <v>202</v>
      </c>
      <c r="AW170" t="s">
        <v>203</v>
      </c>
      <c r="AX170" t="s">
        <v>203</v>
      </c>
      <c r="AY170" t="s">
        <v>203</v>
      </c>
      <c r="AZ170" t="s">
        <v>203</v>
      </c>
      <c r="BA170" t="s">
        <v>203</v>
      </c>
      <c r="BB170" t="s">
        <v>203</v>
      </c>
      <c r="BC170" t="s">
        <v>203</v>
      </c>
      <c r="BD170" t="s">
        <v>203</v>
      </c>
      <c r="BE170" t="s">
        <v>203</v>
      </c>
      <c r="BF170">
        <v>0</v>
      </c>
      <c r="BG170">
        <v>0.2</v>
      </c>
      <c r="BH170">
        <v>50</v>
      </c>
      <c r="BI170">
        <v>0</v>
      </c>
      <c r="BJ170" t="s">
        <v>198</v>
      </c>
      <c r="BK170" t="s">
        <v>198</v>
      </c>
      <c r="BL170" t="s">
        <v>198</v>
      </c>
      <c r="BM170" t="s">
        <v>198</v>
      </c>
      <c r="BN170" t="s">
        <v>198</v>
      </c>
      <c r="BO170" t="s">
        <v>198</v>
      </c>
      <c r="BP170" t="s">
        <v>198</v>
      </c>
      <c r="BQ170" t="s">
        <v>198</v>
      </c>
      <c r="BR170" t="s">
        <v>198</v>
      </c>
      <c r="BS170" t="s">
        <v>198</v>
      </c>
      <c r="BT170" t="s">
        <v>198</v>
      </c>
      <c r="BU170" t="s">
        <v>198</v>
      </c>
      <c r="BV170" t="s">
        <v>198</v>
      </c>
      <c r="BW170" t="s">
        <v>198</v>
      </c>
      <c r="BX170" t="s">
        <v>198</v>
      </c>
      <c r="BY170" t="s">
        <v>198</v>
      </c>
      <c r="BZ170" t="s">
        <v>198</v>
      </c>
      <c r="CA170" t="s">
        <v>198</v>
      </c>
      <c r="CB170" t="s">
        <v>204</v>
      </c>
      <c r="CC170" t="s">
        <v>204</v>
      </c>
      <c r="CD170" t="s">
        <v>204</v>
      </c>
      <c r="CE170" t="s">
        <v>204</v>
      </c>
      <c r="CF170" t="s">
        <v>204</v>
      </c>
      <c r="CG170" t="s">
        <v>204</v>
      </c>
      <c r="CH170" t="s">
        <v>204</v>
      </c>
      <c r="CI170" t="s">
        <v>204</v>
      </c>
      <c r="CJ170" t="s">
        <v>204</v>
      </c>
      <c r="CK170" t="s">
        <v>204</v>
      </c>
      <c r="CL170" t="s">
        <v>204</v>
      </c>
      <c r="CM170" t="s">
        <v>204</v>
      </c>
      <c r="CN170" t="s">
        <v>203</v>
      </c>
      <c r="CO170" t="s">
        <v>203</v>
      </c>
      <c r="CP170" t="s">
        <v>203</v>
      </c>
      <c r="CQ170" t="s">
        <v>203</v>
      </c>
      <c r="CR170" t="s">
        <v>203</v>
      </c>
      <c r="CS170" t="s">
        <v>203</v>
      </c>
      <c r="CT170" t="s">
        <v>203</v>
      </c>
      <c r="CU170" t="s">
        <v>203</v>
      </c>
      <c r="CV170">
        <v>0</v>
      </c>
      <c r="CW170">
        <v>0</v>
      </c>
      <c r="CX170" t="s">
        <v>198</v>
      </c>
      <c r="CY170" t="s">
        <v>198</v>
      </c>
      <c r="CZ170" t="s">
        <v>198</v>
      </c>
      <c r="DA170" t="s">
        <v>198</v>
      </c>
      <c r="DB170" t="s">
        <v>198</v>
      </c>
      <c r="DC170">
        <v>0</v>
      </c>
      <c r="DD170">
        <v>0</v>
      </c>
      <c r="DE170">
        <v>0</v>
      </c>
      <c r="DF170">
        <v>0</v>
      </c>
      <c r="DG170">
        <v>-35.3631166</v>
      </c>
      <c r="DH170">
        <v>149.1639735</v>
      </c>
      <c r="DI170" t="s">
        <v>360</v>
      </c>
      <c r="DJ170">
        <v>1.2</v>
      </c>
      <c r="DK170">
        <v>2</v>
      </c>
      <c r="DL170">
        <v>159.8</v>
      </c>
      <c r="DM170">
        <v>0</v>
      </c>
      <c r="DN170">
        <v>6</v>
      </c>
      <c r="DO170">
        <v>10</v>
      </c>
      <c r="DP170">
        <v>0</v>
      </c>
      <c r="DQ170">
        <v>255</v>
      </c>
      <c r="DR170">
        <v>255</v>
      </c>
      <c r="DS170">
        <v>255</v>
      </c>
      <c r="DT170">
        <v>255</v>
      </c>
      <c r="DU170">
        <v>255</v>
      </c>
      <c r="DV170">
        <v>255</v>
      </c>
      <c r="DW170">
        <v>255</v>
      </c>
      <c r="DX170" t="s">
        <v>206</v>
      </c>
      <c r="DY170" t="s">
        <v>206</v>
      </c>
      <c r="DZ170" t="s">
        <v>207</v>
      </c>
      <c r="EA170" t="s">
        <v>198</v>
      </c>
      <c r="EB170" t="s">
        <v>198</v>
      </c>
      <c r="EC170" t="s">
        <v>198</v>
      </c>
      <c r="ED170">
        <v>0</v>
      </c>
      <c r="EE170">
        <v>0</v>
      </c>
      <c r="EF170">
        <v>0</v>
      </c>
      <c r="EG170">
        <v>0</v>
      </c>
      <c r="EH170">
        <v>255</v>
      </c>
      <c r="EI170">
        <v>255</v>
      </c>
      <c r="EJ170">
        <v>255</v>
      </c>
      <c r="EK170">
        <v>255</v>
      </c>
      <c r="EL170">
        <v>255</v>
      </c>
      <c r="EM170">
        <v>255</v>
      </c>
      <c r="EN170">
        <v>255</v>
      </c>
      <c r="EO170">
        <v>255</v>
      </c>
      <c r="EP170">
        <v>255</v>
      </c>
      <c r="EQ170">
        <v>255</v>
      </c>
      <c r="ER170" t="s">
        <v>208</v>
      </c>
      <c r="ES170" t="s">
        <v>209</v>
      </c>
      <c r="ET170" t="s">
        <v>209</v>
      </c>
      <c r="EU170">
        <v>0</v>
      </c>
      <c r="EV170">
        <v>16.2</v>
      </c>
      <c r="EW170">
        <v>-114.7</v>
      </c>
      <c r="EX170">
        <v>-0.2</v>
      </c>
      <c r="EY170">
        <v>0</v>
      </c>
      <c r="EZ170">
        <v>0</v>
      </c>
      <c r="FA170">
        <v>0</v>
      </c>
      <c r="FB170" t="s">
        <v>198</v>
      </c>
      <c r="FC170" t="s">
        <v>198</v>
      </c>
      <c r="FD170" t="s">
        <v>198</v>
      </c>
      <c r="FE170" t="s">
        <v>198</v>
      </c>
      <c r="FF170" t="s">
        <v>198</v>
      </c>
      <c r="FG170" t="s">
        <v>198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 t="s">
        <v>203</v>
      </c>
      <c r="FP170" t="s">
        <v>203</v>
      </c>
      <c r="FQ170" t="s">
        <v>203</v>
      </c>
      <c r="FR170" t="s">
        <v>203</v>
      </c>
      <c r="FS170" t="s">
        <v>203</v>
      </c>
      <c r="FT170" t="s">
        <v>203</v>
      </c>
      <c r="FU170" t="s">
        <v>198</v>
      </c>
      <c r="FV170" t="s">
        <v>198</v>
      </c>
      <c r="FW170" t="s">
        <v>198</v>
      </c>
      <c r="FX170" t="s">
        <v>198</v>
      </c>
      <c r="FY170" t="s">
        <v>198</v>
      </c>
      <c r="FZ170" t="s">
        <v>198</v>
      </c>
      <c r="GA170">
        <v>31.2</v>
      </c>
      <c r="GB170">
        <v>31.2</v>
      </c>
      <c r="GC170" t="s">
        <v>203</v>
      </c>
      <c r="GD170">
        <v>0</v>
      </c>
      <c r="GE170">
        <v>504</v>
      </c>
      <c r="GF170">
        <v>0</v>
      </c>
      <c r="GG170">
        <v>0</v>
      </c>
      <c r="GH170">
        <v>0</v>
      </c>
      <c r="GI170">
        <v>1</v>
      </c>
      <c r="GJ170">
        <v>1</v>
      </c>
      <c r="GK170">
        <v>0</v>
      </c>
      <c r="GL170" t="s">
        <v>198</v>
      </c>
      <c r="GM170" t="s">
        <v>198</v>
      </c>
      <c r="GN170" t="s">
        <v>198</v>
      </c>
    </row>
    <row r="171" spans="1:196">
      <c r="A171" s="19">
        <v>46316.90586045139</v>
      </c>
      <c r="B171">
        <v>0</v>
      </c>
      <c r="C171">
        <v>0</v>
      </c>
      <c r="D171">
        <v>277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584.2</v>
      </c>
      <c r="N171">
        <v>-0.5</v>
      </c>
      <c r="O171">
        <v>0</v>
      </c>
      <c r="P171">
        <v>0</v>
      </c>
      <c r="Q171">
        <v>0</v>
      </c>
      <c r="R171">
        <v>0</v>
      </c>
      <c r="S171">
        <v>115.6</v>
      </c>
      <c r="T171" t="s">
        <v>485</v>
      </c>
      <c r="U171">
        <v>115.7</v>
      </c>
      <c r="V171">
        <v>1762727256586.8</v>
      </c>
      <c r="W171">
        <v>1</v>
      </c>
      <c r="X171" t="s">
        <v>197</v>
      </c>
      <c r="Y171">
        <v>0</v>
      </c>
      <c r="Z171">
        <v>98</v>
      </c>
      <c r="AA171">
        <v>278</v>
      </c>
      <c r="AB171" t="s">
        <v>197</v>
      </c>
      <c r="AC171" t="s">
        <v>198</v>
      </c>
      <c r="AD171" t="s">
        <v>199</v>
      </c>
      <c r="AE171">
        <v>0</v>
      </c>
      <c r="AF171">
        <v>44</v>
      </c>
      <c r="AG171">
        <v>255</v>
      </c>
      <c r="AH171">
        <v>0</v>
      </c>
      <c r="AI171">
        <v>0</v>
      </c>
      <c r="AJ171">
        <v>0</v>
      </c>
      <c r="AK171">
        <v>12.6</v>
      </c>
      <c r="AL171">
        <v>0</v>
      </c>
      <c r="AM171">
        <v>0</v>
      </c>
      <c r="AN171" t="s">
        <v>197</v>
      </c>
      <c r="AO171">
        <v>100</v>
      </c>
      <c r="AP171" t="s">
        <v>197</v>
      </c>
      <c r="AQ171" t="s">
        <v>200</v>
      </c>
      <c r="AR171">
        <v>1</v>
      </c>
      <c r="AS171">
        <v>0</v>
      </c>
      <c r="AT171" t="s">
        <v>517</v>
      </c>
      <c r="AU171" t="s">
        <v>517</v>
      </c>
      <c r="AV171" t="s">
        <v>202</v>
      </c>
      <c r="AW171" t="s">
        <v>203</v>
      </c>
      <c r="AX171" t="s">
        <v>203</v>
      </c>
      <c r="AY171" t="s">
        <v>203</v>
      </c>
      <c r="AZ171" t="s">
        <v>203</v>
      </c>
      <c r="BA171" t="s">
        <v>203</v>
      </c>
      <c r="BB171" t="s">
        <v>203</v>
      </c>
      <c r="BC171" t="s">
        <v>203</v>
      </c>
      <c r="BD171" t="s">
        <v>203</v>
      </c>
      <c r="BE171" t="s">
        <v>203</v>
      </c>
      <c r="BF171">
        <v>0</v>
      </c>
      <c r="BG171">
        <v>0.2</v>
      </c>
      <c r="BH171">
        <v>50</v>
      </c>
      <c r="BI171">
        <v>0</v>
      </c>
      <c r="BJ171" t="s">
        <v>198</v>
      </c>
      <c r="BK171" t="s">
        <v>198</v>
      </c>
      <c r="BL171" t="s">
        <v>198</v>
      </c>
      <c r="BM171" t="s">
        <v>198</v>
      </c>
      <c r="BN171" t="s">
        <v>198</v>
      </c>
      <c r="BO171" t="s">
        <v>198</v>
      </c>
      <c r="BP171" t="s">
        <v>198</v>
      </c>
      <c r="BQ171" t="s">
        <v>198</v>
      </c>
      <c r="BR171" t="s">
        <v>198</v>
      </c>
      <c r="BS171" t="s">
        <v>198</v>
      </c>
      <c r="BT171" t="s">
        <v>198</v>
      </c>
      <c r="BU171" t="s">
        <v>198</v>
      </c>
      <c r="BV171" t="s">
        <v>198</v>
      </c>
      <c r="BW171" t="s">
        <v>198</v>
      </c>
      <c r="BX171" t="s">
        <v>198</v>
      </c>
      <c r="BY171" t="s">
        <v>198</v>
      </c>
      <c r="BZ171" t="s">
        <v>198</v>
      </c>
      <c r="CA171" t="s">
        <v>198</v>
      </c>
      <c r="CB171" t="s">
        <v>204</v>
      </c>
      <c r="CC171" t="s">
        <v>204</v>
      </c>
      <c r="CD171" t="s">
        <v>204</v>
      </c>
      <c r="CE171" t="s">
        <v>204</v>
      </c>
      <c r="CF171" t="s">
        <v>204</v>
      </c>
      <c r="CG171" t="s">
        <v>204</v>
      </c>
      <c r="CH171" t="s">
        <v>204</v>
      </c>
      <c r="CI171" t="s">
        <v>204</v>
      </c>
      <c r="CJ171" t="s">
        <v>204</v>
      </c>
      <c r="CK171" t="s">
        <v>204</v>
      </c>
      <c r="CL171" t="s">
        <v>204</v>
      </c>
      <c r="CM171" t="s">
        <v>204</v>
      </c>
      <c r="CN171" t="s">
        <v>203</v>
      </c>
      <c r="CO171" t="s">
        <v>203</v>
      </c>
      <c r="CP171" t="s">
        <v>203</v>
      </c>
      <c r="CQ171" t="s">
        <v>203</v>
      </c>
      <c r="CR171" t="s">
        <v>203</v>
      </c>
      <c r="CS171" t="s">
        <v>203</v>
      </c>
      <c r="CT171" t="s">
        <v>203</v>
      </c>
      <c r="CU171" t="s">
        <v>203</v>
      </c>
      <c r="CV171">
        <v>0</v>
      </c>
      <c r="CW171">
        <v>0</v>
      </c>
      <c r="CX171" t="s">
        <v>198</v>
      </c>
      <c r="CY171" t="s">
        <v>198</v>
      </c>
      <c r="CZ171" t="s">
        <v>198</v>
      </c>
      <c r="DA171" t="s">
        <v>198</v>
      </c>
      <c r="DB171" t="s">
        <v>198</v>
      </c>
      <c r="DC171">
        <v>0</v>
      </c>
      <c r="DD171">
        <v>0</v>
      </c>
      <c r="DE171">
        <v>0</v>
      </c>
      <c r="DF171">
        <v>0</v>
      </c>
      <c r="DG171">
        <v>-35.3631166</v>
      </c>
      <c r="DH171">
        <v>149.1639735</v>
      </c>
      <c r="DI171" t="s">
        <v>360</v>
      </c>
      <c r="DJ171">
        <v>1.2</v>
      </c>
      <c r="DK171">
        <v>2</v>
      </c>
      <c r="DL171">
        <v>159.8</v>
      </c>
      <c r="DM171">
        <v>0</v>
      </c>
      <c r="DN171">
        <v>6</v>
      </c>
      <c r="DO171">
        <v>10</v>
      </c>
      <c r="DP171">
        <v>0</v>
      </c>
      <c r="DQ171">
        <v>255</v>
      </c>
      <c r="DR171">
        <v>255</v>
      </c>
      <c r="DS171">
        <v>255</v>
      </c>
      <c r="DT171">
        <v>255</v>
      </c>
      <c r="DU171">
        <v>255</v>
      </c>
      <c r="DV171">
        <v>255</v>
      </c>
      <c r="DW171">
        <v>255</v>
      </c>
      <c r="DX171" t="s">
        <v>206</v>
      </c>
      <c r="DY171" t="s">
        <v>206</v>
      </c>
      <c r="DZ171" t="s">
        <v>207</v>
      </c>
      <c r="EA171" t="s">
        <v>198</v>
      </c>
      <c r="EB171" t="s">
        <v>198</v>
      </c>
      <c r="EC171" t="s">
        <v>198</v>
      </c>
      <c r="ED171">
        <v>0</v>
      </c>
      <c r="EE171">
        <v>0</v>
      </c>
      <c r="EF171">
        <v>0</v>
      </c>
      <c r="EG171">
        <v>0</v>
      </c>
      <c r="EH171">
        <v>255</v>
      </c>
      <c r="EI171">
        <v>255</v>
      </c>
      <c r="EJ171">
        <v>255</v>
      </c>
      <c r="EK171">
        <v>255</v>
      </c>
      <c r="EL171">
        <v>255</v>
      </c>
      <c r="EM171">
        <v>255</v>
      </c>
      <c r="EN171">
        <v>255</v>
      </c>
      <c r="EO171">
        <v>255</v>
      </c>
      <c r="EP171">
        <v>255</v>
      </c>
      <c r="EQ171">
        <v>255</v>
      </c>
      <c r="ER171" t="s">
        <v>208</v>
      </c>
      <c r="ES171" t="s">
        <v>209</v>
      </c>
      <c r="ET171" t="s">
        <v>209</v>
      </c>
      <c r="EU171">
        <v>0</v>
      </c>
      <c r="EV171">
        <v>16.2</v>
      </c>
      <c r="EW171">
        <v>-114.7</v>
      </c>
      <c r="EX171">
        <v>-0.2</v>
      </c>
      <c r="EY171">
        <v>0</v>
      </c>
      <c r="EZ171">
        <v>0</v>
      </c>
      <c r="FA171">
        <v>0</v>
      </c>
      <c r="FB171" t="s">
        <v>198</v>
      </c>
      <c r="FC171" t="s">
        <v>198</v>
      </c>
      <c r="FD171" t="s">
        <v>198</v>
      </c>
      <c r="FE171" t="s">
        <v>198</v>
      </c>
      <c r="FF171" t="s">
        <v>198</v>
      </c>
      <c r="FG171" t="s">
        <v>198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 t="s">
        <v>203</v>
      </c>
      <c r="FP171" t="s">
        <v>203</v>
      </c>
      <c r="FQ171" t="s">
        <v>203</v>
      </c>
      <c r="FR171" t="s">
        <v>203</v>
      </c>
      <c r="FS171" t="s">
        <v>203</v>
      </c>
      <c r="FT171" t="s">
        <v>203</v>
      </c>
      <c r="FU171" t="s">
        <v>198</v>
      </c>
      <c r="FV171" t="s">
        <v>198</v>
      </c>
      <c r="FW171" t="s">
        <v>198</v>
      </c>
      <c r="FX171" t="s">
        <v>198</v>
      </c>
      <c r="FY171" t="s">
        <v>198</v>
      </c>
      <c r="FZ171" t="s">
        <v>198</v>
      </c>
      <c r="GA171">
        <v>31.2</v>
      </c>
      <c r="GB171">
        <v>31.2</v>
      </c>
      <c r="GC171" t="s">
        <v>203</v>
      </c>
      <c r="GD171">
        <v>0</v>
      </c>
      <c r="GE171">
        <v>504</v>
      </c>
      <c r="GF171">
        <v>0</v>
      </c>
      <c r="GG171">
        <v>0</v>
      </c>
      <c r="GH171">
        <v>0</v>
      </c>
      <c r="GI171">
        <v>1</v>
      </c>
      <c r="GJ171">
        <v>1</v>
      </c>
      <c r="GK171">
        <v>0</v>
      </c>
      <c r="GL171" t="s">
        <v>198</v>
      </c>
      <c r="GM171" t="s">
        <v>198</v>
      </c>
      <c r="GN171" t="s">
        <v>198</v>
      </c>
    </row>
    <row r="172" spans="1:196">
      <c r="A172" s="19">
        <v>46316.90587202546</v>
      </c>
      <c r="B172">
        <v>0</v>
      </c>
      <c r="C172">
        <v>0</v>
      </c>
      <c r="D172">
        <v>277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584.2</v>
      </c>
      <c r="N172">
        <v>-0.5</v>
      </c>
      <c r="O172">
        <v>0</v>
      </c>
      <c r="P172">
        <v>0</v>
      </c>
      <c r="Q172">
        <v>0</v>
      </c>
      <c r="R172">
        <v>0</v>
      </c>
      <c r="S172">
        <v>115.6</v>
      </c>
      <c r="T172" t="s">
        <v>485</v>
      </c>
      <c r="U172">
        <v>115.7</v>
      </c>
      <c r="V172">
        <v>1762727256586.8</v>
      </c>
      <c r="W172">
        <v>1</v>
      </c>
      <c r="X172" t="s">
        <v>197</v>
      </c>
      <c r="Y172">
        <v>0</v>
      </c>
      <c r="Z172">
        <v>98</v>
      </c>
      <c r="AA172">
        <v>278</v>
      </c>
      <c r="AB172" t="s">
        <v>197</v>
      </c>
      <c r="AC172" t="s">
        <v>198</v>
      </c>
      <c r="AD172" t="s">
        <v>199</v>
      </c>
      <c r="AE172">
        <v>0</v>
      </c>
      <c r="AF172">
        <v>44</v>
      </c>
      <c r="AG172">
        <v>255</v>
      </c>
      <c r="AH172">
        <v>0</v>
      </c>
      <c r="AI172">
        <v>0</v>
      </c>
      <c r="AJ172">
        <v>0</v>
      </c>
      <c r="AK172">
        <v>12.6</v>
      </c>
      <c r="AL172">
        <v>0</v>
      </c>
      <c r="AM172">
        <v>0</v>
      </c>
      <c r="AN172" t="s">
        <v>197</v>
      </c>
      <c r="AO172">
        <v>100</v>
      </c>
      <c r="AP172" t="s">
        <v>197</v>
      </c>
      <c r="AQ172" t="s">
        <v>200</v>
      </c>
      <c r="AR172">
        <v>1</v>
      </c>
      <c r="AS172">
        <v>0</v>
      </c>
      <c r="AT172" t="s">
        <v>518</v>
      </c>
      <c r="AU172" t="s">
        <v>518</v>
      </c>
      <c r="AV172" t="s">
        <v>202</v>
      </c>
      <c r="AW172" t="s">
        <v>203</v>
      </c>
      <c r="AX172" t="s">
        <v>203</v>
      </c>
      <c r="AY172" t="s">
        <v>203</v>
      </c>
      <c r="AZ172" t="s">
        <v>203</v>
      </c>
      <c r="BA172" t="s">
        <v>203</v>
      </c>
      <c r="BB172" t="s">
        <v>203</v>
      </c>
      <c r="BC172" t="s">
        <v>203</v>
      </c>
      <c r="BD172" t="s">
        <v>203</v>
      </c>
      <c r="BE172" t="s">
        <v>203</v>
      </c>
      <c r="BF172">
        <v>0</v>
      </c>
      <c r="BG172">
        <v>0.2</v>
      </c>
      <c r="BH172">
        <v>50</v>
      </c>
      <c r="BI172">
        <v>0</v>
      </c>
      <c r="BJ172" t="s">
        <v>198</v>
      </c>
      <c r="BK172" t="s">
        <v>198</v>
      </c>
      <c r="BL172" t="s">
        <v>198</v>
      </c>
      <c r="BM172" t="s">
        <v>198</v>
      </c>
      <c r="BN172" t="s">
        <v>198</v>
      </c>
      <c r="BO172" t="s">
        <v>198</v>
      </c>
      <c r="BP172" t="s">
        <v>198</v>
      </c>
      <c r="BQ172" t="s">
        <v>198</v>
      </c>
      <c r="BR172" t="s">
        <v>198</v>
      </c>
      <c r="BS172" t="s">
        <v>198</v>
      </c>
      <c r="BT172" t="s">
        <v>198</v>
      </c>
      <c r="BU172" t="s">
        <v>198</v>
      </c>
      <c r="BV172" t="s">
        <v>198</v>
      </c>
      <c r="BW172" t="s">
        <v>198</v>
      </c>
      <c r="BX172" t="s">
        <v>198</v>
      </c>
      <c r="BY172" t="s">
        <v>198</v>
      </c>
      <c r="BZ172" t="s">
        <v>198</v>
      </c>
      <c r="CA172" t="s">
        <v>198</v>
      </c>
      <c r="CB172" t="s">
        <v>204</v>
      </c>
      <c r="CC172" t="s">
        <v>204</v>
      </c>
      <c r="CD172" t="s">
        <v>204</v>
      </c>
      <c r="CE172" t="s">
        <v>204</v>
      </c>
      <c r="CF172" t="s">
        <v>204</v>
      </c>
      <c r="CG172" t="s">
        <v>204</v>
      </c>
      <c r="CH172" t="s">
        <v>204</v>
      </c>
      <c r="CI172" t="s">
        <v>204</v>
      </c>
      <c r="CJ172" t="s">
        <v>204</v>
      </c>
      <c r="CK172" t="s">
        <v>204</v>
      </c>
      <c r="CL172" t="s">
        <v>204</v>
      </c>
      <c r="CM172" t="s">
        <v>204</v>
      </c>
      <c r="CN172" t="s">
        <v>203</v>
      </c>
      <c r="CO172" t="s">
        <v>203</v>
      </c>
      <c r="CP172" t="s">
        <v>203</v>
      </c>
      <c r="CQ172" t="s">
        <v>203</v>
      </c>
      <c r="CR172" t="s">
        <v>203</v>
      </c>
      <c r="CS172" t="s">
        <v>203</v>
      </c>
      <c r="CT172" t="s">
        <v>203</v>
      </c>
      <c r="CU172" t="s">
        <v>203</v>
      </c>
      <c r="CV172">
        <v>0</v>
      </c>
      <c r="CW172">
        <v>0</v>
      </c>
      <c r="CX172" t="s">
        <v>198</v>
      </c>
      <c r="CY172" t="s">
        <v>198</v>
      </c>
      <c r="CZ172" t="s">
        <v>198</v>
      </c>
      <c r="DA172" t="s">
        <v>198</v>
      </c>
      <c r="DB172" t="s">
        <v>198</v>
      </c>
      <c r="DC172">
        <v>0</v>
      </c>
      <c r="DD172">
        <v>0</v>
      </c>
      <c r="DE172">
        <v>0</v>
      </c>
      <c r="DF172">
        <v>0</v>
      </c>
      <c r="DG172">
        <v>-35.3631166</v>
      </c>
      <c r="DH172">
        <v>149.1639735</v>
      </c>
      <c r="DI172" t="s">
        <v>360</v>
      </c>
      <c r="DJ172">
        <v>1.2</v>
      </c>
      <c r="DK172">
        <v>2</v>
      </c>
      <c r="DL172">
        <v>159.8</v>
      </c>
      <c r="DM172">
        <v>0</v>
      </c>
      <c r="DN172">
        <v>6</v>
      </c>
      <c r="DO172">
        <v>10</v>
      </c>
      <c r="DP172">
        <v>0</v>
      </c>
      <c r="DQ172">
        <v>255</v>
      </c>
      <c r="DR172">
        <v>255</v>
      </c>
      <c r="DS172">
        <v>255</v>
      </c>
      <c r="DT172">
        <v>255</v>
      </c>
      <c r="DU172">
        <v>255</v>
      </c>
      <c r="DV172">
        <v>255</v>
      </c>
      <c r="DW172">
        <v>255</v>
      </c>
      <c r="DX172" t="s">
        <v>206</v>
      </c>
      <c r="DY172" t="s">
        <v>206</v>
      </c>
      <c r="DZ172" t="s">
        <v>207</v>
      </c>
      <c r="EA172" t="s">
        <v>198</v>
      </c>
      <c r="EB172" t="s">
        <v>198</v>
      </c>
      <c r="EC172" t="s">
        <v>198</v>
      </c>
      <c r="ED172">
        <v>0</v>
      </c>
      <c r="EE172">
        <v>0</v>
      </c>
      <c r="EF172">
        <v>0</v>
      </c>
      <c r="EG172">
        <v>0</v>
      </c>
      <c r="EH172">
        <v>255</v>
      </c>
      <c r="EI172">
        <v>255</v>
      </c>
      <c r="EJ172">
        <v>255</v>
      </c>
      <c r="EK172">
        <v>255</v>
      </c>
      <c r="EL172">
        <v>255</v>
      </c>
      <c r="EM172">
        <v>255</v>
      </c>
      <c r="EN172">
        <v>255</v>
      </c>
      <c r="EO172">
        <v>255</v>
      </c>
      <c r="EP172">
        <v>255</v>
      </c>
      <c r="EQ172">
        <v>255</v>
      </c>
      <c r="ER172" t="s">
        <v>208</v>
      </c>
      <c r="ES172" t="s">
        <v>209</v>
      </c>
      <c r="ET172" t="s">
        <v>209</v>
      </c>
      <c r="EU172">
        <v>0</v>
      </c>
      <c r="EV172">
        <v>16.2</v>
      </c>
      <c r="EW172">
        <v>-114.7</v>
      </c>
      <c r="EX172">
        <v>-0.2</v>
      </c>
      <c r="EY172">
        <v>0</v>
      </c>
      <c r="EZ172">
        <v>0</v>
      </c>
      <c r="FA172">
        <v>0</v>
      </c>
      <c r="FB172" t="s">
        <v>198</v>
      </c>
      <c r="FC172" t="s">
        <v>198</v>
      </c>
      <c r="FD172" t="s">
        <v>198</v>
      </c>
      <c r="FE172" t="s">
        <v>198</v>
      </c>
      <c r="FF172" t="s">
        <v>198</v>
      </c>
      <c r="FG172" t="s">
        <v>198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203</v>
      </c>
      <c r="FP172" t="s">
        <v>203</v>
      </c>
      <c r="FQ172" t="s">
        <v>203</v>
      </c>
      <c r="FR172" t="s">
        <v>203</v>
      </c>
      <c r="FS172" t="s">
        <v>203</v>
      </c>
      <c r="FT172" t="s">
        <v>203</v>
      </c>
      <c r="FU172" t="s">
        <v>198</v>
      </c>
      <c r="FV172" t="s">
        <v>198</v>
      </c>
      <c r="FW172" t="s">
        <v>198</v>
      </c>
      <c r="FX172" t="s">
        <v>198</v>
      </c>
      <c r="FY172" t="s">
        <v>198</v>
      </c>
      <c r="FZ172" t="s">
        <v>198</v>
      </c>
      <c r="GA172">
        <v>31.2</v>
      </c>
      <c r="GB172">
        <v>31.2</v>
      </c>
      <c r="GC172" t="s">
        <v>203</v>
      </c>
      <c r="GD172">
        <v>0</v>
      </c>
      <c r="GE172">
        <v>504</v>
      </c>
      <c r="GF172">
        <v>0</v>
      </c>
      <c r="GG172">
        <v>0</v>
      </c>
      <c r="GH172">
        <v>0</v>
      </c>
      <c r="GI172">
        <v>1</v>
      </c>
      <c r="GJ172">
        <v>1</v>
      </c>
      <c r="GK172">
        <v>0</v>
      </c>
      <c r="GL172" t="s">
        <v>198</v>
      </c>
      <c r="GM172" t="s">
        <v>198</v>
      </c>
      <c r="GN172" t="s">
        <v>198</v>
      </c>
    </row>
    <row r="173" spans="1:196">
      <c r="A173" s="19">
        <v>46316.90588359954</v>
      </c>
      <c r="B173">
        <v>0</v>
      </c>
      <c r="C173">
        <v>0</v>
      </c>
      <c r="D173">
        <v>277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584.2</v>
      </c>
      <c r="N173">
        <v>-0.5</v>
      </c>
      <c r="O173">
        <v>0</v>
      </c>
      <c r="P173">
        <v>0</v>
      </c>
      <c r="Q173">
        <v>0</v>
      </c>
      <c r="R173">
        <v>0</v>
      </c>
      <c r="S173">
        <v>115.6</v>
      </c>
      <c r="T173" t="s">
        <v>485</v>
      </c>
      <c r="U173">
        <v>115.7</v>
      </c>
      <c r="V173">
        <v>1762727256586.8</v>
      </c>
      <c r="W173">
        <v>1</v>
      </c>
      <c r="X173" t="s">
        <v>197</v>
      </c>
      <c r="Y173">
        <v>0</v>
      </c>
      <c r="Z173">
        <v>98</v>
      </c>
      <c r="AA173">
        <v>278</v>
      </c>
      <c r="AB173" t="s">
        <v>197</v>
      </c>
      <c r="AC173" t="s">
        <v>198</v>
      </c>
      <c r="AD173" t="s">
        <v>199</v>
      </c>
      <c r="AE173">
        <v>0</v>
      </c>
      <c r="AF173">
        <v>44</v>
      </c>
      <c r="AG173">
        <v>255</v>
      </c>
      <c r="AH173">
        <v>0</v>
      </c>
      <c r="AI173">
        <v>0</v>
      </c>
      <c r="AJ173">
        <v>0</v>
      </c>
      <c r="AK173">
        <v>12.6</v>
      </c>
      <c r="AL173">
        <v>0</v>
      </c>
      <c r="AM173">
        <v>0</v>
      </c>
      <c r="AN173" t="s">
        <v>197</v>
      </c>
      <c r="AO173">
        <v>100</v>
      </c>
      <c r="AP173" t="s">
        <v>197</v>
      </c>
      <c r="AQ173" t="s">
        <v>200</v>
      </c>
      <c r="AR173">
        <v>1</v>
      </c>
      <c r="AS173">
        <v>0</v>
      </c>
      <c r="AT173" t="s">
        <v>519</v>
      </c>
      <c r="AU173" t="s">
        <v>519</v>
      </c>
      <c r="AV173" t="s">
        <v>202</v>
      </c>
      <c r="AW173" t="s">
        <v>203</v>
      </c>
      <c r="AX173" t="s">
        <v>203</v>
      </c>
      <c r="AY173" t="s">
        <v>203</v>
      </c>
      <c r="AZ173" t="s">
        <v>203</v>
      </c>
      <c r="BA173" t="s">
        <v>203</v>
      </c>
      <c r="BB173" t="s">
        <v>203</v>
      </c>
      <c r="BC173" t="s">
        <v>203</v>
      </c>
      <c r="BD173" t="s">
        <v>203</v>
      </c>
      <c r="BE173" t="s">
        <v>203</v>
      </c>
      <c r="BF173">
        <v>0</v>
      </c>
      <c r="BG173">
        <v>0.2</v>
      </c>
      <c r="BH173">
        <v>50</v>
      </c>
      <c r="BI173">
        <v>0</v>
      </c>
      <c r="BJ173" t="s">
        <v>198</v>
      </c>
      <c r="BK173" t="s">
        <v>198</v>
      </c>
      <c r="BL173" t="s">
        <v>198</v>
      </c>
      <c r="BM173" t="s">
        <v>198</v>
      </c>
      <c r="BN173" t="s">
        <v>198</v>
      </c>
      <c r="BO173" t="s">
        <v>198</v>
      </c>
      <c r="BP173" t="s">
        <v>198</v>
      </c>
      <c r="BQ173" t="s">
        <v>198</v>
      </c>
      <c r="BR173" t="s">
        <v>198</v>
      </c>
      <c r="BS173" t="s">
        <v>198</v>
      </c>
      <c r="BT173" t="s">
        <v>198</v>
      </c>
      <c r="BU173" t="s">
        <v>198</v>
      </c>
      <c r="BV173" t="s">
        <v>198</v>
      </c>
      <c r="BW173" t="s">
        <v>198</v>
      </c>
      <c r="BX173" t="s">
        <v>198</v>
      </c>
      <c r="BY173" t="s">
        <v>198</v>
      </c>
      <c r="BZ173" t="s">
        <v>198</v>
      </c>
      <c r="CA173" t="s">
        <v>198</v>
      </c>
      <c r="CB173" t="s">
        <v>204</v>
      </c>
      <c r="CC173" t="s">
        <v>204</v>
      </c>
      <c r="CD173" t="s">
        <v>204</v>
      </c>
      <c r="CE173" t="s">
        <v>204</v>
      </c>
      <c r="CF173" t="s">
        <v>204</v>
      </c>
      <c r="CG173" t="s">
        <v>204</v>
      </c>
      <c r="CH173" t="s">
        <v>204</v>
      </c>
      <c r="CI173" t="s">
        <v>204</v>
      </c>
      <c r="CJ173" t="s">
        <v>204</v>
      </c>
      <c r="CK173" t="s">
        <v>204</v>
      </c>
      <c r="CL173" t="s">
        <v>204</v>
      </c>
      <c r="CM173" t="s">
        <v>204</v>
      </c>
      <c r="CN173" t="s">
        <v>203</v>
      </c>
      <c r="CO173" t="s">
        <v>203</v>
      </c>
      <c r="CP173" t="s">
        <v>203</v>
      </c>
      <c r="CQ173" t="s">
        <v>203</v>
      </c>
      <c r="CR173" t="s">
        <v>203</v>
      </c>
      <c r="CS173" t="s">
        <v>203</v>
      </c>
      <c r="CT173" t="s">
        <v>203</v>
      </c>
      <c r="CU173" t="s">
        <v>203</v>
      </c>
      <c r="CV173">
        <v>0</v>
      </c>
      <c r="CW173">
        <v>0</v>
      </c>
      <c r="CX173" t="s">
        <v>198</v>
      </c>
      <c r="CY173" t="s">
        <v>198</v>
      </c>
      <c r="CZ173" t="s">
        <v>198</v>
      </c>
      <c r="DA173" t="s">
        <v>198</v>
      </c>
      <c r="DB173" t="s">
        <v>198</v>
      </c>
      <c r="DC173">
        <v>0</v>
      </c>
      <c r="DD173">
        <v>0</v>
      </c>
      <c r="DE173">
        <v>0</v>
      </c>
      <c r="DF173">
        <v>0</v>
      </c>
      <c r="DG173">
        <v>-35.3631166</v>
      </c>
      <c r="DH173">
        <v>149.1639735</v>
      </c>
      <c r="DI173" t="s">
        <v>360</v>
      </c>
      <c r="DJ173">
        <v>1.2</v>
      </c>
      <c r="DK173">
        <v>2</v>
      </c>
      <c r="DL173">
        <v>159.8</v>
      </c>
      <c r="DM173">
        <v>0</v>
      </c>
      <c r="DN173">
        <v>6</v>
      </c>
      <c r="DO173">
        <v>10</v>
      </c>
      <c r="DP173">
        <v>0</v>
      </c>
      <c r="DQ173">
        <v>255</v>
      </c>
      <c r="DR173">
        <v>255</v>
      </c>
      <c r="DS173">
        <v>255</v>
      </c>
      <c r="DT173">
        <v>255</v>
      </c>
      <c r="DU173">
        <v>255</v>
      </c>
      <c r="DV173">
        <v>255</v>
      </c>
      <c r="DW173">
        <v>255</v>
      </c>
      <c r="DX173" t="s">
        <v>206</v>
      </c>
      <c r="DY173" t="s">
        <v>206</v>
      </c>
      <c r="DZ173" t="s">
        <v>207</v>
      </c>
      <c r="EA173" t="s">
        <v>198</v>
      </c>
      <c r="EB173" t="s">
        <v>198</v>
      </c>
      <c r="EC173" t="s">
        <v>198</v>
      </c>
      <c r="ED173">
        <v>0</v>
      </c>
      <c r="EE173">
        <v>0</v>
      </c>
      <c r="EF173">
        <v>0</v>
      </c>
      <c r="EG173">
        <v>0</v>
      </c>
      <c r="EH173">
        <v>255</v>
      </c>
      <c r="EI173">
        <v>255</v>
      </c>
      <c r="EJ173">
        <v>255</v>
      </c>
      <c r="EK173">
        <v>255</v>
      </c>
      <c r="EL173">
        <v>255</v>
      </c>
      <c r="EM173">
        <v>255</v>
      </c>
      <c r="EN173">
        <v>255</v>
      </c>
      <c r="EO173">
        <v>255</v>
      </c>
      <c r="EP173">
        <v>255</v>
      </c>
      <c r="EQ173">
        <v>255</v>
      </c>
      <c r="ER173" t="s">
        <v>208</v>
      </c>
      <c r="ES173" t="s">
        <v>209</v>
      </c>
      <c r="ET173" t="s">
        <v>209</v>
      </c>
      <c r="EU173">
        <v>0</v>
      </c>
      <c r="EV173">
        <v>16.2</v>
      </c>
      <c r="EW173">
        <v>-114.7</v>
      </c>
      <c r="EX173">
        <v>-0.2</v>
      </c>
      <c r="EY173">
        <v>0</v>
      </c>
      <c r="EZ173">
        <v>0</v>
      </c>
      <c r="FA173">
        <v>0</v>
      </c>
      <c r="FB173" t="s">
        <v>198</v>
      </c>
      <c r="FC173" t="s">
        <v>198</v>
      </c>
      <c r="FD173" t="s">
        <v>198</v>
      </c>
      <c r="FE173" t="s">
        <v>198</v>
      </c>
      <c r="FF173" t="s">
        <v>198</v>
      </c>
      <c r="FG173" t="s">
        <v>198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 t="s">
        <v>203</v>
      </c>
      <c r="FP173" t="s">
        <v>203</v>
      </c>
      <c r="FQ173" t="s">
        <v>203</v>
      </c>
      <c r="FR173" t="s">
        <v>203</v>
      </c>
      <c r="FS173" t="s">
        <v>203</v>
      </c>
      <c r="FT173" t="s">
        <v>203</v>
      </c>
      <c r="FU173" t="s">
        <v>198</v>
      </c>
      <c r="FV173" t="s">
        <v>198</v>
      </c>
      <c r="FW173" t="s">
        <v>198</v>
      </c>
      <c r="FX173" t="s">
        <v>198</v>
      </c>
      <c r="FY173" t="s">
        <v>198</v>
      </c>
      <c r="FZ173" t="s">
        <v>198</v>
      </c>
      <c r="GA173">
        <v>31.2</v>
      </c>
      <c r="GB173">
        <v>31.2</v>
      </c>
      <c r="GC173" t="s">
        <v>203</v>
      </c>
      <c r="GD173">
        <v>0</v>
      </c>
      <c r="GE173">
        <v>504</v>
      </c>
      <c r="GF173">
        <v>0</v>
      </c>
      <c r="GG173">
        <v>0</v>
      </c>
      <c r="GH173">
        <v>0</v>
      </c>
      <c r="GI173">
        <v>1</v>
      </c>
      <c r="GJ173">
        <v>1</v>
      </c>
      <c r="GK173">
        <v>0</v>
      </c>
      <c r="GL173" t="s">
        <v>198</v>
      </c>
      <c r="GM173" t="s">
        <v>198</v>
      </c>
      <c r="GN173" t="s">
        <v>198</v>
      </c>
    </row>
    <row r="174" spans="1:196">
      <c r="A174" s="19">
        <v>46316.90589516204</v>
      </c>
      <c r="B174">
        <v>0</v>
      </c>
      <c r="C174">
        <v>0</v>
      </c>
      <c r="D174">
        <v>277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584.2</v>
      </c>
      <c r="N174">
        <v>-0.5</v>
      </c>
      <c r="O174">
        <v>0</v>
      </c>
      <c r="P174">
        <v>0</v>
      </c>
      <c r="Q174">
        <v>0</v>
      </c>
      <c r="R174">
        <v>0</v>
      </c>
      <c r="S174">
        <v>115.6</v>
      </c>
      <c r="T174" t="s">
        <v>485</v>
      </c>
      <c r="U174">
        <v>115.7</v>
      </c>
      <c r="V174">
        <v>1762727256586.8</v>
      </c>
      <c r="W174">
        <v>1</v>
      </c>
      <c r="X174" t="s">
        <v>197</v>
      </c>
      <c r="Y174">
        <v>0</v>
      </c>
      <c r="Z174">
        <v>98</v>
      </c>
      <c r="AA174">
        <v>278</v>
      </c>
      <c r="AB174" t="s">
        <v>197</v>
      </c>
      <c r="AC174" t="s">
        <v>198</v>
      </c>
      <c r="AD174" t="s">
        <v>199</v>
      </c>
      <c r="AE174">
        <v>0</v>
      </c>
      <c r="AF174">
        <v>44</v>
      </c>
      <c r="AG174">
        <v>255</v>
      </c>
      <c r="AH174">
        <v>0</v>
      </c>
      <c r="AI174">
        <v>0</v>
      </c>
      <c r="AJ174">
        <v>0</v>
      </c>
      <c r="AK174">
        <v>12.6</v>
      </c>
      <c r="AL174">
        <v>0</v>
      </c>
      <c r="AM174">
        <v>0</v>
      </c>
      <c r="AN174" t="s">
        <v>197</v>
      </c>
      <c r="AO174">
        <v>100</v>
      </c>
      <c r="AP174" t="s">
        <v>197</v>
      </c>
      <c r="AQ174" t="s">
        <v>200</v>
      </c>
      <c r="AR174">
        <v>1</v>
      </c>
      <c r="AS174">
        <v>0</v>
      </c>
      <c r="AT174" t="s">
        <v>520</v>
      </c>
      <c r="AU174" t="s">
        <v>520</v>
      </c>
      <c r="AV174" t="s">
        <v>202</v>
      </c>
      <c r="AW174" t="s">
        <v>203</v>
      </c>
      <c r="AX174" t="s">
        <v>203</v>
      </c>
      <c r="AY174" t="s">
        <v>203</v>
      </c>
      <c r="AZ174" t="s">
        <v>203</v>
      </c>
      <c r="BA174" t="s">
        <v>203</v>
      </c>
      <c r="BB174" t="s">
        <v>203</v>
      </c>
      <c r="BC174" t="s">
        <v>203</v>
      </c>
      <c r="BD174" t="s">
        <v>203</v>
      </c>
      <c r="BE174" t="s">
        <v>203</v>
      </c>
      <c r="BF174">
        <v>0</v>
      </c>
      <c r="BG174">
        <v>0.2</v>
      </c>
      <c r="BH174">
        <v>50</v>
      </c>
      <c r="BI174">
        <v>0</v>
      </c>
      <c r="BJ174" t="s">
        <v>198</v>
      </c>
      <c r="BK174" t="s">
        <v>198</v>
      </c>
      <c r="BL174" t="s">
        <v>198</v>
      </c>
      <c r="BM174" t="s">
        <v>198</v>
      </c>
      <c r="BN174" t="s">
        <v>198</v>
      </c>
      <c r="BO174" t="s">
        <v>198</v>
      </c>
      <c r="BP174" t="s">
        <v>198</v>
      </c>
      <c r="BQ174" t="s">
        <v>198</v>
      </c>
      <c r="BR174" t="s">
        <v>198</v>
      </c>
      <c r="BS174" t="s">
        <v>198</v>
      </c>
      <c r="BT174" t="s">
        <v>198</v>
      </c>
      <c r="BU174" t="s">
        <v>198</v>
      </c>
      <c r="BV174" t="s">
        <v>198</v>
      </c>
      <c r="BW174" t="s">
        <v>198</v>
      </c>
      <c r="BX174" t="s">
        <v>198</v>
      </c>
      <c r="BY174" t="s">
        <v>198</v>
      </c>
      <c r="BZ174" t="s">
        <v>198</v>
      </c>
      <c r="CA174" t="s">
        <v>198</v>
      </c>
      <c r="CB174" t="s">
        <v>204</v>
      </c>
      <c r="CC174" t="s">
        <v>204</v>
      </c>
      <c r="CD174" t="s">
        <v>204</v>
      </c>
      <c r="CE174" t="s">
        <v>204</v>
      </c>
      <c r="CF174" t="s">
        <v>204</v>
      </c>
      <c r="CG174" t="s">
        <v>204</v>
      </c>
      <c r="CH174" t="s">
        <v>204</v>
      </c>
      <c r="CI174" t="s">
        <v>204</v>
      </c>
      <c r="CJ174" t="s">
        <v>204</v>
      </c>
      <c r="CK174" t="s">
        <v>204</v>
      </c>
      <c r="CL174" t="s">
        <v>204</v>
      </c>
      <c r="CM174" t="s">
        <v>204</v>
      </c>
      <c r="CN174" t="s">
        <v>203</v>
      </c>
      <c r="CO174" t="s">
        <v>203</v>
      </c>
      <c r="CP174" t="s">
        <v>203</v>
      </c>
      <c r="CQ174" t="s">
        <v>203</v>
      </c>
      <c r="CR174" t="s">
        <v>203</v>
      </c>
      <c r="CS174" t="s">
        <v>203</v>
      </c>
      <c r="CT174" t="s">
        <v>203</v>
      </c>
      <c r="CU174" t="s">
        <v>203</v>
      </c>
      <c r="CV174">
        <v>0</v>
      </c>
      <c r="CW174">
        <v>0</v>
      </c>
      <c r="CX174" t="s">
        <v>198</v>
      </c>
      <c r="CY174" t="s">
        <v>198</v>
      </c>
      <c r="CZ174" t="s">
        <v>198</v>
      </c>
      <c r="DA174" t="s">
        <v>198</v>
      </c>
      <c r="DB174" t="s">
        <v>198</v>
      </c>
      <c r="DC174">
        <v>0</v>
      </c>
      <c r="DD174">
        <v>0</v>
      </c>
      <c r="DE174">
        <v>0</v>
      </c>
      <c r="DF174">
        <v>0</v>
      </c>
      <c r="DG174">
        <v>-35.3631166</v>
      </c>
      <c r="DH174">
        <v>149.1639735</v>
      </c>
      <c r="DI174" t="s">
        <v>360</v>
      </c>
      <c r="DJ174">
        <v>1.2</v>
      </c>
      <c r="DK174">
        <v>2</v>
      </c>
      <c r="DL174">
        <v>159.8</v>
      </c>
      <c r="DM174">
        <v>0</v>
      </c>
      <c r="DN174">
        <v>6</v>
      </c>
      <c r="DO174">
        <v>10</v>
      </c>
      <c r="DP174">
        <v>0</v>
      </c>
      <c r="DQ174">
        <v>255</v>
      </c>
      <c r="DR174">
        <v>255</v>
      </c>
      <c r="DS174">
        <v>255</v>
      </c>
      <c r="DT174">
        <v>255</v>
      </c>
      <c r="DU174">
        <v>255</v>
      </c>
      <c r="DV174">
        <v>255</v>
      </c>
      <c r="DW174">
        <v>255</v>
      </c>
      <c r="DX174" t="s">
        <v>206</v>
      </c>
      <c r="DY174" t="s">
        <v>206</v>
      </c>
      <c r="DZ174" t="s">
        <v>207</v>
      </c>
      <c r="EA174" t="s">
        <v>198</v>
      </c>
      <c r="EB174" t="s">
        <v>198</v>
      </c>
      <c r="EC174" t="s">
        <v>198</v>
      </c>
      <c r="ED174">
        <v>0</v>
      </c>
      <c r="EE174">
        <v>0</v>
      </c>
      <c r="EF174">
        <v>0</v>
      </c>
      <c r="EG174">
        <v>0</v>
      </c>
      <c r="EH174">
        <v>255</v>
      </c>
      <c r="EI174">
        <v>255</v>
      </c>
      <c r="EJ174">
        <v>255</v>
      </c>
      <c r="EK174">
        <v>255</v>
      </c>
      <c r="EL174">
        <v>255</v>
      </c>
      <c r="EM174">
        <v>255</v>
      </c>
      <c r="EN174">
        <v>255</v>
      </c>
      <c r="EO174">
        <v>255</v>
      </c>
      <c r="EP174">
        <v>255</v>
      </c>
      <c r="EQ174">
        <v>255</v>
      </c>
      <c r="ER174" t="s">
        <v>208</v>
      </c>
      <c r="ES174" t="s">
        <v>209</v>
      </c>
      <c r="ET174" t="s">
        <v>209</v>
      </c>
      <c r="EU174">
        <v>0</v>
      </c>
      <c r="EV174">
        <v>16.2</v>
      </c>
      <c r="EW174">
        <v>-114.7</v>
      </c>
      <c r="EX174">
        <v>-0.2</v>
      </c>
      <c r="EY174">
        <v>0</v>
      </c>
      <c r="EZ174">
        <v>0</v>
      </c>
      <c r="FA174">
        <v>0</v>
      </c>
      <c r="FB174" t="s">
        <v>198</v>
      </c>
      <c r="FC174" t="s">
        <v>198</v>
      </c>
      <c r="FD174" t="s">
        <v>198</v>
      </c>
      <c r="FE174" t="s">
        <v>198</v>
      </c>
      <c r="FF174" t="s">
        <v>198</v>
      </c>
      <c r="FG174" t="s">
        <v>198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 t="s">
        <v>203</v>
      </c>
      <c r="FP174" t="s">
        <v>203</v>
      </c>
      <c r="FQ174" t="s">
        <v>203</v>
      </c>
      <c r="FR174" t="s">
        <v>203</v>
      </c>
      <c r="FS174" t="s">
        <v>203</v>
      </c>
      <c r="FT174" t="s">
        <v>203</v>
      </c>
      <c r="FU174" t="s">
        <v>198</v>
      </c>
      <c r="FV174" t="s">
        <v>198</v>
      </c>
      <c r="FW174" t="s">
        <v>198</v>
      </c>
      <c r="FX174" t="s">
        <v>198</v>
      </c>
      <c r="FY174" t="s">
        <v>198</v>
      </c>
      <c r="FZ174" t="s">
        <v>198</v>
      </c>
      <c r="GA174">
        <v>31.2</v>
      </c>
      <c r="GB174">
        <v>31.2</v>
      </c>
      <c r="GC174" t="s">
        <v>203</v>
      </c>
      <c r="GD174">
        <v>0</v>
      </c>
      <c r="GE174">
        <v>504</v>
      </c>
      <c r="GF174">
        <v>0</v>
      </c>
      <c r="GG174">
        <v>0</v>
      </c>
      <c r="GH174">
        <v>0</v>
      </c>
      <c r="GI174">
        <v>1</v>
      </c>
      <c r="GJ174">
        <v>1</v>
      </c>
      <c r="GK174">
        <v>0</v>
      </c>
      <c r="GL174" t="s">
        <v>198</v>
      </c>
      <c r="GM174" t="s">
        <v>198</v>
      </c>
      <c r="GN174" t="s">
        <v>198</v>
      </c>
    </row>
    <row r="175" spans="1:196">
      <c r="A175" s="19">
        <v>46316.90590673611</v>
      </c>
      <c r="B175">
        <v>0</v>
      </c>
      <c r="C175">
        <v>0</v>
      </c>
      <c r="D175">
        <v>277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584.2</v>
      </c>
      <c r="N175">
        <v>-0.5</v>
      </c>
      <c r="O175">
        <v>0</v>
      </c>
      <c r="P175">
        <v>0</v>
      </c>
      <c r="Q175">
        <v>0</v>
      </c>
      <c r="R175">
        <v>0</v>
      </c>
      <c r="S175">
        <v>115.6</v>
      </c>
      <c r="T175" t="s">
        <v>485</v>
      </c>
      <c r="U175">
        <v>115.7</v>
      </c>
      <c r="V175">
        <v>1762727256586.8</v>
      </c>
      <c r="W175">
        <v>1</v>
      </c>
      <c r="X175" t="s">
        <v>197</v>
      </c>
      <c r="Y175">
        <v>0</v>
      </c>
      <c r="Z175">
        <v>98</v>
      </c>
      <c r="AA175">
        <v>278</v>
      </c>
      <c r="AB175" t="s">
        <v>197</v>
      </c>
      <c r="AC175" t="s">
        <v>198</v>
      </c>
      <c r="AD175" t="s">
        <v>199</v>
      </c>
      <c r="AE175">
        <v>0</v>
      </c>
      <c r="AF175">
        <v>44</v>
      </c>
      <c r="AG175">
        <v>255</v>
      </c>
      <c r="AH175">
        <v>0</v>
      </c>
      <c r="AI175">
        <v>0</v>
      </c>
      <c r="AJ175">
        <v>0</v>
      </c>
      <c r="AK175">
        <v>12.6</v>
      </c>
      <c r="AL175">
        <v>0</v>
      </c>
      <c r="AM175">
        <v>0</v>
      </c>
      <c r="AN175" t="s">
        <v>197</v>
      </c>
      <c r="AO175">
        <v>100</v>
      </c>
      <c r="AP175" t="s">
        <v>197</v>
      </c>
      <c r="AQ175" t="s">
        <v>200</v>
      </c>
      <c r="AR175">
        <v>1</v>
      </c>
      <c r="AS175">
        <v>0</v>
      </c>
      <c r="AT175" t="s">
        <v>521</v>
      </c>
      <c r="AU175" t="s">
        <v>521</v>
      </c>
      <c r="AV175" t="s">
        <v>202</v>
      </c>
      <c r="AW175" t="s">
        <v>203</v>
      </c>
      <c r="AX175" t="s">
        <v>203</v>
      </c>
      <c r="AY175" t="s">
        <v>203</v>
      </c>
      <c r="AZ175" t="s">
        <v>203</v>
      </c>
      <c r="BA175" t="s">
        <v>203</v>
      </c>
      <c r="BB175" t="s">
        <v>203</v>
      </c>
      <c r="BC175" t="s">
        <v>203</v>
      </c>
      <c r="BD175" t="s">
        <v>203</v>
      </c>
      <c r="BE175" t="s">
        <v>203</v>
      </c>
      <c r="BF175">
        <v>0</v>
      </c>
      <c r="BG175">
        <v>0.2</v>
      </c>
      <c r="BH175">
        <v>50</v>
      </c>
      <c r="BI175">
        <v>0</v>
      </c>
      <c r="BJ175" t="s">
        <v>198</v>
      </c>
      <c r="BK175" t="s">
        <v>198</v>
      </c>
      <c r="BL175" t="s">
        <v>198</v>
      </c>
      <c r="BM175" t="s">
        <v>198</v>
      </c>
      <c r="BN175" t="s">
        <v>198</v>
      </c>
      <c r="BO175" t="s">
        <v>198</v>
      </c>
      <c r="BP175" t="s">
        <v>198</v>
      </c>
      <c r="BQ175" t="s">
        <v>198</v>
      </c>
      <c r="BR175" t="s">
        <v>198</v>
      </c>
      <c r="BS175" t="s">
        <v>198</v>
      </c>
      <c r="BT175" t="s">
        <v>198</v>
      </c>
      <c r="BU175" t="s">
        <v>198</v>
      </c>
      <c r="BV175" t="s">
        <v>198</v>
      </c>
      <c r="BW175" t="s">
        <v>198</v>
      </c>
      <c r="BX175" t="s">
        <v>198</v>
      </c>
      <c r="BY175" t="s">
        <v>198</v>
      </c>
      <c r="BZ175" t="s">
        <v>198</v>
      </c>
      <c r="CA175" t="s">
        <v>198</v>
      </c>
      <c r="CB175" t="s">
        <v>204</v>
      </c>
      <c r="CC175" t="s">
        <v>204</v>
      </c>
      <c r="CD175" t="s">
        <v>204</v>
      </c>
      <c r="CE175" t="s">
        <v>204</v>
      </c>
      <c r="CF175" t="s">
        <v>204</v>
      </c>
      <c r="CG175" t="s">
        <v>204</v>
      </c>
      <c r="CH175" t="s">
        <v>204</v>
      </c>
      <c r="CI175" t="s">
        <v>204</v>
      </c>
      <c r="CJ175" t="s">
        <v>204</v>
      </c>
      <c r="CK175" t="s">
        <v>204</v>
      </c>
      <c r="CL175" t="s">
        <v>204</v>
      </c>
      <c r="CM175" t="s">
        <v>204</v>
      </c>
      <c r="CN175" t="s">
        <v>203</v>
      </c>
      <c r="CO175" t="s">
        <v>203</v>
      </c>
      <c r="CP175" t="s">
        <v>203</v>
      </c>
      <c r="CQ175" t="s">
        <v>203</v>
      </c>
      <c r="CR175" t="s">
        <v>203</v>
      </c>
      <c r="CS175" t="s">
        <v>203</v>
      </c>
      <c r="CT175" t="s">
        <v>203</v>
      </c>
      <c r="CU175" t="s">
        <v>203</v>
      </c>
      <c r="CV175">
        <v>0</v>
      </c>
      <c r="CW175">
        <v>0</v>
      </c>
      <c r="CX175" t="s">
        <v>198</v>
      </c>
      <c r="CY175" t="s">
        <v>198</v>
      </c>
      <c r="CZ175" t="s">
        <v>198</v>
      </c>
      <c r="DA175" t="s">
        <v>198</v>
      </c>
      <c r="DB175" t="s">
        <v>198</v>
      </c>
      <c r="DC175">
        <v>0</v>
      </c>
      <c r="DD175">
        <v>0</v>
      </c>
      <c r="DE175">
        <v>0</v>
      </c>
      <c r="DF175">
        <v>0</v>
      </c>
      <c r="DG175">
        <v>-35.3631166</v>
      </c>
      <c r="DH175">
        <v>149.1639735</v>
      </c>
      <c r="DI175" t="s">
        <v>360</v>
      </c>
      <c r="DJ175">
        <v>1.2</v>
      </c>
      <c r="DK175">
        <v>2</v>
      </c>
      <c r="DL175">
        <v>159.8</v>
      </c>
      <c r="DM175">
        <v>0</v>
      </c>
      <c r="DN175">
        <v>6</v>
      </c>
      <c r="DO175">
        <v>10</v>
      </c>
      <c r="DP175">
        <v>0</v>
      </c>
      <c r="DQ175">
        <v>255</v>
      </c>
      <c r="DR175">
        <v>255</v>
      </c>
      <c r="DS175">
        <v>255</v>
      </c>
      <c r="DT175">
        <v>255</v>
      </c>
      <c r="DU175">
        <v>255</v>
      </c>
      <c r="DV175">
        <v>255</v>
      </c>
      <c r="DW175">
        <v>255</v>
      </c>
      <c r="DX175" t="s">
        <v>206</v>
      </c>
      <c r="DY175" t="s">
        <v>206</v>
      </c>
      <c r="DZ175" t="s">
        <v>207</v>
      </c>
      <c r="EA175" t="s">
        <v>198</v>
      </c>
      <c r="EB175" t="s">
        <v>198</v>
      </c>
      <c r="EC175" t="s">
        <v>198</v>
      </c>
      <c r="ED175">
        <v>0</v>
      </c>
      <c r="EE175">
        <v>0</v>
      </c>
      <c r="EF175">
        <v>0</v>
      </c>
      <c r="EG175">
        <v>0</v>
      </c>
      <c r="EH175">
        <v>255</v>
      </c>
      <c r="EI175">
        <v>255</v>
      </c>
      <c r="EJ175">
        <v>255</v>
      </c>
      <c r="EK175">
        <v>255</v>
      </c>
      <c r="EL175">
        <v>255</v>
      </c>
      <c r="EM175">
        <v>255</v>
      </c>
      <c r="EN175">
        <v>255</v>
      </c>
      <c r="EO175">
        <v>255</v>
      </c>
      <c r="EP175">
        <v>255</v>
      </c>
      <c r="EQ175">
        <v>255</v>
      </c>
      <c r="ER175" t="s">
        <v>208</v>
      </c>
      <c r="ES175" t="s">
        <v>209</v>
      </c>
      <c r="ET175" t="s">
        <v>209</v>
      </c>
      <c r="EU175">
        <v>0</v>
      </c>
      <c r="EV175">
        <v>16.2</v>
      </c>
      <c r="EW175">
        <v>-114.7</v>
      </c>
      <c r="EX175">
        <v>-0.2</v>
      </c>
      <c r="EY175">
        <v>0</v>
      </c>
      <c r="EZ175">
        <v>0</v>
      </c>
      <c r="FA175">
        <v>0</v>
      </c>
      <c r="FB175" t="s">
        <v>198</v>
      </c>
      <c r="FC175" t="s">
        <v>198</v>
      </c>
      <c r="FD175" t="s">
        <v>198</v>
      </c>
      <c r="FE175" t="s">
        <v>198</v>
      </c>
      <c r="FF175" t="s">
        <v>198</v>
      </c>
      <c r="FG175" t="s">
        <v>198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 t="s">
        <v>203</v>
      </c>
      <c r="FP175" t="s">
        <v>203</v>
      </c>
      <c r="FQ175" t="s">
        <v>203</v>
      </c>
      <c r="FR175" t="s">
        <v>203</v>
      </c>
      <c r="FS175" t="s">
        <v>203</v>
      </c>
      <c r="FT175" t="s">
        <v>203</v>
      </c>
      <c r="FU175" t="s">
        <v>198</v>
      </c>
      <c r="FV175" t="s">
        <v>198</v>
      </c>
      <c r="FW175" t="s">
        <v>198</v>
      </c>
      <c r="FX175" t="s">
        <v>198</v>
      </c>
      <c r="FY175" t="s">
        <v>198</v>
      </c>
      <c r="FZ175" t="s">
        <v>198</v>
      </c>
      <c r="GA175">
        <v>31.2</v>
      </c>
      <c r="GB175">
        <v>31.2</v>
      </c>
      <c r="GC175" t="s">
        <v>203</v>
      </c>
      <c r="GD175">
        <v>0</v>
      </c>
      <c r="GE175">
        <v>504</v>
      </c>
      <c r="GF175">
        <v>0</v>
      </c>
      <c r="GG175">
        <v>0</v>
      </c>
      <c r="GH175">
        <v>0</v>
      </c>
      <c r="GI175">
        <v>1</v>
      </c>
      <c r="GJ175">
        <v>1</v>
      </c>
      <c r="GK175">
        <v>0</v>
      </c>
      <c r="GL175" t="s">
        <v>198</v>
      </c>
      <c r="GM175" t="s">
        <v>198</v>
      </c>
      <c r="GN175" t="s">
        <v>198</v>
      </c>
    </row>
    <row r="176" spans="1:196">
      <c r="A176" s="19">
        <v>46316.90591832176</v>
      </c>
      <c r="B176">
        <v>0</v>
      </c>
      <c r="C176">
        <v>0</v>
      </c>
      <c r="D176">
        <v>277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584.2</v>
      </c>
      <c r="N176">
        <v>-0.5</v>
      </c>
      <c r="O176">
        <v>0</v>
      </c>
      <c r="P176">
        <v>0</v>
      </c>
      <c r="Q176">
        <v>0</v>
      </c>
      <c r="R176">
        <v>0</v>
      </c>
      <c r="S176">
        <v>115.6</v>
      </c>
      <c r="T176" t="s">
        <v>485</v>
      </c>
      <c r="U176">
        <v>115.7</v>
      </c>
      <c r="V176">
        <v>1762727256586.8</v>
      </c>
      <c r="W176">
        <v>1</v>
      </c>
      <c r="X176" t="s">
        <v>197</v>
      </c>
      <c r="Y176">
        <v>0</v>
      </c>
      <c r="Z176">
        <v>98</v>
      </c>
      <c r="AA176">
        <v>278</v>
      </c>
      <c r="AB176" t="s">
        <v>197</v>
      </c>
      <c r="AC176" t="s">
        <v>198</v>
      </c>
      <c r="AD176" t="s">
        <v>199</v>
      </c>
      <c r="AE176">
        <v>0</v>
      </c>
      <c r="AF176">
        <v>44</v>
      </c>
      <c r="AG176">
        <v>255</v>
      </c>
      <c r="AH176">
        <v>0</v>
      </c>
      <c r="AI176">
        <v>0</v>
      </c>
      <c r="AJ176">
        <v>0</v>
      </c>
      <c r="AK176">
        <v>12.6</v>
      </c>
      <c r="AL176">
        <v>0</v>
      </c>
      <c r="AM176">
        <v>0</v>
      </c>
      <c r="AN176" t="s">
        <v>197</v>
      </c>
      <c r="AO176">
        <v>100</v>
      </c>
      <c r="AP176" t="s">
        <v>197</v>
      </c>
      <c r="AQ176" t="s">
        <v>200</v>
      </c>
      <c r="AR176">
        <v>1</v>
      </c>
      <c r="AS176">
        <v>0</v>
      </c>
      <c r="AT176" t="s">
        <v>522</v>
      </c>
      <c r="AU176" t="s">
        <v>522</v>
      </c>
      <c r="AV176" t="s">
        <v>202</v>
      </c>
      <c r="AW176" t="s">
        <v>203</v>
      </c>
      <c r="AX176" t="s">
        <v>203</v>
      </c>
      <c r="AY176" t="s">
        <v>203</v>
      </c>
      <c r="AZ176" t="s">
        <v>203</v>
      </c>
      <c r="BA176" t="s">
        <v>203</v>
      </c>
      <c r="BB176" t="s">
        <v>203</v>
      </c>
      <c r="BC176" t="s">
        <v>203</v>
      </c>
      <c r="BD176" t="s">
        <v>203</v>
      </c>
      <c r="BE176" t="s">
        <v>203</v>
      </c>
      <c r="BF176">
        <v>0</v>
      </c>
      <c r="BG176">
        <v>0.2</v>
      </c>
      <c r="BH176">
        <v>50</v>
      </c>
      <c r="BI176">
        <v>0</v>
      </c>
      <c r="BJ176" t="s">
        <v>198</v>
      </c>
      <c r="BK176" t="s">
        <v>198</v>
      </c>
      <c r="BL176" t="s">
        <v>198</v>
      </c>
      <c r="BM176" t="s">
        <v>198</v>
      </c>
      <c r="BN176" t="s">
        <v>198</v>
      </c>
      <c r="BO176" t="s">
        <v>198</v>
      </c>
      <c r="BP176" t="s">
        <v>198</v>
      </c>
      <c r="BQ176" t="s">
        <v>198</v>
      </c>
      <c r="BR176" t="s">
        <v>198</v>
      </c>
      <c r="BS176" t="s">
        <v>198</v>
      </c>
      <c r="BT176" t="s">
        <v>198</v>
      </c>
      <c r="BU176" t="s">
        <v>198</v>
      </c>
      <c r="BV176" t="s">
        <v>198</v>
      </c>
      <c r="BW176" t="s">
        <v>198</v>
      </c>
      <c r="BX176" t="s">
        <v>198</v>
      </c>
      <c r="BY176" t="s">
        <v>198</v>
      </c>
      <c r="BZ176" t="s">
        <v>198</v>
      </c>
      <c r="CA176" t="s">
        <v>198</v>
      </c>
      <c r="CB176" t="s">
        <v>204</v>
      </c>
      <c r="CC176" t="s">
        <v>204</v>
      </c>
      <c r="CD176" t="s">
        <v>204</v>
      </c>
      <c r="CE176" t="s">
        <v>204</v>
      </c>
      <c r="CF176" t="s">
        <v>204</v>
      </c>
      <c r="CG176" t="s">
        <v>204</v>
      </c>
      <c r="CH176" t="s">
        <v>204</v>
      </c>
      <c r="CI176" t="s">
        <v>204</v>
      </c>
      <c r="CJ176" t="s">
        <v>204</v>
      </c>
      <c r="CK176" t="s">
        <v>204</v>
      </c>
      <c r="CL176" t="s">
        <v>204</v>
      </c>
      <c r="CM176" t="s">
        <v>204</v>
      </c>
      <c r="CN176" t="s">
        <v>203</v>
      </c>
      <c r="CO176" t="s">
        <v>203</v>
      </c>
      <c r="CP176" t="s">
        <v>203</v>
      </c>
      <c r="CQ176" t="s">
        <v>203</v>
      </c>
      <c r="CR176" t="s">
        <v>203</v>
      </c>
      <c r="CS176" t="s">
        <v>203</v>
      </c>
      <c r="CT176" t="s">
        <v>203</v>
      </c>
      <c r="CU176" t="s">
        <v>203</v>
      </c>
      <c r="CV176">
        <v>0</v>
      </c>
      <c r="CW176">
        <v>0</v>
      </c>
      <c r="CX176" t="s">
        <v>198</v>
      </c>
      <c r="CY176" t="s">
        <v>198</v>
      </c>
      <c r="CZ176" t="s">
        <v>198</v>
      </c>
      <c r="DA176" t="s">
        <v>198</v>
      </c>
      <c r="DB176" t="s">
        <v>198</v>
      </c>
      <c r="DC176">
        <v>0</v>
      </c>
      <c r="DD176">
        <v>0</v>
      </c>
      <c r="DE176">
        <v>0</v>
      </c>
      <c r="DF176">
        <v>0</v>
      </c>
      <c r="DG176">
        <v>-35.3631166</v>
      </c>
      <c r="DH176">
        <v>149.1639735</v>
      </c>
      <c r="DI176" t="s">
        <v>360</v>
      </c>
      <c r="DJ176">
        <v>1.2</v>
      </c>
      <c r="DK176">
        <v>2</v>
      </c>
      <c r="DL176">
        <v>159.8</v>
      </c>
      <c r="DM176">
        <v>0</v>
      </c>
      <c r="DN176">
        <v>6</v>
      </c>
      <c r="DO176">
        <v>10</v>
      </c>
      <c r="DP176">
        <v>0</v>
      </c>
      <c r="DQ176">
        <v>255</v>
      </c>
      <c r="DR176">
        <v>255</v>
      </c>
      <c r="DS176">
        <v>255</v>
      </c>
      <c r="DT176">
        <v>255</v>
      </c>
      <c r="DU176">
        <v>255</v>
      </c>
      <c r="DV176">
        <v>255</v>
      </c>
      <c r="DW176">
        <v>255</v>
      </c>
      <c r="DX176" t="s">
        <v>206</v>
      </c>
      <c r="DY176" t="s">
        <v>206</v>
      </c>
      <c r="DZ176" t="s">
        <v>207</v>
      </c>
      <c r="EA176" t="s">
        <v>198</v>
      </c>
      <c r="EB176" t="s">
        <v>198</v>
      </c>
      <c r="EC176" t="s">
        <v>198</v>
      </c>
      <c r="ED176">
        <v>0</v>
      </c>
      <c r="EE176">
        <v>0</v>
      </c>
      <c r="EF176">
        <v>0</v>
      </c>
      <c r="EG176">
        <v>0</v>
      </c>
      <c r="EH176">
        <v>255</v>
      </c>
      <c r="EI176">
        <v>255</v>
      </c>
      <c r="EJ176">
        <v>255</v>
      </c>
      <c r="EK176">
        <v>255</v>
      </c>
      <c r="EL176">
        <v>255</v>
      </c>
      <c r="EM176">
        <v>255</v>
      </c>
      <c r="EN176">
        <v>255</v>
      </c>
      <c r="EO176">
        <v>255</v>
      </c>
      <c r="EP176">
        <v>255</v>
      </c>
      <c r="EQ176">
        <v>255</v>
      </c>
      <c r="ER176" t="s">
        <v>208</v>
      </c>
      <c r="ES176" t="s">
        <v>209</v>
      </c>
      <c r="ET176" t="s">
        <v>209</v>
      </c>
      <c r="EU176">
        <v>0</v>
      </c>
      <c r="EV176">
        <v>16.2</v>
      </c>
      <c r="EW176">
        <v>-114.7</v>
      </c>
      <c r="EX176">
        <v>-0.2</v>
      </c>
      <c r="EY176">
        <v>0</v>
      </c>
      <c r="EZ176">
        <v>0</v>
      </c>
      <c r="FA176">
        <v>0</v>
      </c>
      <c r="FB176" t="s">
        <v>198</v>
      </c>
      <c r="FC176" t="s">
        <v>198</v>
      </c>
      <c r="FD176" t="s">
        <v>198</v>
      </c>
      <c r="FE176" t="s">
        <v>198</v>
      </c>
      <c r="FF176" t="s">
        <v>198</v>
      </c>
      <c r="FG176" t="s">
        <v>198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 t="s">
        <v>203</v>
      </c>
      <c r="FP176" t="s">
        <v>203</v>
      </c>
      <c r="FQ176" t="s">
        <v>203</v>
      </c>
      <c r="FR176" t="s">
        <v>203</v>
      </c>
      <c r="FS176" t="s">
        <v>203</v>
      </c>
      <c r="FT176" t="s">
        <v>203</v>
      </c>
      <c r="FU176" t="s">
        <v>198</v>
      </c>
      <c r="FV176" t="s">
        <v>198</v>
      </c>
      <c r="FW176" t="s">
        <v>198</v>
      </c>
      <c r="FX176" t="s">
        <v>198</v>
      </c>
      <c r="FY176" t="s">
        <v>198</v>
      </c>
      <c r="FZ176" t="s">
        <v>198</v>
      </c>
      <c r="GA176">
        <v>31.2</v>
      </c>
      <c r="GB176">
        <v>31.2</v>
      </c>
      <c r="GC176" t="s">
        <v>203</v>
      </c>
      <c r="GD176">
        <v>0</v>
      </c>
      <c r="GE176">
        <v>504</v>
      </c>
      <c r="GF176">
        <v>0</v>
      </c>
      <c r="GG176">
        <v>0</v>
      </c>
      <c r="GH176">
        <v>0</v>
      </c>
      <c r="GI176">
        <v>1</v>
      </c>
      <c r="GJ176">
        <v>1</v>
      </c>
      <c r="GK176">
        <v>0</v>
      </c>
      <c r="GL176" t="s">
        <v>198</v>
      </c>
      <c r="GM176" t="s">
        <v>198</v>
      </c>
      <c r="GN176" t="s">
        <v>198</v>
      </c>
    </row>
    <row r="177" spans="1:196">
      <c r="A177" s="19">
        <v>46316.90592989583</v>
      </c>
      <c r="B177">
        <v>0</v>
      </c>
      <c r="C177">
        <v>0</v>
      </c>
      <c r="D177">
        <v>277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584.2</v>
      </c>
      <c r="N177">
        <v>-0.5</v>
      </c>
      <c r="O177">
        <v>0</v>
      </c>
      <c r="P177">
        <v>0</v>
      </c>
      <c r="Q177">
        <v>0</v>
      </c>
      <c r="R177">
        <v>0</v>
      </c>
      <c r="S177">
        <v>115.6</v>
      </c>
      <c r="T177" t="s">
        <v>485</v>
      </c>
      <c r="U177">
        <v>115.7</v>
      </c>
      <c r="V177">
        <v>1762727256586.8</v>
      </c>
      <c r="W177">
        <v>1</v>
      </c>
      <c r="X177" t="s">
        <v>197</v>
      </c>
      <c r="Y177">
        <v>0</v>
      </c>
      <c r="Z177">
        <v>98</v>
      </c>
      <c r="AA177">
        <v>278</v>
      </c>
      <c r="AB177" t="s">
        <v>197</v>
      </c>
      <c r="AC177" t="s">
        <v>198</v>
      </c>
      <c r="AD177" t="s">
        <v>199</v>
      </c>
      <c r="AE177">
        <v>0</v>
      </c>
      <c r="AF177">
        <v>44</v>
      </c>
      <c r="AG177">
        <v>255</v>
      </c>
      <c r="AH177">
        <v>0</v>
      </c>
      <c r="AI177">
        <v>0</v>
      </c>
      <c r="AJ177">
        <v>0</v>
      </c>
      <c r="AK177">
        <v>12.6</v>
      </c>
      <c r="AL177">
        <v>0</v>
      </c>
      <c r="AM177">
        <v>0</v>
      </c>
      <c r="AN177" t="s">
        <v>197</v>
      </c>
      <c r="AO177">
        <v>100</v>
      </c>
      <c r="AP177" t="s">
        <v>197</v>
      </c>
      <c r="AQ177" t="s">
        <v>200</v>
      </c>
      <c r="AR177">
        <v>1</v>
      </c>
      <c r="AS177">
        <v>0</v>
      </c>
      <c r="AT177" t="s">
        <v>523</v>
      </c>
      <c r="AU177" t="s">
        <v>523</v>
      </c>
      <c r="AV177" t="s">
        <v>202</v>
      </c>
      <c r="AW177" t="s">
        <v>203</v>
      </c>
      <c r="AX177" t="s">
        <v>203</v>
      </c>
      <c r="AY177" t="s">
        <v>203</v>
      </c>
      <c r="AZ177" t="s">
        <v>203</v>
      </c>
      <c r="BA177" t="s">
        <v>203</v>
      </c>
      <c r="BB177" t="s">
        <v>203</v>
      </c>
      <c r="BC177" t="s">
        <v>203</v>
      </c>
      <c r="BD177" t="s">
        <v>203</v>
      </c>
      <c r="BE177" t="s">
        <v>203</v>
      </c>
      <c r="BF177">
        <v>0</v>
      </c>
      <c r="BG177">
        <v>0.2</v>
      </c>
      <c r="BH177">
        <v>50</v>
      </c>
      <c r="BI177">
        <v>0</v>
      </c>
      <c r="BJ177" t="s">
        <v>198</v>
      </c>
      <c r="BK177" t="s">
        <v>198</v>
      </c>
      <c r="BL177" t="s">
        <v>198</v>
      </c>
      <c r="BM177" t="s">
        <v>198</v>
      </c>
      <c r="BN177" t="s">
        <v>198</v>
      </c>
      <c r="BO177" t="s">
        <v>198</v>
      </c>
      <c r="BP177" t="s">
        <v>198</v>
      </c>
      <c r="BQ177" t="s">
        <v>198</v>
      </c>
      <c r="BR177" t="s">
        <v>198</v>
      </c>
      <c r="BS177" t="s">
        <v>198</v>
      </c>
      <c r="BT177" t="s">
        <v>198</v>
      </c>
      <c r="BU177" t="s">
        <v>198</v>
      </c>
      <c r="BV177" t="s">
        <v>198</v>
      </c>
      <c r="BW177" t="s">
        <v>198</v>
      </c>
      <c r="BX177" t="s">
        <v>198</v>
      </c>
      <c r="BY177" t="s">
        <v>198</v>
      </c>
      <c r="BZ177" t="s">
        <v>198</v>
      </c>
      <c r="CA177" t="s">
        <v>198</v>
      </c>
      <c r="CB177" t="s">
        <v>204</v>
      </c>
      <c r="CC177" t="s">
        <v>204</v>
      </c>
      <c r="CD177" t="s">
        <v>204</v>
      </c>
      <c r="CE177" t="s">
        <v>204</v>
      </c>
      <c r="CF177" t="s">
        <v>204</v>
      </c>
      <c r="CG177" t="s">
        <v>204</v>
      </c>
      <c r="CH177" t="s">
        <v>204</v>
      </c>
      <c r="CI177" t="s">
        <v>204</v>
      </c>
      <c r="CJ177" t="s">
        <v>204</v>
      </c>
      <c r="CK177" t="s">
        <v>204</v>
      </c>
      <c r="CL177" t="s">
        <v>204</v>
      </c>
      <c r="CM177" t="s">
        <v>204</v>
      </c>
      <c r="CN177" t="s">
        <v>203</v>
      </c>
      <c r="CO177" t="s">
        <v>203</v>
      </c>
      <c r="CP177" t="s">
        <v>203</v>
      </c>
      <c r="CQ177" t="s">
        <v>203</v>
      </c>
      <c r="CR177" t="s">
        <v>203</v>
      </c>
      <c r="CS177" t="s">
        <v>203</v>
      </c>
      <c r="CT177" t="s">
        <v>203</v>
      </c>
      <c r="CU177" t="s">
        <v>203</v>
      </c>
      <c r="CV177">
        <v>0</v>
      </c>
      <c r="CW177">
        <v>0</v>
      </c>
      <c r="CX177" t="s">
        <v>198</v>
      </c>
      <c r="CY177" t="s">
        <v>198</v>
      </c>
      <c r="CZ177" t="s">
        <v>198</v>
      </c>
      <c r="DA177" t="s">
        <v>198</v>
      </c>
      <c r="DB177" t="s">
        <v>198</v>
      </c>
      <c r="DC177">
        <v>0</v>
      </c>
      <c r="DD177">
        <v>0</v>
      </c>
      <c r="DE177">
        <v>0</v>
      </c>
      <c r="DF177">
        <v>0</v>
      </c>
      <c r="DG177">
        <v>-35.3631166</v>
      </c>
      <c r="DH177">
        <v>149.1639735</v>
      </c>
      <c r="DI177" t="s">
        <v>360</v>
      </c>
      <c r="DJ177">
        <v>1.2</v>
      </c>
      <c r="DK177">
        <v>2</v>
      </c>
      <c r="DL177">
        <v>159.8</v>
      </c>
      <c r="DM177">
        <v>0</v>
      </c>
      <c r="DN177">
        <v>6</v>
      </c>
      <c r="DO177">
        <v>10</v>
      </c>
      <c r="DP177">
        <v>0</v>
      </c>
      <c r="DQ177">
        <v>255</v>
      </c>
      <c r="DR177">
        <v>255</v>
      </c>
      <c r="DS177">
        <v>255</v>
      </c>
      <c r="DT177">
        <v>255</v>
      </c>
      <c r="DU177">
        <v>255</v>
      </c>
      <c r="DV177">
        <v>255</v>
      </c>
      <c r="DW177">
        <v>255</v>
      </c>
      <c r="DX177" t="s">
        <v>206</v>
      </c>
      <c r="DY177" t="s">
        <v>206</v>
      </c>
      <c r="DZ177" t="s">
        <v>207</v>
      </c>
      <c r="EA177" t="s">
        <v>198</v>
      </c>
      <c r="EB177" t="s">
        <v>198</v>
      </c>
      <c r="EC177" t="s">
        <v>198</v>
      </c>
      <c r="ED177">
        <v>0</v>
      </c>
      <c r="EE177">
        <v>0</v>
      </c>
      <c r="EF177">
        <v>0</v>
      </c>
      <c r="EG177">
        <v>0</v>
      </c>
      <c r="EH177">
        <v>255</v>
      </c>
      <c r="EI177">
        <v>255</v>
      </c>
      <c r="EJ177">
        <v>255</v>
      </c>
      <c r="EK177">
        <v>255</v>
      </c>
      <c r="EL177">
        <v>255</v>
      </c>
      <c r="EM177">
        <v>255</v>
      </c>
      <c r="EN177">
        <v>255</v>
      </c>
      <c r="EO177">
        <v>255</v>
      </c>
      <c r="EP177">
        <v>255</v>
      </c>
      <c r="EQ177">
        <v>255</v>
      </c>
      <c r="ER177" t="s">
        <v>208</v>
      </c>
      <c r="ES177" t="s">
        <v>209</v>
      </c>
      <c r="ET177" t="s">
        <v>209</v>
      </c>
      <c r="EU177">
        <v>0</v>
      </c>
      <c r="EV177">
        <v>16.2</v>
      </c>
      <c r="EW177">
        <v>-114.7</v>
      </c>
      <c r="EX177">
        <v>-0.2</v>
      </c>
      <c r="EY177">
        <v>0</v>
      </c>
      <c r="EZ177">
        <v>0</v>
      </c>
      <c r="FA177">
        <v>0</v>
      </c>
      <c r="FB177" t="s">
        <v>198</v>
      </c>
      <c r="FC177" t="s">
        <v>198</v>
      </c>
      <c r="FD177" t="s">
        <v>198</v>
      </c>
      <c r="FE177" t="s">
        <v>198</v>
      </c>
      <c r="FF177" t="s">
        <v>198</v>
      </c>
      <c r="FG177" t="s">
        <v>198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 t="s">
        <v>203</v>
      </c>
      <c r="FP177" t="s">
        <v>203</v>
      </c>
      <c r="FQ177" t="s">
        <v>203</v>
      </c>
      <c r="FR177" t="s">
        <v>203</v>
      </c>
      <c r="FS177" t="s">
        <v>203</v>
      </c>
      <c r="FT177" t="s">
        <v>203</v>
      </c>
      <c r="FU177" t="s">
        <v>198</v>
      </c>
      <c r="FV177" t="s">
        <v>198</v>
      </c>
      <c r="FW177" t="s">
        <v>198</v>
      </c>
      <c r="FX177" t="s">
        <v>198</v>
      </c>
      <c r="FY177" t="s">
        <v>198</v>
      </c>
      <c r="FZ177" t="s">
        <v>198</v>
      </c>
      <c r="GA177">
        <v>31.2</v>
      </c>
      <c r="GB177">
        <v>31.2</v>
      </c>
      <c r="GC177" t="s">
        <v>203</v>
      </c>
      <c r="GD177">
        <v>0</v>
      </c>
      <c r="GE177">
        <v>504</v>
      </c>
      <c r="GF177">
        <v>0</v>
      </c>
      <c r="GG177">
        <v>0</v>
      </c>
      <c r="GH177">
        <v>0</v>
      </c>
      <c r="GI177">
        <v>1</v>
      </c>
      <c r="GJ177">
        <v>1</v>
      </c>
      <c r="GK177">
        <v>0</v>
      </c>
      <c r="GL177" t="s">
        <v>198</v>
      </c>
      <c r="GM177" t="s">
        <v>198</v>
      </c>
      <c r="GN177" t="s">
        <v>198</v>
      </c>
    </row>
    <row r="178" spans="1:196">
      <c r="A178" s="19">
        <v>46316.90594146991</v>
      </c>
      <c r="B178">
        <v>0</v>
      </c>
      <c r="C178">
        <v>0</v>
      </c>
      <c r="D178">
        <v>277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584.2</v>
      </c>
      <c r="N178">
        <v>-0.5</v>
      </c>
      <c r="O178">
        <v>0</v>
      </c>
      <c r="P178">
        <v>0</v>
      </c>
      <c r="Q178">
        <v>0</v>
      </c>
      <c r="R178">
        <v>0</v>
      </c>
      <c r="S178">
        <v>115.6</v>
      </c>
      <c r="T178" t="s">
        <v>485</v>
      </c>
      <c r="U178">
        <v>115.7</v>
      </c>
      <c r="V178">
        <v>1762727256586.8</v>
      </c>
      <c r="W178">
        <v>1</v>
      </c>
      <c r="X178" t="s">
        <v>197</v>
      </c>
      <c r="Y178">
        <v>0</v>
      </c>
      <c r="Z178">
        <v>98</v>
      </c>
      <c r="AA178">
        <v>278</v>
      </c>
      <c r="AB178" t="s">
        <v>197</v>
      </c>
      <c r="AC178" t="s">
        <v>198</v>
      </c>
      <c r="AD178" t="s">
        <v>199</v>
      </c>
      <c r="AE178">
        <v>0</v>
      </c>
      <c r="AF178">
        <v>44</v>
      </c>
      <c r="AG178">
        <v>255</v>
      </c>
      <c r="AH178">
        <v>0</v>
      </c>
      <c r="AI178">
        <v>0</v>
      </c>
      <c r="AJ178">
        <v>0</v>
      </c>
      <c r="AK178">
        <v>12.6</v>
      </c>
      <c r="AL178">
        <v>0</v>
      </c>
      <c r="AM178">
        <v>0</v>
      </c>
      <c r="AN178" t="s">
        <v>197</v>
      </c>
      <c r="AO178">
        <v>100</v>
      </c>
      <c r="AP178" t="s">
        <v>197</v>
      </c>
      <c r="AQ178" t="s">
        <v>200</v>
      </c>
      <c r="AR178">
        <v>1</v>
      </c>
      <c r="AS178">
        <v>0</v>
      </c>
      <c r="AT178" t="s">
        <v>524</v>
      </c>
      <c r="AU178" t="s">
        <v>524</v>
      </c>
      <c r="AV178" t="s">
        <v>202</v>
      </c>
      <c r="AW178" t="s">
        <v>203</v>
      </c>
      <c r="AX178" t="s">
        <v>203</v>
      </c>
      <c r="AY178" t="s">
        <v>203</v>
      </c>
      <c r="AZ178" t="s">
        <v>203</v>
      </c>
      <c r="BA178" t="s">
        <v>203</v>
      </c>
      <c r="BB178" t="s">
        <v>203</v>
      </c>
      <c r="BC178" t="s">
        <v>203</v>
      </c>
      <c r="BD178" t="s">
        <v>203</v>
      </c>
      <c r="BE178" t="s">
        <v>203</v>
      </c>
      <c r="BF178">
        <v>0</v>
      </c>
      <c r="BG178">
        <v>0.2</v>
      </c>
      <c r="BH178">
        <v>50</v>
      </c>
      <c r="BI178">
        <v>0</v>
      </c>
      <c r="BJ178" t="s">
        <v>198</v>
      </c>
      <c r="BK178" t="s">
        <v>198</v>
      </c>
      <c r="BL178" t="s">
        <v>198</v>
      </c>
      <c r="BM178" t="s">
        <v>198</v>
      </c>
      <c r="BN178" t="s">
        <v>198</v>
      </c>
      <c r="BO178" t="s">
        <v>198</v>
      </c>
      <c r="BP178" t="s">
        <v>198</v>
      </c>
      <c r="BQ178" t="s">
        <v>198</v>
      </c>
      <c r="BR178" t="s">
        <v>198</v>
      </c>
      <c r="BS178" t="s">
        <v>198</v>
      </c>
      <c r="BT178" t="s">
        <v>198</v>
      </c>
      <c r="BU178" t="s">
        <v>198</v>
      </c>
      <c r="BV178" t="s">
        <v>198</v>
      </c>
      <c r="BW178" t="s">
        <v>198</v>
      </c>
      <c r="BX178" t="s">
        <v>198</v>
      </c>
      <c r="BY178" t="s">
        <v>198</v>
      </c>
      <c r="BZ178" t="s">
        <v>198</v>
      </c>
      <c r="CA178" t="s">
        <v>198</v>
      </c>
      <c r="CB178" t="s">
        <v>204</v>
      </c>
      <c r="CC178" t="s">
        <v>204</v>
      </c>
      <c r="CD178" t="s">
        <v>204</v>
      </c>
      <c r="CE178" t="s">
        <v>204</v>
      </c>
      <c r="CF178" t="s">
        <v>204</v>
      </c>
      <c r="CG178" t="s">
        <v>204</v>
      </c>
      <c r="CH178" t="s">
        <v>204</v>
      </c>
      <c r="CI178" t="s">
        <v>204</v>
      </c>
      <c r="CJ178" t="s">
        <v>204</v>
      </c>
      <c r="CK178" t="s">
        <v>204</v>
      </c>
      <c r="CL178" t="s">
        <v>204</v>
      </c>
      <c r="CM178" t="s">
        <v>204</v>
      </c>
      <c r="CN178" t="s">
        <v>203</v>
      </c>
      <c r="CO178" t="s">
        <v>203</v>
      </c>
      <c r="CP178" t="s">
        <v>203</v>
      </c>
      <c r="CQ178" t="s">
        <v>203</v>
      </c>
      <c r="CR178" t="s">
        <v>203</v>
      </c>
      <c r="CS178" t="s">
        <v>203</v>
      </c>
      <c r="CT178" t="s">
        <v>203</v>
      </c>
      <c r="CU178" t="s">
        <v>203</v>
      </c>
      <c r="CV178">
        <v>0</v>
      </c>
      <c r="CW178">
        <v>0</v>
      </c>
      <c r="CX178" t="s">
        <v>198</v>
      </c>
      <c r="CY178" t="s">
        <v>198</v>
      </c>
      <c r="CZ178" t="s">
        <v>198</v>
      </c>
      <c r="DA178" t="s">
        <v>198</v>
      </c>
      <c r="DB178" t="s">
        <v>198</v>
      </c>
      <c r="DC178">
        <v>0</v>
      </c>
      <c r="DD178">
        <v>0</v>
      </c>
      <c r="DE178">
        <v>0</v>
      </c>
      <c r="DF178">
        <v>0</v>
      </c>
      <c r="DG178">
        <v>-35.3631166</v>
      </c>
      <c r="DH178">
        <v>149.1639735</v>
      </c>
      <c r="DI178" t="s">
        <v>360</v>
      </c>
      <c r="DJ178">
        <v>1.2</v>
      </c>
      <c r="DK178">
        <v>2</v>
      </c>
      <c r="DL178">
        <v>159.8</v>
      </c>
      <c r="DM178">
        <v>0</v>
      </c>
      <c r="DN178">
        <v>6</v>
      </c>
      <c r="DO178">
        <v>10</v>
      </c>
      <c r="DP178">
        <v>0</v>
      </c>
      <c r="DQ178">
        <v>255</v>
      </c>
      <c r="DR178">
        <v>255</v>
      </c>
      <c r="DS178">
        <v>255</v>
      </c>
      <c r="DT178">
        <v>255</v>
      </c>
      <c r="DU178">
        <v>255</v>
      </c>
      <c r="DV178">
        <v>255</v>
      </c>
      <c r="DW178">
        <v>255</v>
      </c>
      <c r="DX178" t="s">
        <v>206</v>
      </c>
      <c r="DY178" t="s">
        <v>206</v>
      </c>
      <c r="DZ178" t="s">
        <v>207</v>
      </c>
      <c r="EA178" t="s">
        <v>198</v>
      </c>
      <c r="EB178" t="s">
        <v>198</v>
      </c>
      <c r="EC178" t="s">
        <v>198</v>
      </c>
      <c r="ED178">
        <v>0</v>
      </c>
      <c r="EE178">
        <v>0</v>
      </c>
      <c r="EF178">
        <v>0</v>
      </c>
      <c r="EG178">
        <v>0</v>
      </c>
      <c r="EH178">
        <v>255</v>
      </c>
      <c r="EI178">
        <v>255</v>
      </c>
      <c r="EJ178">
        <v>255</v>
      </c>
      <c r="EK178">
        <v>255</v>
      </c>
      <c r="EL178">
        <v>255</v>
      </c>
      <c r="EM178">
        <v>255</v>
      </c>
      <c r="EN178">
        <v>255</v>
      </c>
      <c r="EO178">
        <v>255</v>
      </c>
      <c r="EP178">
        <v>255</v>
      </c>
      <c r="EQ178">
        <v>255</v>
      </c>
      <c r="ER178" t="s">
        <v>208</v>
      </c>
      <c r="ES178" t="s">
        <v>209</v>
      </c>
      <c r="ET178" t="s">
        <v>209</v>
      </c>
      <c r="EU178">
        <v>0</v>
      </c>
      <c r="EV178">
        <v>16.2</v>
      </c>
      <c r="EW178">
        <v>-114.7</v>
      </c>
      <c r="EX178">
        <v>-0.2</v>
      </c>
      <c r="EY178">
        <v>0</v>
      </c>
      <c r="EZ178">
        <v>0</v>
      </c>
      <c r="FA178">
        <v>0</v>
      </c>
      <c r="FB178" t="s">
        <v>198</v>
      </c>
      <c r="FC178" t="s">
        <v>198</v>
      </c>
      <c r="FD178" t="s">
        <v>198</v>
      </c>
      <c r="FE178" t="s">
        <v>198</v>
      </c>
      <c r="FF178" t="s">
        <v>198</v>
      </c>
      <c r="FG178" t="s">
        <v>198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 t="s">
        <v>203</v>
      </c>
      <c r="FP178" t="s">
        <v>203</v>
      </c>
      <c r="FQ178" t="s">
        <v>203</v>
      </c>
      <c r="FR178" t="s">
        <v>203</v>
      </c>
      <c r="FS178" t="s">
        <v>203</v>
      </c>
      <c r="FT178" t="s">
        <v>203</v>
      </c>
      <c r="FU178" t="s">
        <v>198</v>
      </c>
      <c r="FV178" t="s">
        <v>198</v>
      </c>
      <c r="FW178" t="s">
        <v>198</v>
      </c>
      <c r="FX178" t="s">
        <v>198</v>
      </c>
      <c r="FY178" t="s">
        <v>198</v>
      </c>
      <c r="FZ178" t="s">
        <v>198</v>
      </c>
      <c r="GA178">
        <v>31.2</v>
      </c>
      <c r="GB178">
        <v>31.2</v>
      </c>
      <c r="GC178" t="s">
        <v>203</v>
      </c>
      <c r="GD178">
        <v>0</v>
      </c>
      <c r="GE178">
        <v>504</v>
      </c>
      <c r="GF178">
        <v>0</v>
      </c>
      <c r="GG178">
        <v>0</v>
      </c>
      <c r="GH178">
        <v>0</v>
      </c>
      <c r="GI178">
        <v>1</v>
      </c>
      <c r="GJ178">
        <v>1</v>
      </c>
      <c r="GK178">
        <v>0</v>
      </c>
      <c r="GL178" t="s">
        <v>198</v>
      </c>
      <c r="GM178" t="s">
        <v>198</v>
      </c>
      <c r="GN178" t="s">
        <v>198</v>
      </c>
    </row>
    <row r="179" spans="1:196">
      <c r="A179" s="19">
        <v>46316.90595304398</v>
      </c>
      <c r="B179">
        <v>0</v>
      </c>
      <c r="C179">
        <v>0</v>
      </c>
      <c r="D179">
        <v>277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584.2</v>
      </c>
      <c r="N179">
        <v>-0.5</v>
      </c>
      <c r="O179">
        <v>0</v>
      </c>
      <c r="P179">
        <v>0</v>
      </c>
      <c r="Q179">
        <v>0</v>
      </c>
      <c r="R179">
        <v>0</v>
      </c>
      <c r="S179">
        <v>115.6</v>
      </c>
      <c r="T179" t="s">
        <v>485</v>
      </c>
      <c r="U179">
        <v>115.7</v>
      </c>
      <c r="V179">
        <v>1762727256586.8</v>
      </c>
      <c r="W179">
        <v>1</v>
      </c>
      <c r="X179" t="s">
        <v>197</v>
      </c>
      <c r="Y179">
        <v>0</v>
      </c>
      <c r="Z179">
        <v>98</v>
      </c>
      <c r="AA179">
        <v>278</v>
      </c>
      <c r="AB179" t="s">
        <v>197</v>
      </c>
      <c r="AC179" t="s">
        <v>198</v>
      </c>
      <c r="AD179" t="s">
        <v>199</v>
      </c>
      <c r="AE179">
        <v>0</v>
      </c>
      <c r="AF179">
        <v>44</v>
      </c>
      <c r="AG179">
        <v>255</v>
      </c>
      <c r="AH179">
        <v>0</v>
      </c>
      <c r="AI179">
        <v>0</v>
      </c>
      <c r="AJ179">
        <v>0</v>
      </c>
      <c r="AK179">
        <v>12.6</v>
      </c>
      <c r="AL179">
        <v>0</v>
      </c>
      <c r="AM179">
        <v>0</v>
      </c>
      <c r="AN179" t="s">
        <v>197</v>
      </c>
      <c r="AO179">
        <v>100</v>
      </c>
      <c r="AP179" t="s">
        <v>197</v>
      </c>
      <c r="AQ179" t="s">
        <v>200</v>
      </c>
      <c r="AR179">
        <v>1</v>
      </c>
      <c r="AS179">
        <v>0</v>
      </c>
      <c r="AT179" t="s">
        <v>525</v>
      </c>
      <c r="AU179" t="s">
        <v>525</v>
      </c>
      <c r="AV179" t="s">
        <v>202</v>
      </c>
      <c r="AW179" t="s">
        <v>203</v>
      </c>
      <c r="AX179" t="s">
        <v>203</v>
      </c>
      <c r="AY179" t="s">
        <v>203</v>
      </c>
      <c r="AZ179" t="s">
        <v>203</v>
      </c>
      <c r="BA179" t="s">
        <v>203</v>
      </c>
      <c r="BB179" t="s">
        <v>203</v>
      </c>
      <c r="BC179" t="s">
        <v>203</v>
      </c>
      <c r="BD179" t="s">
        <v>203</v>
      </c>
      <c r="BE179" t="s">
        <v>203</v>
      </c>
      <c r="BF179">
        <v>0</v>
      </c>
      <c r="BG179">
        <v>0.2</v>
      </c>
      <c r="BH179">
        <v>50</v>
      </c>
      <c r="BI179">
        <v>0</v>
      </c>
      <c r="BJ179" t="s">
        <v>198</v>
      </c>
      <c r="BK179" t="s">
        <v>198</v>
      </c>
      <c r="BL179" t="s">
        <v>198</v>
      </c>
      <c r="BM179" t="s">
        <v>198</v>
      </c>
      <c r="BN179" t="s">
        <v>198</v>
      </c>
      <c r="BO179" t="s">
        <v>198</v>
      </c>
      <c r="BP179" t="s">
        <v>198</v>
      </c>
      <c r="BQ179" t="s">
        <v>198</v>
      </c>
      <c r="BR179" t="s">
        <v>198</v>
      </c>
      <c r="BS179" t="s">
        <v>198</v>
      </c>
      <c r="BT179" t="s">
        <v>198</v>
      </c>
      <c r="BU179" t="s">
        <v>198</v>
      </c>
      <c r="BV179" t="s">
        <v>198</v>
      </c>
      <c r="BW179" t="s">
        <v>198</v>
      </c>
      <c r="BX179" t="s">
        <v>198</v>
      </c>
      <c r="BY179" t="s">
        <v>198</v>
      </c>
      <c r="BZ179" t="s">
        <v>198</v>
      </c>
      <c r="CA179" t="s">
        <v>198</v>
      </c>
      <c r="CB179" t="s">
        <v>204</v>
      </c>
      <c r="CC179" t="s">
        <v>204</v>
      </c>
      <c r="CD179" t="s">
        <v>204</v>
      </c>
      <c r="CE179" t="s">
        <v>204</v>
      </c>
      <c r="CF179" t="s">
        <v>204</v>
      </c>
      <c r="CG179" t="s">
        <v>204</v>
      </c>
      <c r="CH179" t="s">
        <v>204</v>
      </c>
      <c r="CI179" t="s">
        <v>204</v>
      </c>
      <c r="CJ179" t="s">
        <v>204</v>
      </c>
      <c r="CK179" t="s">
        <v>204</v>
      </c>
      <c r="CL179" t="s">
        <v>204</v>
      </c>
      <c r="CM179" t="s">
        <v>204</v>
      </c>
      <c r="CN179" t="s">
        <v>203</v>
      </c>
      <c r="CO179" t="s">
        <v>203</v>
      </c>
      <c r="CP179" t="s">
        <v>203</v>
      </c>
      <c r="CQ179" t="s">
        <v>203</v>
      </c>
      <c r="CR179" t="s">
        <v>203</v>
      </c>
      <c r="CS179" t="s">
        <v>203</v>
      </c>
      <c r="CT179" t="s">
        <v>203</v>
      </c>
      <c r="CU179" t="s">
        <v>203</v>
      </c>
      <c r="CV179">
        <v>0</v>
      </c>
      <c r="CW179">
        <v>0</v>
      </c>
      <c r="CX179" t="s">
        <v>198</v>
      </c>
      <c r="CY179" t="s">
        <v>198</v>
      </c>
      <c r="CZ179" t="s">
        <v>198</v>
      </c>
      <c r="DA179" t="s">
        <v>198</v>
      </c>
      <c r="DB179" t="s">
        <v>198</v>
      </c>
      <c r="DC179">
        <v>0</v>
      </c>
      <c r="DD179">
        <v>0</v>
      </c>
      <c r="DE179">
        <v>0</v>
      </c>
      <c r="DF179">
        <v>0</v>
      </c>
      <c r="DG179">
        <v>-35.3631166</v>
      </c>
      <c r="DH179">
        <v>149.1639735</v>
      </c>
      <c r="DI179" t="s">
        <v>360</v>
      </c>
      <c r="DJ179">
        <v>1.2</v>
      </c>
      <c r="DK179">
        <v>2</v>
      </c>
      <c r="DL179">
        <v>159.8</v>
      </c>
      <c r="DM179">
        <v>0</v>
      </c>
      <c r="DN179">
        <v>6</v>
      </c>
      <c r="DO179">
        <v>10</v>
      </c>
      <c r="DP179">
        <v>0</v>
      </c>
      <c r="DQ179">
        <v>255</v>
      </c>
      <c r="DR179">
        <v>255</v>
      </c>
      <c r="DS179">
        <v>255</v>
      </c>
      <c r="DT179">
        <v>255</v>
      </c>
      <c r="DU179">
        <v>255</v>
      </c>
      <c r="DV179">
        <v>255</v>
      </c>
      <c r="DW179">
        <v>255</v>
      </c>
      <c r="DX179" t="s">
        <v>206</v>
      </c>
      <c r="DY179" t="s">
        <v>206</v>
      </c>
      <c r="DZ179" t="s">
        <v>207</v>
      </c>
      <c r="EA179" t="s">
        <v>198</v>
      </c>
      <c r="EB179" t="s">
        <v>198</v>
      </c>
      <c r="EC179" t="s">
        <v>198</v>
      </c>
      <c r="ED179">
        <v>0</v>
      </c>
      <c r="EE179">
        <v>0</v>
      </c>
      <c r="EF179">
        <v>0</v>
      </c>
      <c r="EG179">
        <v>0</v>
      </c>
      <c r="EH179">
        <v>255</v>
      </c>
      <c r="EI179">
        <v>255</v>
      </c>
      <c r="EJ179">
        <v>255</v>
      </c>
      <c r="EK179">
        <v>255</v>
      </c>
      <c r="EL179">
        <v>255</v>
      </c>
      <c r="EM179">
        <v>255</v>
      </c>
      <c r="EN179">
        <v>255</v>
      </c>
      <c r="EO179">
        <v>255</v>
      </c>
      <c r="EP179">
        <v>255</v>
      </c>
      <c r="EQ179">
        <v>255</v>
      </c>
      <c r="ER179" t="s">
        <v>208</v>
      </c>
      <c r="ES179" t="s">
        <v>209</v>
      </c>
      <c r="ET179" t="s">
        <v>209</v>
      </c>
      <c r="EU179">
        <v>0</v>
      </c>
      <c r="EV179">
        <v>16.2</v>
      </c>
      <c r="EW179">
        <v>-114.7</v>
      </c>
      <c r="EX179">
        <v>-0.2</v>
      </c>
      <c r="EY179">
        <v>0</v>
      </c>
      <c r="EZ179">
        <v>0</v>
      </c>
      <c r="FA179">
        <v>0</v>
      </c>
      <c r="FB179" t="s">
        <v>198</v>
      </c>
      <c r="FC179" t="s">
        <v>198</v>
      </c>
      <c r="FD179" t="s">
        <v>198</v>
      </c>
      <c r="FE179" t="s">
        <v>198</v>
      </c>
      <c r="FF179" t="s">
        <v>198</v>
      </c>
      <c r="FG179" t="s">
        <v>198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203</v>
      </c>
      <c r="FP179" t="s">
        <v>203</v>
      </c>
      <c r="FQ179" t="s">
        <v>203</v>
      </c>
      <c r="FR179" t="s">
        <v>203</v>
      </c>
      <c r="FS179" t="s">
        <v>203</v>
      </c>
      <c r="FT179" t="s">
        <v>203</v>
      </c>
      <c r="FU179" t="s">
        <v>198</v>
      </c>
      <c r="FV179" t="s">
        <v>198</v>
      </c>
      <c r="FW179" t="s">
        <v>198</v>
      </c>
      <c r="FX179" t="s">
        <v>198</v>
      </c>
      <c r="FY179" t="s">
        <v>198</v>
      </c>
      <c r="FZ179" t="s">
        <v>198</v>
      </c>
      <c r="GA179">
        <v>31.2</v>
      </c>
      <c r="GB179">
        <v>31.2</v>
      </c>
      <c r="GC179" t="s">
        <v>203</v>
      </c>
      <c r="GD179">
        <v>0</v>
      </c>
      <c r="GE179">
        <v>504</v>
      </c>
      <c r="GF179">
        <v>0</v>
      </c>
      <c r="GG179">
        <v>0</v>
      </c>
      <c r="GH179">
        <v>0</v>
      </c>
      <c r="GI179">
        <v>1</v>
      </c>
      <c r="GJ179">
        <v>1</v>
      </c>
      <c r="GK179">
        <v>0</v>
      </c>
      <c r="GL179" t="s">
        <v>198</v>
      </c>
      <c r="GM179" t="s">
        <v>198</v>
      </c>
      <c r="GN179" t="s">
        <v>198</v>
      </c>
    </row>
    <row r="180" spans="1:196">
      <c r="A180" s="19">
        <v>46316.90596461805</v>
      </c>
      <c r="B180">
        <v>0</v>
      </c>
      <c r="C180">
        <v>0</v>
      </c>
      <c r="D180">
        <v>277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584.2</v>
      </c>
      <c r="N180">
        <v>-0.5</v>
      </c>
      <c r="O180">
        <v>0</v>
      </c>
      <c r="P180">
        <v>0</v>
      </c>
      <c r="Q180">
        <v>0</v>
      </c>
      <c r="R180">
        <v>0</v>
      </c>
      <c r="S180">
        <v>115.6</v>
      </c>
      <c r="T180" t="s">
        <v>485</v>
      </c>
      <c r="U180">
        <v>115.7</v>
      </c>
      <c r="V180">
        <v>1762727256586.8</v>
      </c>
      <c r="W180">
        <v>1</v>
      </c>
      <c r="X180" t="s">
        <v>197</v>
      </c>
      <c r="Y180">
        <v>0</v>
      </c>
      <c r="Z180">
        <v>98</v>
      </c>
      <c r="AA180">
        <v>278</v>
      </c>
      <c r="AB180" t="s">
        <v>197</v>
      </c>
      <c r="AC180" t="s">
        <v>198</v>
      </c>
      <c r="AD180" t="s">
        <v>199</v>
      </c>
      <c r="AE180">
        <v>0</v>
      </c>
      <c r="AF180">
        <v>44</v>
      </c>
      <c r="AG180">
        <v>255</v>
      </c>
      <c r="AH180">
        <v>0</v>
      </c>
      <c r="AI180">
        <v>0</v>
      </c>
      <c r="AJ180">
        <v>0</v>
      </c>
      <c r="AK180">
        <v>12.6</v>
      </c>
      <c r="AL180">
        <v>0</v>
      </c>
      <c r="AM180">
        <v>0</v>
      </c>
      <c r="AN180" t="s">
        <v>197</v>
      </c>
      <c r="AO180">
        <v>100</v>
      </c>
      <c r="AP180" t="s">
        <v>197</v>
      </c>
      <c r="AQ180" t="s">
        <v>200</v>
      </c>
      <c r="AR180">
        <v>1</v>
      </c>
      <c r="AS180">
        <v>0</v>
      </c>
      <c r="AT180" t="s">
        <v>526</v>
      </c>
      <c r="AU180" t="s">
        <v>526</v>
      </c>
      <c r="AV180" t="s">
        <v>202</v>
      </c>
      <c r="AW180" t="s">
        <v>203</v>
      </c>
      <c r="AX180" t="s">
        <v>203</v>
      </c>
      <c r="AY180" t="s">
        <v>203</v>
      </c>
      <c r="AZ180" t="s">
        <v>203</v>
      </c>
      <c r="BA180" t="s">
        <v>203</v>
      </c>
      <c r="BB180" t="s">
        <v>203</v>
      </c>
      <c r="BC180" t="s">
        <v>203</v>
      </c>
      <c r="BD180" t="s">
        <v>203</v>
      </c>
      <c r="BE180" t="s">
        <v>203</v>
      </c>
      <c r="BF180">
        <v>0</v>
      </c>
      <c r="BG180">
        <v>0.2</v>
      </c>
      <c r="BH180">
        <v>50</v>
      </c>
      <c r="BI180">
        <v>0</v>
      </c>
      <c r="BJ180" t="s">
        <v>198</v>
      </c>
      <c r="BK180" t="s">
        <v>198</v>
      </c>
      <c r="BL180" t="s">
        <v>198</v>
      </c>
      <c r="BM180" t="s">
        <v>198</v>
      </c>
      <c r="BN180" t="s">
        <v>198</v>
      </c>
      <c r="BO180" t="s">
        <v>198</v>
      </c>
      <c r="BP180" t="s">
        <v>198</v>
      </c>
      <c r="BQ180" t="s">
        <v>198</v>
      </c>
      <c r="BR180" t="s">
        <v>198</v>
      </c>
      <c r="BS180" t="s">
        <v>198</v>
      </c>
      <c r="BT180" t="s">
        <v>198</v>
      </c>
      <c r="BU180" t="s">
        <v>198</v>
      </c>
      <c r="BV180" t="s">
        <v>198</v>
      </c>
      <c r="BW180" t="s">
        <v>198</v>
      </c>
      <c r="BX180" t="s">
        <v>198</v>
      </c>
      <c r="BY180" t="s">
        <v>198</v>
      </c>
      <c r="BZ180" t="s">
        <v>198</v>
      </c>
      <c r="CA180" t="s">
        <v>198</v>
      </c>
      <c r="CB180" t="s">
        <v>204</v>
      </c>
      <c r="CC180" t="s">
        <v>204</v>
      </c>
      <c r="CD180" t="s">
        <v>204</v>
      </c>
      <c r="CE180" t="s">
        <v>204</v>
      </c>
      <c r="CF180" t="s">
        <v>204</v>
      </c>
      <c r="CG180" t="s">
        <v>204</v>
      </c>
      <c r="CH180" t="s">
        <v>204</v>
      </c>
      <c r="CI180" t="s">
        <v>204</v>
      </c>
      <c r="CJ180" t="s">
        <v>204</v>
      </c>
      <c r="CK180" t="s">
        <v>204</v>
      </c>
      <c r="CL180" t="s">
        <v>204</v>
      </c>
      <c r="CM180" t="s">
        <v>204</v>
      </c>
      <c r="CN180" t="s">
        <v>203</v>
      </c>
      <c r="CO180" t="s">
        <v>203</v>
      </c>
      <c r="CP180" t="s">
        <v>203</v>
      </c>
      <c r="CQ180" t="s">
        <v>203</v>
      </c>
      <c r="CR180" t="s">
        <v>203</v>
      </c>
      <c r="CS180" t="s">
        <v>203</v>
      </c>
      <c r="CT180" t="s">
        <v>203</v>
      </c>
      <c r="CU180" t="s">
        <v>203</v>
      </c>
      <c r="CV180">
        <v>0</v>
      </c>
      <c r="CW180">
        <v>0</v>
      </c>
      <c r="CX180" t="s">
        <v>198</v>
      </c>
      <c r="CY180" t="s">
        <v>198</v>
      </c>
      <c r="CZ180" t="s">
        <v>198</v>
      </c>
      <c r="DA180" t="s">
        <v>198</v>
      </c>
      <c r="DB180" t="s">
        <v>198</v>
      </c>
      <c r="DC180">
        <v>0</v>
      </c>
      <c r="DD180">
        <v>0</v>
      </c>
      <c r="DE180">
        <v>0</v>
      </c>
      <c r="DF180">
        <v>0</v>
      </c>
      <c r="DG180">
        <v>-35.3631166</v>
      </c>
      <c r="DH180">
        <v>149.1639735</v>
      </c>
      <c r="DI180" t="s">
        <v>360</v>
      </c>
      <c r="DJ180">
        <v>1.2</v>
      </c>
      <c r="DK180">
        <v>2</v>
      </c>
      <c r="DL180">
        <v>159.8</v>
      </c>
      <c r="DM180">
        <v>0</v>
      </c>
      <c r="DN180">
        <v>6</v>
      </c>
      <c r="DO180">
        <v>10</v>
      </c>
      <c r="DP180">
        <v>0</v>
      </c>
      <c r="DQ180">
        <v>255</v>
      </c>
      <c r="DR180">
        <v>255</v>
      </c>
      <c r="DS180">
        <v>255</v>
      </c>
      <c r="DT180">
        <v>255</v>
      </c>
      <c r="DU180">
        <v>255</v>
      </c>
      <c r="DV180">
        <v>255</v>
      </c>
      <c r="DW180">
        <v>255</v>
      </c>
      <c r="DX180" t="s">
        <v>206</v>
      </c>
      <c r="DY180" t="s">
        <v>206</v>
      </c>
      <c r="DZ180" t="s">
        <v>207</v>
      </c>
      <c r="EA180" t="s">
        <v>198</v>
      </c>
      <c r="EB180" t="s">
        <v>198</v>
      </c>
      <c r="EC180" t="s">
        <v>198</v>
      </c>
      <c r="ED180">
        <v>0</v>
      </c>
      <c r="EE180">
        <v>0</v>
      </c>
      <c r="EF180">
        <v>0</v>
      </c>
      <c r="EG180">
        <v>0</v>
      </c>
      <c r="EH180">
        <v>255</v>
      </c>
      <c r="EI180">
        <v>255</v>
      </c>
      <c r="EJ180">
        <v>255</v>
      </c>
      <c r="EK180">
        <v>255</v>
      </c>
      <c r="EL180">
        <v>255</v>
      </c>
      <c r="EM180">
        <v>255</v>
      </c>
      <c r="EN180">
        <v>255</v>
      </c>
      <c r="EO180">
        <v>255</v>
      </c>
      <c r="EP180">
        <v>255</v>
      </c>
      <c r="EQ180">
        <v>255</v>
      </c>
      <c r="ER180" t="s">
        <v>208</v>
      </c>
      <c r="ES180" t="s">
        <v>209</v>
      </c>
      <c r="ET180" t="s">
        <v>209</v>
      </c>
      <c r="EU180">
        <v>0</v>
      </c>
      <c r="EV180">
        <v>16.2</v>
      </c>
      <c r="EW180">
        <v>-114.7</v>
      </c>
      <c r="EX180">
        <v>-0.2</v>
      </c>
      <c r="EY180">
        <v>0</v>
      </c>
      <c r="EZ180">
        <v>0</v>
      </c>
      <c r="FA180">
        <v>0</v>
      </c>
      <c r="FB180" t="s">
        <v>198</v>
      </c>
      <c r="FC180" t="s">
        <v>198</v>
      </c>
      <c r="FD180" t="s">
        <v>198</v>
      </c>
      <c r="FE180" t="s">
        <v>198</v>
      </c>
      <c r="FF180" t="s">
        <v>198</v>
      </c>
      <c r="FG180" t="s">
        <v>198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 t="s">
        <v>203</v>
      </c>
      <c r="FP180" t="s">
        <v>203</v>
      </c>
      <c r="FQ180" t="s">
        <v>203</v>
      </c>
      <c r="FR180" t="s">
        <v>203</v>
      </c>
      <c r="FS180" t="s">
        <v>203</v>
      </c>
      <c r="FT180" t="s">
        <v>203</v>
      </c>
      <c r="FU180" t="s">
        <v>198</v>
      </c>
      <c r="FV180" t="s">
        <v>198</v>
      </c>
      <c r="FW180" t="s">
        <v>198</v>
      </c>
      <c r="FX180" t="s">
        <v>198</v>
      </c>
      <c r="FY180" t="s">
        <v>198</v>
      </c>
      <c r="FZ180" t="s">
        <v>198</v>
      </c>
      <c r="GA180">
        <v>31.2</v>
      </c>
      <c r="GB180">
        <v>31.2</v>
      </c>
      <c r="GC180" t="s">
        <v>203</v>
      </c>
      <c r="GD180">
        <v>0</v>
      </c>
      <c r="GE180">
        <v>504</v>
      </c>
      <c r="GF180">
        <v>0</v>
      </c>
      <c r="GG180">
        <v>0</v>
      </c>
      <c r="GH180">
        <v>0</v>
      </c>
      <c r="GI180">
        <v>1</v>
      </c>
      <c r="GJ180">
        <v>1</v>
      </c>
      <c r="GK180">
        <v>0</v>
      </c>
      <c r="GL180" t="s">
        <v>198</v>
      </c>
      <c r="GM180" t="s">
        <v>198</v>
      </c>
      <c r="GN180" t="s">
        <v>198</v>
      </c>
    </row>
    <row r="181" spans="1:196">
      <c r="A181" s="19">
        <v>46316.90597619213</v>
      </c>
      <c r="B181">
        <v>0</v>
      </c>
      <c r="C181">
        <v>0</v>
      </c>
      <c r="D181">
        <v>277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584.2</v>
      </c>
      <c r="N181">
        <v>-0.5</v>
      </c>
      <c r="O181">
        <v>0</v>
      </c>
      <c r="P181">
        <v>0</v>
      </c>
      <c r="Q181">
        <v>0</v>
      </c>
      <c r="R181">
        <v>0</v>
      </c>
      <c r="S181">
        <v>115.6</v>
      </c>
      <c r="T181" t="s">
        <v>485</v>
      </c>
      <c r="U181">
        <v>115.7</v>
      </c>
      <c r="V181">
        <v>1762727256586.8</v>
      </c>
      <c r="W181">
        <v>1</v>
      </c>
      <c r="X181" t="s">
        <v>197</v>
      </c>
      <c r="Y181">
        <v>0</v>
      </c>
      <c r="Z181">
        <v>98</v>
      </c>
      <c r="AA181">
        <v>278</v>
      </c>
      <c r="AB181" t="s">
        <v>197</v>
      </c>
      <c r="AC181" t="s">
        <v>198</v>
      </c>
      <c r="AD181" t="s">
        <v>199</v>
      </c>
      <c r="AE181">
        <v>0</v>
      </c>
      <c r="AF181">
        <v>44</v>
      </c>
      <c r="AG181">
        <v>255</v>
      </c>
      <c r="AH181">
        <v>0</v>
      </c>
      <c r="AI181">
        <v>0</v>
      </c>
      <c r="AJ181">
        <v>0</v>
      </c>
      <c r="AK181">
        <v>12.6</v>
      </c>
      <c r="AL181">
        <v>0</v>
      </c>
      <c r="AM181">
        <v>0</v>
      </c>
      <c r="AN181" t="s">
        <v>197</v>
      </c>
      <c r="AO181">
        <v>100</v>
      </c>
      <c r="AP181" t="s">
        <v>197</v>
      </c>
      <c r="AQ181" t="s">
        <v>200</v>
      </c>
      <c r="AR181">
        <v>1</v>
      </c>
      <c r="AS181">
        <v>0</v>
      </c>
      <c r="AT181" t="s">
        <v>527</v>
      </c>
      <c r="AU181" t="s">
        <v>527</v>
      </c>
      <c r="AV181" t="s">
        <v>202</v>
      </c>
      <c r="AW181" t="s">
        <v>203</v>
      </c>
      <c r="AX181" t="s">
        <v>203</v>
      </c>
      <c r="AY181" t="s">
        <v>203</v>
      </c>
      <c r="AZ181" t="s">
        <v>203</v>
      </c>
      <c r="BA181" t="s">
        <v>203</v>
      </c>
      <c r="BB181" t="s">
        <v>203</v>
      </c>
      <c r="BC181" t="s">
        <v>203</v>
      </c>
      <c r="BD181" t="s">
        <v>203</v>
      </c>
      <c r="BE181" t="s">
        <v>203</v>
      </c>
      <c r="BF181">
        <v>0</v>
      </c>
      <c r="BG181">
        <v>0.2</v>
      </c>
      <c r="BH181">
        <v>50</v>
      </c>
      <c r="BI181">
        <v>0</v>
      </c>
      <c r="BJ181" t="s">
        <v>198</v>
      </c>
      <c r="BK181" t="s">
        <v>198</v>
      </c>
      <c r="BL181" t="s">
        <v>198</v>
      </c>
      <c r="BM181" t="s">
        <v>198</v>
      </c>
      <c r="BN181" t="s">
        <v>198</v>
      </c>
      <c r="BO181" t="s">
        <v>198</v>
      </c>
      <c r="BP181" t="s">
        <v>198</v>
      </c>
      <c r="BQ181" t="s">
        <v>198</v>
      </c>
      <c r="BR181" t="s">
        <v>198</v>
      </c>
      <c r="BS181" t="s">
        <v>198</v>
      </c>
      <c r="BT181" t="s">
        <v>198</v>
      </c>
      <c r="BU181" t="s">
        <v>198</v>
      </c>
      <c r="BV181" t="s">
        <v>198</v>
      </c>
      <c r="BW181" t="s">
        <v>198</v>
      </c>
      <c r="BX181" t="s">
        <v>198</v>
      </c>
      <c r="BY181" t="s">
        <v>198</v>
      </c>
      <c r="BZ181" t="s">
        <v>198</v>
      </c>
      <c r="CA181" t="s">
        <v>198</v>
      </c>
      <c r="CB181" t="s">
        <v>204</v>
      </c>
      <c r="CC181" t="s">
        <v>204</v>
      </c>
      <c r="CD181" t="s">
        <v>204</v>
      </c>
      <c r="CE181" t="s">
        <v>204</v>
      </c>
      <c r="CF181" t="s">
        <v>204</v>
      </c>
      <c r="CG181" t="s">
        <v>204</v>
      </c>
      <c r="CH181" t="s">
        <v>204</v>
      </c>
      <c r="CI181" t="s">
        <v>204</v>
      </c>
      <c r="CJ181" t="s">
        <v>204</v>
      </c>
      <c r="CK181" t="s">
        <v>204</v>
      </c>
      <c r="CL181" t="s">
        <v>204</v>
      </c>
      <c r="CM181" t="s">
        <v>204</v>
      </c>
      <c r="CN181" t="s">
        <v>203</v>
      </c>
      <c r="CO181" t="s">
        <v>203</v>
      </c>
      <c r="CP181" t="s">
        <v>203</v>
      </c>
      <c r="CQ181" t="s">
        <v>203</v>
      </c>
      <c r="CR181" t="s">
        <v>203</v>
      </c>
      <c r="CS181" t="s">
        <v>203</v>
      </c>
      <c r="CT181" t="s">
        <v>203</v>
      </c>
      <c r="CU181" t="s">
        <v>203</v>
      </c>
      <c r="CV181">
        <v>0</v>
      </c>
      <c r="CW181">
        <v>0</v>
      </c>
      <c r="CX181" t="s">
        <v>198</v>
      </c>
      <c r="CY181" t="s">
        <v>198</v>
      </c>
      <c r="CZ181" t="s">
        <v>198</v>
      </c>
      <c r="DA181" t="s">
        <v>198</v>
      </c>
      <c r="DB181" t="s">
        <v>198</v>
      </c>
      <c r="DC181">
        <v>0</v>
      </c>
      <c r="DD181">
        <v>0</v>
      </c>
      <c r="DE181">
        <v>0</v>
      </c>
      <c r="DF181">
        <v>0</v>
      </c>
      <c r="DG181">
        <v>-35.3631166</v>
      </c>
      <c r="DH181">
        <v>149.1639735</v>
      </c>
      <c r="DI181" t="s">
        <v>360</v>
      </c>
      <c r="DJ181">
        <v>1.2</v>
      </c>
      <c r="DK181">
        <v>2</v>
      </c>
      <c r="DL181">
        <v>159.8</v>
      </c>
      <c r="DM181">
        <v>0</v>
      </c>
      <c r="DN181">
        <v>6</v>
      </c>
      <c r="DO181">
        <v>10</v>
      </c>
      <c r="DP181">
        <v>0</v>
      </c>
      <c r="DQ181">
        <v>255</v>
      </c>
      <c r="DR181">
        <v>255</v>
      </c>
      <c r="DS181">
        <v>255</v>
      </c>
      <c r="DT181">
        <v>255</v>
      </c>
      <c r="DU181">
        <v>255</v>
      </c>
      <c r="DV181">
        <v>255</v>
      </c>
      <c r="DW181">
        <v>255</v>
      </c>
      <c r="DX181" t="s">
        <v>206</v>
      </c>
      <c r="DY181" t="s">
        <v>206</v>
      </c>
      <c r="DZ181" t="s">
        <v>207</v>
      </c>
      <c r="EA181" t="s">
        <v>198</v>
      </c>
      <c r="EB181" t="s">
        <v>198</v>
      </c>
      <c r="EC181" t="s">
        <v>198</v>
      </c>
      <c r="ED181">
        <v>0</v>
      </c>
      <c r="EE181">
        <v>0</v>
      </c>
      <c r="EF181">
        <v>0</v>
      </c>
      <c r="EG181">
        <v>0</v>
      </c>
      <c r="EH181">
        <v>255</v>
      </c>
      <c r="EI181">
        <v>255</v>
      </c>
      <c r="EJ181">
        <v>255</v>
      </c>
      <c r="EK181">
        <v>255</v>
      </c>
      <c r="EL181">
        <v>255</v>
      </c>
      <c r="EM181">
        <v>255</v>
      </c>
      <c r="EN181">
        <v>255</v>
      </c>
      <c r="EO181">
        <v>255</v>
      </c>
      <c r="EP181">
        <v>255</v>
      </c>
      <c r="EQ181">
        <v>255</v>
      </c>
      <c r="ER181" t="s">
        <v>208</v>
      </c>
      <c r="ES181" t="s">
        <v>209</v>
      </c>
      <c r="ET181" t="s">
        <v>209</v>
      </c>
      <c r="EU181">
        <v>0</v>
      </c>
      <c r="EV181">
        <v>16.2</v>
      </c>
      <c r="EW181">
        <v>-114.7</v>
      </c>
      <c r="EX181">
        <v>-0.2</v>
      </c>
      <c r="EY181">
        <v>0</v>
      </c>
      <c r="EZ181">
        <v>0</v>
      </c>
      <c r="FA181">
        <v>0</v>
      </c>
      <c r="FB181" t="s">
        <v>198</v>
      </c>
      <c r="FC181" t="s">
        <v>198</v>
      </c>
      <c r="FD181" t="s">
        <v>198</v>
      </c>
      <c r="FE181" t="s">
        <v>198</v>
      </c>
      <c r="FF181" t="s">
        <v>198</v>
      </c>
      <c r="FG181" t="s">
        <v>198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 t="s">
        <v>203</v>
      </c>
      <c r="FP181" t="s">
        <v>203</v>
      </c>
      <c r="FQ181" t="s">
        <v>203</v>
      </c>
      <c r="FR181" t="s">
        <v>203</v>
      </c>
      <c r="FS181" t="s">
        <v>203</v>
      </c>
      <c r="FT181" t="s">
        <v>203</v>
      </c>
      <c r="FU181" t="s">
        <v>198</v>
      </c>
      <c r="FV181" t="s">
        <v>198</v>
      </c>
      <c r="FW181" t="s">
        <v>198</v>
      </c>
      <c r="FX181" t="s">
        <v>198</v>
      </c>
      <c r="FY181" t="s">
        <v>198</v>
      </c>
      <c r="FZ181" t="s">
        <v>198</v>
      </c>
      <c r="GA181">
        <v>31.2</v>
      </c>
      <c r="GB181">
        <v>31.2</v>
      </c>
      <c r="GC181" t="s">
        <v>203</v>
      </c>
      <c r="GD181">
        <v>0</v>
      </c>
      <c r="GE181">
        <v>504</v>
      </c>
      <c r="GF181">
        <v>0</v>
      </c>
      <c r="GG181">
        <v>0</v>
      </c>
      <c r="GH181">
        <v>0</v>
      </c>
      <c r="GI181">
        <v>1</v>
      </c>
      <c r="GJ181">
        <v>1</v>
      </c>
      <c r="GK181">
        <v>0</v>
      </c>
      <c r="GL181" t="s">
        <v>198</v>
      </c>
      <c r="GM181" t="s">
        <v>198</v>
      </c>
      <c r="GN181" t="s">
        <v>198</v>
      </c>
    </row>
    <row r="182" spans="1:196">
      <c r="A182" s="19">
        <v>46316.9059877662</v>
      </c>
      <c r="B182">
        <v>0</v>
      </c>
      <c r="C182">
        <v>0</v>
      </c>
      <c r="D182">
        <v>277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584.2</v>
      </c>
      <c r="N182">
        <v>-0.5</v>
      </c>
      <c r="O182">
        <v>0</v>
      </c>
      <c r="P182">
        <v>0</v>
      </c>
      <c r="Q182">
        <v>0</v>
      </c>
      <c r="R182">
        <v>0</v>
      </c>
      <c r="S182">
        <v>115.6</v>
      </c>
      <c r="T182" t="s">
        <v>485</v>
      </c>
      <c r="U182">
        <v>115.7</v>
      </c>
      <c r="V182">
        <v>1762727256586.8</v>
      </c>
      <c r="W182">
        <v>1</v>
      </c>
      <c r="X182" t="s">
        <v>197</v>
      </c>
      <c r="Y182">
        <v>0</v>
      </c>
      <c r="Z182">
        <v>98</v>
      </c>
      <c r="AA182">
        <v>278</v>
      </c>
      <c r="AB182" t="s">
        <v>197</v>
      </c>
      <c r="AC182" t="s">
        <v>198</v>
      </c>
      <c r="AD182" t="s">
        <v>199</v>
      </c>
      <c r="AE182">
        <v>0</v>
      </c>
      <c r="AF182">
        <v>44</v>
      </c>
      <c r="AG182">
        <v>255</v>
      </c>
      <c r="AH182">
        <v>0</v>
      </c>
      <c r="AI182">
        <v>0</v>
      </c>
      <c r="AJ182">
        <v>0</v>
      </c>
      <c r="AK182">
        <v>12.6</v>
      </c>
      <c r="AL182">
        <v>0</v>
      </c>
      <c r="AM182">
        <v>0</v>
      </c>
      <c r="AN182" t="s">
        <v>197</v>
      </c>
      <c r="AO182">
        <v>100</v>
      </c>
      <c r="AP182" t="s">
        <v>197</v>
      </c>
      <c r="AQ182" t="s">
        <v>200</v>
      </c>
      <c r="AR182">
        <v>1</v>
      </c>
      <c r="AS182">
        <v>0</v>
      </c>
      <c r="AT182" t="s">
        <v>528</v>
      </c>
      <c r="AU182" t="s">
        <v>528</v>
      </c>
      <c r="AV182" t="s">
        <v>202</v>
      </c>
      <c r="AW182" t="s">
        <v>203</v>
      </c>
      <c r="AX182" t="s">
        <v>203</v>
      </c>
      <c r="AY182" t="s">
        <v>203</v>
      </c>
      <c r="AZ182" t="s">
        <v>203</v>
      </c>
      <c r="BA182" t="s">
        <v>203</v>
      </c>
      <c r="BB182" t="s">
        <v>203</v>
      </c>
      <c r="BC182" t="s">
        <v>203</v>
      </c>
      <c r="BD182" t="s">
        <v>203</v>
      </c>
      <c r="BE182" t="s">
        <v>203</v>
      </c>
      <c r="BF182">
        <v>0</v>
      </c>
      <c r="BG182">
        <v>0.2</v>
      </c>
      <c r="BH182">
        <v>50</v>
      </c>
      <c r="BI182">
        <v>0</v>
      </c>
      <c r="BJ182" t="s">
        <v>198</v>
      </c>
      <c r="BK182" t="s">
        <v>198</v>
      </c>
      <c r="BL182" t="s">
        <v>198</v>
      </c>
      <c r="BM182" t="s">
        <v>198</v>
      </c>
      <c r="BN182" t="s">
        <v>198</v>
      </c>
      <c r="BO182" t="s">
        <v>198</v>
      </c>
      <c r="BP182" t="s">
        <v>198</v>
      </c>
      <c r="BQ182" t="s">
        <v>198</v>
      </c>
      <c r="BR182" t="s">
        <v>198</v>
      </c>
      <c r="BS182" t="s">
        <v>198</v>
      </c>
      <c r="BT182" t="s">
        <v>198</v>
      </c>
      <c r="BU182" t="s">
        <v>198</v>
      </c>
      <c r="BV182" t="s">
        <v>198</v>
      </c>
      <c r="BW182" t="s">
        <v>198</v>
      </c>
      <c r="BX182" t="s">
        <v>198</v>
      </c>
      <c r="BY182" t="s">
        <v>198</v>
      </c>
      <c r="BZ182" t="s">
        <v>198</v>
      </c>
      <c r="CA182" t="s">
        <v>198</v>
      </c>
      <c r="CB182" t="s">
        <v>204</v>
      </c>
      <c r="CC182" t="s">
        <v>204</v>
      </c>
      <c r="CD182" t="s">
        <v>204</v>
      </c>
      <c r="CE182" t="s">
        <v>204</v>
      </c>
      <c r="CF182" t="s">
        <v>204</v>
      </c>
      <c r="CG182" t="s">
        <v>204</v>
      </c>
      <c r="CH182" t="s">
        <v>204</v>
      </c>
      <c r="CI182" t="s">
        <v>204</v>
      </c>
      <c r="CJ182" t="s">
        <v>204</v>
      </c>
      <c r="CK182" t="s">
        <v>204</v>
      </c>
      <c r="CL182" t="s">
        <v>204</v>
      </c>
      <c r="CM182" t="s">
        <v>204</v>
      </c>
      <c r="CN182" t="s">
        <v>203</v>
      </c>
      <c r="CO182" t="s">
        <v>203</v>
      </c>
      <c r="CP182" t="s">
        <v>203</v>
      </c>
      <c r="CQ182" t="s">
        <v>203</v>
      </c>
      <c r="CR182" t="s">
        <v>203</v>
      </c>
      <c r="CS182" t="s">
        <v>203</v>
      </c>
      <c r="CT182" t="s">
        <v>203</v>
      </c>
      <c r="CU182" t="s">
        <v>203</v>
      </c>
      <c r="CV182">
        <v>0</v>
      </c>
      <c r="CW182">
        <v>0</v>
      </c>
      <c r="CX182" t="s">
        <v>198</v>
      </c>
      <c r="CY182" t="s">
        <v>198</v>
      </c>
      <c r="CZ182" t="s">
        <v>198</v>
      </c>
      <c r="DA182" t="s">
        <v>198</v>
      </c>
      <c r="DB182" t="s">
        <v>198</v>
      </c>
      <c r="DC182">
        <v>0</v>
      </c>
      <c r="DD182">
        <v>0</v>
      </c>
      <c r="DE182">
        <v>0</v>
      </c>
      <c r="DF182">
        <v>0</v>
      </c>
      <c r="DG182">
        <v>-35.3631166</v>
      </c>
      <c r="DH182">
        <v>149.1639735</v>
      </c>
      <c r="DI182" t="s">
        <v>360</v>
      </c>
      <c r="DJ182">
        <v>1.2</v>
      </c>
      <c r="DK182">
        <v>2</v>
      </c>
      <c r="DL182">
        <v>159.8</v>
      </c>
      <c r="DM182">
        <v>0</v>
      </c>
      <c r="DN182">
        <v>6</v>
      </c>
      <c r="DO182">
        <v>10</v>
      </c>
      <c r="DP182">
        <v>0</v>
      </c>
      <c r="DQ182">
        <v>255</v>
      </c>
      <c r="DR182">
        <v>255</v>
      </c>
      <c r="DS182">
        <v>255</v>
      </c>
      <c r="DT182">
        <v>255</v>
      </c>
      <c r="DU182">
        <v>255</v>
      </c>
      <c r="DV182">
        <v>255</v>
      </c>
      <c r="DW182">
        <v>255</v>
      </c>
      <c r="DX182" t="s">
        <v>206</v>
      </c>
      <c r="DY182" t="s">
        <v>206</v>
      </c>
      <c r="DZ182" t="s">
        <v>207</v>
      </c>
      <c r="EA182" t="s">
        <v>198</v>
      </c>
      <c r="EB182" t="s">
        <v>198</v>
      </c>
      <c r="EC182" t="s">
        <v>198</v>
      </c>
      <c r="ED182">
        <v>0</v>
      </c>
      <c r="EE182">
        <v>0</v>
      </c>
      <c r="EF182">
        <v>0</v>
      </c>
      <c r="EG182">
        <v>0</v>
      </c>
      <c r="EH182">
        <v>255</v>
      </c>
      <c r="EI182">
        <v>255</v>
      </c>
      <c r="EJ182">
        <v>255</v>
      </c>
      <c r="EK182">
        <v>255</v>
      </c>
      <c r="EL182">
        <v>255</v>
      </c>
      <c r="EM182">
        <v>255</v>
      </c>
      <c r="EN182">
        <v>255</v>
      </c>
      <c r="EO182">
        <v>255</v>
      </c>
      <c r="EP182">
        <v>255</v>
      </c>
      <c r="EQ182">
        <v>255</v>
      </c>
      <c r="ER182" t="s">
        <v>208</v>
      </c>
      <c r="ES182" t="s">
        <v>209</v>
      </c>
      <c r="ET182" t="s">
        <v>209</v>
      </c>
      <c r="EU182">
        <v>0</v>
      </c>
      <c r="EV182">
        <v>16.2</v>
      </c>
      <c r="EW182">
        <v>-114.7</v>
      </c>
      <c r="EX182">
        <v>-0.2</v>
      </c>
      <c r="EY182">
        <v>0</v>
      </c>
      <c r="EZ182">
        <v>0</v>
      </c>
      <c r="FA182">
        <v>0</v>
      </c>
      <c r="FB182" t="s">
        <v>198</v>
      </c>
      <c r="FC182" t="s">
        <v>198</v>
      </c>
      <c r="FD182" t="s">
        <v>198</v>
      </c>
      <c r="FE182" t="s">
        <v>198</v>
      </c>
      <c r="FF182" t="s">
        <v>198</v>
      </c>
      <c r="FG182" t="s">
        <v>198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 t="s">
        <v>203</v>
      </c>
      <c r="FP182" t="s">
        <v>203</v>
      </c>
      <c r="FQ182" t="s">
        <v>203</v>
      </c>
      <c r="FR182" t="s">
        <v>203</v>
      </c>
      <c r="FS182" t="s">
        <v>203</v>
      </c>
      <c r="FT182" t="s">
        <v>203</v>
      </c>
      <c r="FU182" t="s">
        <v>198</v>
      </c>
      <c r="FV182" t="s">
        <v>198</v>
      </c>
      <c r="FW182" t="s">
        <v>198</v>
      </c>
      <c r="FX182" t="s">
        <v>198</v>
      </c>
      <c r="FY182" t="s">
        <v>198</v>
      </c>
      <c r="FZ182" t="s">
        <v>198</v>
      </c>
      <c r="GA182">
        <v>31.2</v>
      </c>
      <c r="GB182">
        <v>31.2</v>
      </c>
      <c r="GC182" t="s">
        <v>203</v>
      </c>
      <c r="GD182">
        <v>0</v>
      </c>
      <c r="GE182">
        <v>504</v>
      </c>
      <c r="GF182">
        <v>0</v>
      </c>
      <c r="GG182">
        <v>0</v>
      </c>
      <c r="GH182">
        <v>0</v>
      </c>
      <c r="GI182">
        <v>1</v>
      </c>
      <c r="GJ182">
        <v>1</v>
      </c>
      <c r="GK182">
        <v>0</v>
      </c>
      <c r="GL182" t="s">
        <v>198</v>
      </c>
      <c r="GM182" t="s">
        <v>198</v>
      </c>
      <c r="GN182" t="s">
        <v>198</v>
      </c>
    </row>
    <row r="183" spans="1:196">
      <c r="A183" s="19">
        <v>46316.90599934028</v>
      </c>
      <c r="B183">
        <v>0</v>
      </c>
      <c r="C183">
        <v>0</v>
      </c>
      <c r="D183">
        <v>277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584.2</v>
      </c>
      <c r="N183">
        <v>-0.5</v>
      </c>
      <c r="O183">
        <v>0</v>
      </c>
      <c r="P183">
        <v>0</v>
      </c>
      <c r="Q183">
        <v>0</v>
      </c>
      <c r="R183">
        <v>0</v>
      </c>
      <c r="S183">
        <v>115.6</v>
      </c>
      <c r="T183" t="s">
        <v>485</v>
      </c>
      <c r="U183">
        <v>115.7</v>
      </c>
      <c r="V183">
        <v>1762727256586.8</v>
      </c>
      <c r="W183">
        <v>1</v>
      </c>
      <c r="X183" t="s">
        <v>197</v>
      </c>
      <c r="Y183">
        <v>0</v>
      </c>
      <c r="Z183">
        <v>98</v>
      </c>
      <c r="AA183">
        <v>278</v>
      </c>
      <c r="AB183" t="s">
        <v>197</v>
      </c>
      <c r="AC183" t="s">
        <v>198</v>
      </c>
      <c r="AD183" t="s">
        <v>199</v>
      </c>
      <c r="AE183">
        <v>0</v>
      </c>
      <c r="AF183">
        <v>44</v>
      </c>
      <c r="AG183">
        <v>255</v>
      </c>
      <c r="AH183">
        <v>0</v>
      </c>
      <c r="AI183">
        <v>0</v>
      </c>
      <c r="AJ183">
        <v>0</v>
      </c>
      <c r="AK183">
        <v>12.6</v>
      </c>
      <c r="AL183">
        <v>0</v>
      </c>
      <c r="AM183">
        <v>0</v>
      </c>
      <c r="AN183" t="s">
        <v>197</v>
      </c>
      <c r="AO183">
        <v>100</v>
      </c>
      <c r="AP183" t="s">
        <v>197</v>
      </c>
      <c r="AQ183" t="s">
        <v>200</v>
      </c>
      <c r="AR183">
        <v>1</v>
      </c>
      <c r="AS183">
        <v>0</v>
      </c>
      <c r="AT183" t="s">
        <v>529</v>
      </c>
      <c r="AU183" t="s">
        <v>529</v>
      </c>
      <c r="AV183" t="s">
        <v>202</v>
      </c>
      <c r="AW183" t="s">
        <v>203</v>
      </c>
      <c r="AX183" t="s">
        <v>203</v>
      </c>
      <c r="AY183" t="s">
        <v>203</v>
      </c>
      <c r="AZ183" t="s">
        <v>203</v>
      </c>
      <c r="BA183" t="s">
        <v>203</v>
      </c>
      <c r="BB183" t="s">
        <v>203</v>
      </c>
      <c r="BC183" t="s">
        <v>203</v>
      </c>
      <c r="BD183" t="s">
        <v>203</v>
      </c>
      <c r="BE183" t="s">
        <v>203</v>
      </c>
      <c r="BF183">
        <v>0</v>
      </c>
      <c r="BG183">
        <v>0.2</v>
      </c>
      <c r="BH183">
        <v>50</v>
      </c>
      <c r="BI183">
        <v>0</v>
      </c>
      <c r="BJ183" t="s">
        <v>198</v>
      </c>
      <c r="BK183" t="s">
        <v>198</v>
      </c>
      <c r="BL183" t="s">
        <v>198</v>
      </c>
      <c r="BM183" t="s">
        <v>198</v>
      </c>
      <c r="BN183" t="s">
        <v>198</v>
      </c>
      <c r="BO183" t="s">
        <v>198</v>
      </c>
      <c r="BP183" t="s">
        <v>198</v>
      </c>
      <c r="BQ183" t="s">
        <v>198</v>
      </c>
      <c r="BR183" t="s">
        <v>198</v>
      </c>
      <c r="BS183" t="s">
        <v>198</v>
      </c>
      <c r="BT183" t="s">
        <v>198</v>
      </c>
      <c r="BU183" t="s">
        <v>198</v>
      </c>
      <c r="BV183" t="s">
        <v>198</v>
      </c>
      <c r="BW183" t="s">
        <v>198</v>
      </c>
      <c r="BX183" t="s">
        <v>198</v>
      </c>
      <c r="BY183" t="s">
        <v>198</v>
      </c>
      <c r="BZ183" t="s">
        <v>198</v>
      </c>
      <c r="CA183" t="s">
        <v>198</v>
      </c>
      <c r="CB183" t="s">
        <v>204</v>
      </c>
      <c r="CC183" t="s">
        <v>204</v>
      </c>
      <c r="CD183" t="s">
        <v>204</v>
      </c>
      <c r="CE183" t="s">
        <v>204</v>
      </c>
      <c r="CF183" t="s">
        <v>204</v>
      </c>
      <c r="CG183" t="s">
        <v>204</v>
      </c>
      <c r="CH183" t="s">
        <v>204</v>
      </c>
      <c r="CI183" t="s">
        <v>204</v>
      </c>
      <c r="CJ183" t="s">
        <v>204</v>
      </c>
      <c r="CK183" t="s">
        <v>204</v>
      </c>
      <c r="CL183" t="s">
        <v>204</v>
      </c>
      <c r="CM183" t="s">
        <v>204</v>
      </c>
      <c r="CN183" t="s">
        <v>203</v>
      </c>
      <c r="CO183" t="s">
        <v>203</v>
      </c>
      <c r="CP183" t="s">
        <v>203</v>
      </c>
      <c r="CQ183" t="s">
        <v>203</v>
      </c>
      <c r="CR183" t="s">
        <v>203</v>
      </c>
      <c r="CS183" t="s">
        <v>203</v>
      </c>
      <c r="CT183" t="s">
        <v>203</v>
      </c>
      <c r="CU183" t="s">
        <v>203</v>
      </c>
      <c r="CV183">
        <v>0</v>
      </c>
      <c r="CW183">
        <v>0</v>
      </c>
      <c r="CX183" t="s">
        <v>198</v>
      </c>
      <c r="CY183" t="s">
        <v>198</v>
      </c>
      <c r="CZ183" t="s">
        <v>198</v>
      </c>
      <c r="DA183" t="s">
        <v>198</v>
      </c>
      <c r="DB183" t="s">
        <v>198</v>
      </c>
      <c r="DC183">
        <v>0</v>
      </c>
      <c r="DD183">
        <v>0</v>
      </c>
      <c r="DE183">
        <v>0</v>
      </c>
      <c r="DF183">
        <v>0</v>
      </c>
      <c r="DG183">
        <v>-35.3631166</v>
      </c>
      <c r="DH183">
        <v>149.1639735</v>
      </c>
      <c r="DI183" t="s">
        <v>360</v>
      </c>
      <c r="DJ183">
        <v>1.2</v>
      </c>
      <c r="DK183">
        <v>2</v>
      </c>
      <c r="DL183">
        <v>159.8</v>
      </c>
      <c r="DM183">
        <v>0</v>
      </c>
      <c r="DN183">
        <v>6</v>
      </c>
      <c r="DO183">
        <v>10</v>
      </c>
      <c r="DP183">
        <v>0</v>
      </c>
      <c r="DQ183">
        <v>255</v>
      </c>
      <c r="DR183">
        <v>255</v>
      </c>
      <c r="DS183">
        <v>255</v>
      </c>
      <c r="DT183">
        <v>255</v>
      </c>
      <c r="DU183">
        <v>255</v>
      </c>
      <c r="DV183">
        <v>255</v>
      </c>
      <c r="DW183">
        <v>255</v>
      </c>
      <c r="DX183" t="s">
        <v>206</v>
      </c>
      <c r="DY183" t="s">
        <v>206</v>
      </c>
      <c r="DZ183" t="s">
        <v>207</v>
      </c>
      <c r="EA183" t="s">
        <v>198</v>
      </c>
      <c r="EB183" t="s">
        <v>198</v>
      </c>
      <c r="EC183" t="s">
        <v>198</v>
      </c>
      <c r="ED183">
        <v>0</v>
      </c>
      <c r="EE183">
        <v>0</v>
      </c>
      <c r="EF183">
        <v>0</v>
      </c>
      <c r="EG183">
        <v>0</v>
      </c>
      <c r="EH183">
        <v>255</v>
      </c>
      <c r="EI183">
        <v>255</v>
      </c>
      <c r="EJ183">
        <v>255</v>
      </c>
      <c r="EK183">
        <v>255</v>
      </c>
      <c r="EL183">
        <v>255</v>
      </c>
      <c r="EM183">
        <v>255</v>
      </c>
      <c r="EN183">
        <v>255</v>
      </c>
      <c r="EO183">
        <v>255</v>
      </c>
      <c r="EP183">
        <v>255</v>
      </c>
      <c r="EQ183">
        <v>255</v>
      </c>
      <c r="ER183" t="s">
        <v>208</v>
      </c>
      <c r="ES183" t="s">
        <v>209</v>
      </c>
      <c r="ET183" t="s">
        <v>209</v>
      </c>
      <c r="EU183">
        <v>0</v>
      </c>
      <c r="EV183">
        <v>16.2</v>
      </c>
      <c r="EW183">
        <v>-114.7</v>
      </c>
      <c r="EX183">
        <v>-0.2</v>
      </c>
      <c r="EY183">
        <v>0</v>
      </c>
      <c r="EZ183">
        <v>0</v>
      </c>
      <c r="FA183">
        <v>0</v>
      </c>
      <c r="FB183" t="s">
        <v>198</v>
      </c>
      <c r="FC183" t="s">
        <v>198</v>
      </c>
      <c r="FD183" t="s">
        <v>198</v>
      </c>
      <c r="FE183" t="s">
        <v>198</v>
      </c>
      <c r="FF183" t="s">
        <v>198</v>
      </c>
      <c r="FG183" t="s">
        <v>198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203</v>
      </c>
      <c r="FP183" t="s">
        <v>203</v>
      </c>
      <c r="FQ183" t="s">
        <v>203</v>
      </c>
      <c r="FR183" t="s">
        <v>203</v>
      </c>
      <c r="FS183" t="s">
        <v>203</v>
      </c>
      <c r="FT183" t="s">
        <v>203</v>
      </c>
      <c r="FU183" t="s">
        <v>198</v>
      </c>
      <c r="FV183" t="s">
        <v>198</v>
      </c>
      <c r="FW183" t="s">
        <v>198</v>
      </c>
      <c r="FX183" t="s">
        <v>198</v>
      </c>
      <c r="FY183" t="s">
        <v>198</v>
      </c>
      <c r="FZ183" t="s">
        <v>198</v>
      </c>
      <c r="GA183">
        <v>31.2</v>
      </c>
      <c r="GB183">
        <v>31.2</v>
      </c>
      <c r="GC183" t="s">
        <v>203</v>
      </c>
      <c r="GD183">
        <v>0</v>
      </c>
      <c r="GE183">
        <v>504</v>
      </c>
      <c r="GF183">
        <v>0</v>
      </c>
      <c r="GG183">
        <v>0</v>
      </c>
      <c r="GH183">
        <v>0</v>
      </c>
      <c r="GI183">
        <v>1</v>
      </c>
      <c r="GJ183">
        <v>1</v>
      </c>
      <c r="GK183">
        <v>0</v>
      </c>
      <c r="GL183" t="s">
        <v>198</v>
      </c>
      <c r="GM183" t="s">
        <v>198</v>
      </c>
      <c r="GN183" t="s">
        <v>198</v>
      </c>
    </row>
    <row r="184" spans="1:196">
      <c r="A184" s="19">
        <v>46316.90601091435</v>
      </c>
      <c r="B184">
        <v>0</v>
      </c>
      <c r="C184">
        <v>0</v>
      </c>
      <c r="D184">
        <v>277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584.2</v>
      </c>
      <c r="N184">
        <v>-0.5</v>
      </c>
      <c r="O184">
        <v>0</v>
      </c>
      <c r="P184">
        <v>0</v>
      </c>
      <c r="Q184">
        <v>0</v>
      </c>
      <c r="R184">
        <v>0</v>
      </c>
      <c r="S184">
        <v>115.6</v>
      </c>
      <c r="T184" t="s">
        <v>485</v>
      </c>
      <c r="U184">
        <v>115.7</v>
      </c>
      <c r="V184">
        <v>1762727256586.8</v>
      </c>
      <c r="W184">
        <v>1</v>
      </c>
      <c r="X184" t="s">
        <v>197</v>
      </c>
      <c r="Y184">
        <v>0</v>
      </c>
      <c r="Z184">
        <v>98</v>
      </c>
      <c r="AA184">
        <v>278</v>
      </c>
      <c r="AB184" t="s">
        <v>197</v>
      </c>
      <c r="AC184" t="s">
        <v>198</v>
      </c>
      <c r="AD184" t="s">
        <v>199</v>
      </c>
      <c r="AE184">
        <v>0</v>
      </c>
      <c r="AF184">
        <v>44</v>
      </c>
      <c r="AG184">
        <v>255</v>
      </c>
      <c r="AH184">
        <v>0</v>
      </c>
      <c r="AI184">
        <v>0</v>
      </c>
      <c r="AJ184">
        <v>0</v>
      </c>
      <c r="AK184">
        <v>12.6</v>
      </c>
      <c r="AL184">
        <v>0</v>
      </c>
      <c r="AM184">
        <v>0</v>
      </c>
      <c r="AN184" t="s">
        <v>197</v>
      </c>
      <c r="AO184">
        <v>100</v>
      </c>
      <c r="AP184" t="s">
        <v>197</v>
      </c>
      <c r="AQ184" t="s">
        <v>200</v>
      </c>
      <c r="AR184">
        <v>1</v>
      </c>
      <c r="AS184">
        <v>0</v>
      </c>
      <c r="AT184" t="s">
        <v>530</v>
      </c>
      <c r="AU184" t="s">
        <v>530</v>
      </c>
      <c r="AV184" t="s">
        <v>202</v>
      </c>
      <c r="AW184" t="s">
        <v>203</v>
      </c>
      <c r="AX184" t="s">
        <v>203</v>
      </c>
      <c r="AY184" t="s">
        <v>203</v>
      </c>
      <c r="AZ184" t="s">
        <v>203</v>
      </c>
      <c r="BA184" t="s">
        <v>203</v>
      </c>
      <c r="BB184" t="s">
        <v>203</v>
      </c>
      <c r="BC184" t="s">
        <v>203</v>
      </c>
      <c r="BD184" t="s">
        <v>203</v>
      </c>
      <c r="BE184" t="s">
        <v>203</v>
      </c>
      <c r="BF184">
        <v>0</v>
      </c>
      <c r="BG184">
        <v>0.2</v>
      </c>
      <c r="BH184">
        <v>50</v>
      </c>
      <c r="BI184">
        <v>0</v>
      </c>
      <c r="BJ184" t="s">
        <v>198</v>
      </c>
      <c r="BK184" t="s">
        <v>198</v>
      </c>
      <c r="BL184" t="s">
        <v>198</v>
      </c>
      <c r="BM184" t="s">
        <v>198</v>
      </c>
      <c r="BN184" t="s">
        <v>198</v>
      </c>
      <c r="BO184" t="s">
        <v>198</v>
      </c>
      <c r="BP184" t="s">
        <v>198</v>
      </c>
      <c r="BQ184" t="s">
        <v>198</v>
      </c>
      <c r="BR184" t="s">
        <v>198</v>
      </c>
      <c r="BS184" t="s">
        <v>198</v>
      </c>
      <c r="BT184" t="s">
        <v>198</v>
      </c>
      <c r="BU184" t="s">
        <v>198</v>
      </c>
      <c r="BV184" t="s">
        <v>198</v>
      </c>
      <c r="BW184" t="s">
        <v>198</v>
      </c>
      <c r="BX184" t="s">
        <v>198</v>
      </c>
      <c r="BY184" t="s">
        <v>198</v>
      </c>
      <c r="BZ184" t="s">
        <v>198</v>
      </c>
      <c r="CA184" t="s">
        <v>198</v>
      </c>
      <c r="CB184" t="s">
        <v>204</v>
      </c>
      <c r="CC184" t="s">
        <v>204</v>
      </c>
      <c r="CD184" t="s">
        <v>204</v>
      </c>
      <c r="CE184" t="s">
        <v>204</v>
      </c>
      <c r="CF184" t="s">
        <v>204</v>
      </c>
      <c r="CG184" t="s">
        <v>204</v>
      </c>
      <c r="CH184" t="s">
        <v>204</v>
      </c>
      <c r="CI184" t="s">
        <v>204</v>
      </c>
      <c r="CJ184" t="s">
        <v>204</v>
      </c>
      <c r="CK184" t="s">
        <v>204</v>
      </c>
      <c r="CL184" t="s">
        <v>204</v>
      </c>
      <c r="CM184" t="s">
        <v>204</v>
      </c>
      <c r="CN184" t="s">
        <v>203</v>
      </c>
      <c r="CO184" t="s">
        <v>203</v>
      </c>
      <c r="CP184" t="s">
        <v>203</v>
      </c>
      <c r="CQ184" t="s">
        <v>203</v>
      </c>
      <c r="CR184" t="s">
        <v>203</v>
      </c>
      <c r="CS184" t="s">
        <v>203</v>
      </c>
      <c r="CT184" t="s">
        <v>203</v>
      </c>
      <c r="CU184" t="s">
        <v>203</v>
      </c>
      <c r="CV184">
        <v>0</v>
      </c>
      <c r="CW184">
        <v>0</v>
      </c>
      <c r="CX184" t="s">
        <v>198</v>
      </c>
      <c r="CY184" t="s">
        <v>198</v>
      </c>
      <c r="CZ184" t="s">
        <v>198</v>
      </c>
      <c r="DA184" t="s">
        <v>198</v>
      </c>
      <c r="DB184" t="s">
        <v>198</v>
      </c>
      <c r="DC184">
        <v>0</v>
      </c>
      <c r="DD184">
        <v>0</v>
      </c>
      <c r="DE184">
        <v>0</v>
      </c>
      <c r="DF184">
        <v>0</v>
      </c>
      <c r="DG184">
        <v>-35.3631166</v>
      </c>
      <c r="DH184">
        <v>149.1639735</v>
      </c>
      <c r="DI184" t="s">
        <v>360</v>
      </c>
      <c r="DJ184">
        <v>1.2</v>
      </c>
      <c r="DK184">
        <v>2</v>
      </c>
      <c r="DL184">
        <v>159.8</v>
      </c>
      <c r="DM184">
        <v>0</v>
      </c>
      <c r="DN184">
        <v>6</v>
      </c>
      <c r="DO184">
        <v>10</v>
      </c>
      <c r="DP184">
        <v>0</v>
      </c>
      <c r="DQ184">
        <v>255</v>
      </c>
      <c r="DR184">
        <v>255</v>
      </c>
      <c r="DS184">
        <v>255</v>
      </c>
      <c r="DT184">
        <v>255</v>
      </c>
      <c r="DU184">
        <v>255</v>
      </c>
      <c r="DV184">
        <v>255</v>
      </c>
      <c r="DW184">
        <v>255</v>
      </c>
      <c r="DX184" t="s">
        <v>206</v>
      </c>
      <c r="DY184" t="s">
        <v>206</v>
      </c>
      <c r="DZ184" t="s">
        <v>207</v>
      </c>
      <c r="EA184" t="s">
        <v>198</v>
      </c>
      <c r="EB184" t="s">
        <v>198</v>
      </c>
      <c r="EC184" t="s">
        <v>198</v>
      </c>
      <c r="ED184">
        <v>0</v>
      </c>
      <c r="EE184">
        <v>0</v>
      </c>
      <c r="EF184">
        <v>0</v>
      </c>
      <c r="EG184">
        <v>0</v>
      </c>
      <c r="EH184">
        <v>255</v>
      </c>
      <c r="EI184">
        <v>255</v>
      </c>
      <c r="EJ184">
        <v>255</v>
      </c>
      <c r="EK184">
        <v>255</v>
      </c>
      <c r="EL184">
        <v>255</v>
      </c>
      <c r="EM184">
        <v>255</v>
      </c>
      <c r="EN184">
        <v>255</v>
      </c>
      <c r="EO184">
        <v>255</v>
      </c>
      <c r="EP184">
        <v>255</v>
      </c>
      <c r="EQ184">
        <v>255</v>
      </c>
      <c r="ER184" t="s">
        <v>208</v>
      </c>
      <c r="ES184" t="s">
        <v>209</v>
      </c>
      <c r="ET184" t="s">
        <v>209</v>
      </c>
      <c r="EU184">
        <v>0</v>
      </c>
      <c r="EV184">
        <v>16.2</v>
      </c>
      <c r="EW184">
        <v>-114.7</v>
      </c>
      <c r="EX184">
        <v>-0.2</v>
      </c>
      <c r="EY184">
        <v>0</v>
      </c>
      <c r="EZ184">
        <v>0</v>
      </c>
      <c r="FA184">
        <v>0</v>
      </c>
      <c r="FB184" t="s">
        <v>198</v>
      </c>
      <c r="FC184" t="s">
        <v>198</v>
      </c>
      <c r="FD184" t="s">
        <v>198</v>
      </c>
      <c r="FE184" t="s">
        <v>198</v>
      </c>
      <c r="FF184" t="s">
        <v>198</v>
      </c>
      <c r="FG184" t="s">
        <v>198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 t="s">
        <v>203</v>
      </c>
      <c r="FP184" t="s">
        <v>203</v>
      </c>
      <c r="FQ184" t="s">
        <v>203</v>
      </c>
      <c r="FR184" t="s">
        <v>203</v>
      </c>
      <c r="FS184" t="s">
        <v>203</v>
      </c>
      <c r="FT184" t="s">
        <v>203</v>
      </c>
      <c r="FU184" t="s">
        <v>198</v>
      </c>
      <c r="FV184" t="s">
        <v>198</v>
      </c>
      <c r="FW184" t="s">
        <v>198</v>
      </c>
      <c r="FX184" t="s">
        <v>198</v>
      </c>
      <c r="FY184" t="s">
        <v>198</v>
      </c>
      <c r="FZ184" t="s">
        <v>198</v>
      </c>
      <c r="GA184">
        <v>31.2</v>
      </c>
      <c r="GB184">
        <v>31.2</v>
      </c>
      <c r="GC184" t="s">
        <v>203</v>
      </c>
      <c r="GD184">
        <v>0</v>
      </c>
      <c r="GE184">
        <v>504</v>
      </c>
      <c r="GF184">
        <v>0</v>
      </c>
      <c r="GG184">
        <v>0</v>
      </c>
      <c r="GH184">
        <v>0</v>
      </c>
      <c r="GI184">
        <v>1</v>
      </c>
      <c r="GJ184">
        <v>1</v>
      </c>
      <c r="GK184">
        <v>0</v>
      </c>
      <c r="GL184" t="s">
        <v>198</v>
      </c>
      <c r="GM184" t="s">
        <v>198</v>
      </c>
      <c r="GN184" t="s">
        <v>198</v>
      </c>
    </row>
    <row r="185" spans="1:196">
      <c r="A185" s="19">
        <v>46316.90602248842</v>
      </c>
      <c r="B185">
        <v>0</v>
      </c>
      <c r="C185">
        <v>0</v>
      </c>
      <c r="D185">
        <v>277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584.2</v>
      </c>
      <c r="N185">
        <v>-0.5</v>
      </c>
      <c r="O185">
        <v>0</v>
      </c>
      <c r="P185">
        <v>0</v>
      </c>
      <c r="Q185">
        <v>0</v>
      </c>
      <c r="R185">
        <v>0</v>
      </c>
      <c r="S185">
        <v>115.6</v>
      </c>
      <c r="T185" t="s">
        <v>485</v>
      </c>
      <c r="U185">
        <v>115.7</v>
      </c>
      <c r="V185">
        <v>1762727256586.8</v>
      </c>
      <c r="W185">
        <v>1</v>
      </c>
      <c r="X185" t="s">
        <v>197</v>
      </c>
      <c r="Y185">
        <v>0</v>
      </c>
      <c r="Z185">
        <v>98</v>
      </c>
      <c r="AA185">
        <v>278</v>
      </c>
      <c r="AB185" t="s">
        <v>197</v>
      </c>
      <c r="AC185" t="s">
        <v>198</v>
      </c>
      <c r="AD185" t="s">
        <v>199</v>
      </c>
      <c r="AE185">
        <v>0</v>
      </c>
      <c r="AF185">
        <v>44</v>
      </c>
      <c r="AG185">
        <v>255</v>
      </c>
      <c r="AH185">
        <v>0</v>
      </c>
      <c r="AI185">
        <v>0</v>
      </c>
      <c r="AJ185">
        <v>0</v>
      </c>
      <c r="AK185">
        <v>12.6</v>
      </c>
      <c r="AL185">
        <v>0</v>
      </c>
      <c r="AM185">
        <v>0</v>
      </c>
      <c r="AN185" t="s">
        <v>197</v>
      </c>
      <c r="AO185">
        <v>100</v>
      </c>
      <c r="AP185" t="s">
        <v>197</v>
      </c>
      <c r="AQ185" t="s">
        <v>200</v>
      </c>
      <c r="AR185">
        <v>1</v>
      </c>
      <c r="AS185">
        <v>0</v>
      </c>
      <c r="AT185" t="s">
        <v>531</v>
      </c>
      <c r="AU185" t="s">
        <v>531</v>
      </c>
      <c r="AV185" t="s">
        <v>202</v>
      </c>
      <c r="AW185" t="s">
        <v>203</v>
      </c>
      <c r="AX185" t="s">
        <v>203</v>
      </c>
      <c r="AY185" t="s">
        <v>203</v>
      </c>
      <c r="AZ185" t="s">
        <v>203</v>
      </c>
      <c r="BA185" t="s">
        <v>203</v>
      </c>
      <c r="BB185" t="s">
        <v>203</v>
      </c>
      <c r="BC185" t="s">
        <v>203</v>
      </c>
      <c r="BD185" t="s">
        <v>203</v>
      </c>
      <c r="BE185" t="s">
        <v>203</v>
      </c>
      <c r="BF185">
        <v>0</v>
      </c>
      <c r="BG185">
        <v>0.2</v>
      </c>
      <c r="BH185">
        <v>50</v>
      </c>
      <c r="BI185">
        <v>0</v>
      </c>
      <c r="BJ185" t="s">
        <v>198</v>
      </c>
      <c r="BK185" t="s">
        <v>198</v>
      </c>
      <c r="BL185" t="s">
        <v>198</v>
      </c>
      <c r="BM185" t="s">
        <v>198</v>
      </c>
      <c r="BN185" t="s">
        <v>198</v>
      </c>
      <c r="BO185" t="s">
        <v>198</v>
      </c>
      <c r="BP185" t="s">
        <v>198</v>
      </c>
      <c r="BQ185" t="s">
        <v>198</v>
      </c>
      <c r="BR185" t="s">
        <v>198</v>
      </c>
      <c r="BS185" t="s">
        <v>198</v>
      </c>
      <c r="BT185" t="s">
        <v>198</v>
      </c>
      <c r="BU185" t="s">
        <v>198</v>
      </c>
      <c r="BV185" t="s">
        <v>198</v>
      </c>
      <c r="BW185" t="s">
        <v>198</v>
      </c>
      <c r="BX185" t="s">
        <v>198</v>
      </c>
      <c r="BY185" t="s">
        <v>198</v>
      </c>
      <c r="BZ185" t="s">
        <v>198</v>
      </c>
      <c r="CA185" t="s">
        <v>198</v>
      </c>
      <c r="CB185" t="s">
        <v>204</v>
      </c>
      <c r="CC185" t="s">
        <v>204</v>
      </c>
      <c r="CD185" t="s">
        <v>204</v>
      </c>
      <c r="CE185" t="s">
        <v>204</v>
      </c>
      <c r="CF185" t="s">
        <v>204</v>
      </c>
      <c r="CG185" t="s">
        <v>204</v>
      </c>
      <c r="CH185" t="s">
        <v>204</v>
      </c>
      <c r="CI185" t="s">
        <v>204</v>
      </c>
      <c r="CJ185" t="s">
        <v>204</v>
      </c>
      <c r="CK185" t="s">
        <v>204</v>
      </c>
      <c r="CL185" t="s">
        <v>204</v>
      </c>
      <c r="CM185" t="s">
        <v>204</v>
      </c>
      <c r="CN185" t="s">
        <v>203</v>
      </c>
      <c r="CO185" t="s">
        <v>203</v>
      </c>
      <c r="CP185" t="s">
        <v>203</v>
      </c>
      <c r="CQ185" t="s">
        <v>203</v>
      </c>
      <c r="CR185" t="s">
        <v>203</v>
      </c>
      <c r="CS185" t="s">
        <v>203</v>
      </c>
      <c r="CT185" t="s">
        <v>203</v>
      </c>
      <c r="CU185" t="s">
        <v>203</v>
      </c>
      <c r="CV185">
        <v>0</v>
      </c>
      <c r="CW185">
        <v>0</v>
      </c>
      <c r="CX185" t="s">
        <v>198</v>
      </c>
      <c r="CY185" t="s">
        <v>198</v>
      </c>
      <c r="CZ185" t="s">
        <v>198</v>
      </c>
      <c r="DA185" t="s">
        <v>198</v>
      </c>
      <c r="DB185" t="s">
        <v>198</v>
      </c>
      <c r="DC185">
        <v>0</v>
      </c>
      <c r="DD185">
        <v>0</v>
      </c>
      <c r="DE185">
        <v>0</v>
      </c>
      <c r="DF185">
        <v>0</v>
      </c>
      <c r="DG185">
        <v>-35.3631166</v>
      </c>
      <c r="DH185">
        <v>149.1639735</v>
      </c>
      <c r="DI185" t="s">
        <v>360</v>
      </c>
      <c r="DJ185">
        <v>1.2</v>
      </c>
      <c r="DK185">
        <v>2</v>
      </c>
      <c r="DL185">
        <v>159.8</v>
      </c>
      <c r="DM185">
        <v>0</v>
      </c>
      <c r="DN185">
        <v>6</v>
      </c>
      <c r="DO185">
        <v>10</v>
      </c>
      <c r="DP185">
        <v>0</v>
      </c>
      <c r="DQ185">
        <v>255</v>
      </c>
      <c r="DR185">
        <v>255</v>
      </c>
      <c r="DS185">
        <v>255</v>
      </c>
      <c r="DT185">
        <v>255</v>
      </c>
      <c r="DU185">
        <v>255</v>
      </c>
      <c r="DV185">
        <v>255</v>
      </c>
      <c r="DW185">
        <v>255</v>
      </c>
      <c r="DX185" t="s">
        <v>206</v>
      </c>
      <c r="DY185" t="s">
        <v>206</v>
      </c>
      <c r="DZ185" t="s">
        <v>207</v>
      </c>
      <c r="EA185" t="s">
        <v>198</v>
      </c>
      <c r="EB185" t="s">
        <v>198</v>
      </c>
      <c r="EC185" t="s">
        <v>198</v>
      </c>
      <c r="ED185">
        <v>0</v>
      </c>
      <c r="EE185">
        <v>0</v>
      </c>
      <c r="EF185">
        <v>0</v>
      </c>
      <c r="EG185">
        <v>0</v>
      </c>
      <c r="EH185">
        <v>255</v>
      </c>
      <c r="EI185">
        <v>255</v>
      </c>
      <c r="EJ185">
        <v>255</v>
      </c>
      <c r="EK185">
        <v>255</v>
      </c>
      <c r="EL185">
        <v>255</v>
      </c>
      <c r="EM185">
        <v>255</v>
      </c>
      <c r="EN185">
        <v>255</v>
      </c>
      <c r="EO185">
        <v>255</v>
      </c>
      <c r="EP185">
        <v>255</v>
      </c>
      <c r="EQ185">
        <v>255</v>
      </c>
      <c r="ER185" t="s">
        <v>208</v>
      </c>
      <c r="ES185" t="s">
        <v>209</v>
      </c>
      <c r="ET185" t="s">
        <v>209</v>
      </c>
      <c r="EU185">
        <v>0</v>
      </c>
      <c r="EV185">
        <v>16.2</v>
      </c>
      <c r="EW185">
        <v>-114.7</v>
      </c>
      <c r="EX185">
        <v>-0.2</v>
      </c>
      <c r="EY185">
        <v>0</v>
      </c>
      <c r="EZ185">
        <v>0</v>
      </c>
      <c r="FA185">
        <v>0</v>
      </c>
      <c r="FB185" t="s">
        <v>198</v>
      </c>
      <c r="FC185" t="s">
        <v>198</v>
      </c>
      <c r="FD185" t="s">
        <v>198</v>
      </c>
      <c r="FE185" t="s">
        <v>198</v>
      </c>
      <c r="FF185" t="s">
        <v>198</v>
      </c>
      <c r="FG185" t="s">
        <v>198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 t="s">
        <v>203</v>
      </c>
      <c r="FP185" t="s">
        <v>203</v>
      </c>
      <c r="FQ185" t="s">
        <v>203</v>
      </c>
      <c r="FR185" t="s">
        <v>203</v>
      </c>
      <c r="FS185" t="s">
        <v>203</v>
      </c>
      <c r="FT185" t="s">
        <v>203</v>
      </c>
      <c r="FU185" t="s">
        <v>198</v>
      </c>
      <c r="FV185" t="s">
        <v>198</v>
      </c>
      <c r="FW185" t="s">
        <v>198</v>
      </c>
      <c r="FX185" t="s">
        <v>198</v>
      </c>
      <c r="FY185" t="s">
        <v>198</v>
      </c>
      <c r="FZ185" t="s">
        <v>198</v>
      </c>
      <c r="GA185">
        <v>31.2</v>
      </c>
      <c r="GB185">
        <v>31.2</v>
      </c>
      <c r="GC185" t="s">
        <v>203</v>
      </c>
      <c r="GD185">
        <v>0</v>
      </c>
      <c r="GE185">
        <v>504</v>
      </c>
      <c r="GF185">
        <v>0</v>
      </c>
      <c r="GG185">
        <v>0</v>
      </c>
      <c r="GH185">
        <v>0</v>
      </c>
      <c r="GI185">
        <v>1</v>
      </c>
      <c r="GJ185">
        <v>1</v>
      </c>
      <c r="GK185">
        <v>0</v>
      </c>
      <c r="GL185" t="s">
        <v>198</v>
      </c>
      <c r="GM185" t="s">
        <v>198</v>
      </c>
      <c r="GN185" t="s">
        <v>198</v>
      </c>
    </row>
    <row r="186" spans="1:196">
      <c r="A186" s="19">
        <v>46316.9060340625</v>
      </c>
      <c r="B186">
        <v>0</v>
      </c>
      <c r="C186">
        <v>0</v>
      </c>
      <c r="D186">
        <v>277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584.2</v>
      </c>
      <c r="N186">
        <v>-0.5</v>
      </c>
      <c r="O186">
        <v>0</v>
      </c>
      <c r="P186">
        <v>0</v>
      </c>
      <c r="Q186">
        <v>0</v>
      </c>
      <c r="R186">
        <v>0</v>
      </c>
      <c r="S186">
        <v>115.6</v>
      </c>
      <c r="T186" t="s">
        <v>485</v>
      </c>
      <c r="U186">
        <v>115.7</v>
      </c>
      <c r="V186">
        <v>1762727256586.8</v>
      </c>
      <c r="W186">
        <v>1</v>
      </c>
      <c r="X186" t="s">
        <v>197</v>
      </c>
      <c r="Y186">
        <v>0</v>
      </c>
      <c r="Z186">
        <v>98</v>
      </c>
      <c r="AA186">
        <v>278</v>
      </c>
      <c r="AB186" t="s">
        <v>197</v>
      </c>
      <c r="AC186" t="s">
        <v>198</v>
      </c>
      <c r="AD186" t="s">
        <v>199</v>
      </c>
      <c r="AE186">
        <v>0</v>
      </c>
      <c r="AF186">
        <v>44</v>
      </c>
      <c r="AG186">
        <v>255</v>
      </c>
      <c r="AH186">
        <v>0</v>
      </c>
      <c r="AI186">
        <v>0</v>
      </c>
      <c r="AJ186">
        <v>0</v>
      </c>
      <c r="AK186">
        <v>12.6</v>
      </c>
      <c r="AL186">
        <v>0</v>
      </c>
      <c r="AM186">
        <v>0</v>
      </c>
      <c r="AN186" t="s">
        <v>197</v>
      </c>
      <c r="AO186">
        <v>100</v>
      </c>
      <c r="AP186" t="s">
        <v>197</v>
      </c>
      <c r="AQ186" t="s">
        <v>200</v>
      </c>
      <c r="AR186">
        <v>1</v>
      </c>
      <c r="AS186">
        <v>0</v>
      </c>
      <c r="AT186" t="s">
        <v>532</v>
      </c>
      <c r="AU186" t="s">
        <v>532</v>
      </c>
      <c r="AV186" t="s">
        <v>202</v>
      </c>
      <c r="AW186" t="s">
        <v>203</v>
      </c>
      <c r="AX186" t="s">
        <v>203</v>
      </c>
      <c r="AY186" t="s">
        <v>203</v>
      </c>
      <c r="AZ186" t="s">
        <v>203</v>
      </c>
      <c r="BA186" t="s">
        <v>203</v>
      </c>
      <c r="BB186" t="s">
        <v>203</v>
      </c>
      <c r="BC186" t="s">
        <v>203</v>
      </c>
      <c r="BD186" t="s">
        <v>203</v>
      </c>
      <c r="BE186" t="s">
        <v>203</v>
      </c>
      <c r="BF186">
        <v>0</v>
      </c>
      <c r="BG186">
        <v>0.2</v>
      </c>
      <c r="BH186">
        <v>50</v>
      </c>
      <c r="BI186">
        <v>0</v>
      </c>
      <c r="BJ186" t="s">
        <v>198</v>
      </c>
      <c r="BK186" t="s">
        <v>198</v>
      </c>
      <c r="BL186" t="s">
        <v>198</v>
      </c>
      <c r="BM186" t="s">
        <v>198</v>
      </c>
      <c r="BN186" t="s">
        <v>198</v>
      </c>
      <c r="BO186" t="s">
        <v>198</v>
      </c>
      <c r="BP186" t="s">
        <v>198</v>
      </c>
      <c r="BQ186" t="s">
        <v>198</v>
      </c>
      <c r="BR186" t="s">
        <v>198</v>
      </c>
      <c r="BS186" t="s">
        <v>198</v>
      </c>
      <c r="BT186" t="s">
        <v>198</v>
      </c>
      <c r="BU186" t="s">
        <v>198</v>
      </c>
      <c r="BV186" t="s">
        <v>198</v>
      </c>
      <c r="BW186" t="s">
        <v>198</v>
      </c>
      <c r="BX186" t="s">
        <v>198</v>
      </c>
      <c r="BY186" t="s">
        <v>198</v>
      </c>
      <c r="BZ186" t="s">
        <v>198</v>
      </c>
      <c r="CA186" t="s">
        <v>198</v>
      </c>
      <c r="CB186" t="s">
        <v>204</v>
      </c>
      <c r="CC186" t="s">
        <v>204</v>
      </c>
      <c r="CD186" t="s">
        <v>204</v>
      </c>
      <c r="CE186" t="s">
        <v>204</v>
      </c>
      <c r="CF186" t="s">
        <v>204</v>
      </c>
      <c r="CG186" t="s">
        <v>204</v>
      </c>
      <c r="CH186" t="s">
        <v>204</v>
      </c>
      <c r="CI186" t="s">
        <v>204</v>
      </c>
      <c r="CJ186" t="s">
        <v>204</v>
      </c>
      <c r="CK186" t="s">
        <v>204</v>
      </c>
      <c r="CL186" t="s">
        <v>204</v>
      </c>
      <c r="CM186" t="s">
        <v>204</v>
      </c>
      <c r="CN186" t="s">
        <v>203</v>
      </c>
      <c r="CO186" t="s">
        <v>203</v>
      </c>
      <c r="CP186" t="s">
        <v>203</v>
      </c>
      <c r="CQ186" t="s">
        <v>203</v>
      </c>
      <c r="CR186" t="s">
        <v>203</v>
      </c>
      <c r="CS186" t="s">
        <v>203</v>
      </c>
      <c r="CT186" t="s">
        <v>203</v>
      </c>
      <c r="CU186" t="s">
        <v>203</v>
      </c>
      <c r="CV186">
        <v>0</v>
      </c>
      <c r="CW186">
        <v>0</v>
      </c>
      <c r="CX186" t="s">
        <v>198</v>
      </c>
      <c r="CY186" t="s">
        <v>198</v>
      </c>
      <c r="CZ186" t="s">
        <v>198</v>
      </c>
      <c r="DA186" t="s">
        <v>198</v>
      </c>
      <c r="DB186" t="s">
        <v>198</v>
      </c>
      <c r="DC186">
        <v>0</v>
      </c>
      <c r="DD186">
        <v>0</v>
      </c>
      <c r="DE186">
        <v>0</v>
      </c>
      <c r="DF186">
        <v>0</v>
      </c>
      <c r="DG186">
        <v>-35.3631166</v>
      </c>
      <c r="DH186">
        <v>149.1639735</v>
      </c>
      <c r="DI186" t="s">
        <v>360</v>
      </c>
      <c r="DJ186">
        <v>1.2</v>
      </c>
      <c r="DK186">
        <v>2</v>
      </c>
      <c r="DL186">
        <v>159.8</v>
      </c>
      <c r="DM186">
        <v>0</v>
      </c>
      <c r="DN186">
        <v>6</v>
      </c>
      <c r="DO186">
        <v>10</v>
      </c>
      <c r="DP186">
        <v>0</v>
      </c>
      <c r="DQ186">
        <v>255</v>
      </c>
      <c r="DR186">
        <v>255</v>
      </c>
      <c r="DS186">
        <v>255</v>
      </c>
      <c r="DT186">
        <v>255</v>
      </c>
      <c r="DU186">
        <v>255</v>
      </c>
      <c r="DV186">
        <v>255</v>
      </c>
      <c r="DW186">
        <v>255</v>
      </c>
      <c r="DX186" t="s">
        <v>206</v>
      </c>
      <c r="DY186" t="s">
        <v>206</v>
      </c>
      <c r="DZ186" t="s">
        <v>207</v>
      </c>
      <c r="EA186" t="s">
        <v>198</v>
      </c>
      <c r="EB186" t="s">
        <v>198</v>
      </c>
      <c r="EC186" t="s">
        <v>198</v>
      </c>
      <c r="ED186">
        <v>0</v>
      </c>
      <c r="EE186">
        <v>0</v>
      </c>
      <c r="EF186">
        <v>0</v>
      </c>
      <c r="EG186">
        <v>0</v>
      </c>
      <c r="EH186">
        <v>255</v>
      </c>
      <c r="EI186">
        <v>255</v>
      </c>
      <c r="EJ186">
        <v>255</v>
      </c>
      <c r="EK186">
        <v>255</v>
      </c>
      <c r="EL186">
        <v>255</v>
      </c>
      <c r="EM186">
        <v>255</v>
      </c>
      <c r="EN186">
        <v>255</v>
      </c>
      <c r="EO186">
        <v>255</v>
      </c>
      <c r="EP186">
        <v>255</v>
      </c>
      <c r="EQ186">
        <v>255</v>
      </c>
      <c r="ER186" t="s">
        <v>208</v>
      </c>
      <c r="ES186" t="s">
        <v>209</v>
      </c>
      <c r="ET186" t="s">
        <v>209</v>
      </c>
      <c r="EU186">
        <v>0</v>
      </c>
      <c r="EV186">
        <v>16.2</v>
      </c>
      <c r="EW186">
        <v>-114.7</v>
      </c>
      <c r="EX186">
        <v>-0.2</v>
      </c>
      <c r="EY186">
        <v>0</v>
      </c>
      <c r="EZ186">
        <v>0</v>
      </c>
      <c r="FA186">
        <v>0</v>
      </c>
      <c r="FB186" t="s">
        <v>198</v>
      </c>
      <c r="FC186" t="s">
        <v>198</v>
      </c>
      <c r="FD186" t="s">
        <v>198</v>
      </c>
      <c r="FE186" t="s">
        <v>198</v>
      </c>
      <c r="FF186" t="s">
        <v>198</v>
      </c>
      <c r="FG186" t="s">
        <v>198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203</v>
      </c>
      <c r="FP186" t="s">
        <v>203</v>
      </c>
      <c r="FQ186" t="s">
        <v>203</v>
      </c>
      <c r="FR186" t="s">
        <v>203</v>
      </c>
      <c r="FS186" t="s">
        <v>203</v>
      </c>
      <c r="FT186" t="s">
        <v>203</v>
      </c>
      <c r="FU186" t="s">
        <v>198</v>
      </c>
      <c r="FV186" t="s">
        <v>198</v>
      </c>
      <c r="FW186" t="s">
        <v>198</v>
      </c>
      <c r="FX186" t="s">
        <v>198</v>
      </c>
      <c r="FY186" t="s">
        <v>198</v>
      </c>
      <c r="FZ186" t="s">
        <v>198</v>
      </c>
      <c r="GA186">
        <v>31.2</v>
      </c>
      <c r="GB186">
        <v>31.2</v>
      </c>
      <c r="GC186" t="s">
        <v>203</v>
      </c>
      <c r="GD186">
        <v>0</v>
      </c>
      <c r="GE186">
        <v>504</v>
      </c>
      <c r="GF186">
        <v>0</v>
      </c>
      <c r="GG186">
        <v>0</v>
      </c>
      <c r="GH186">
        <v>0</v>
      </c>
      <c r="GI186">
        <v>1</v>
      </c>
      <c r="GJ186">
        <v>1</v>
      </c>
      <c r="GK186">
        <v>0</v>
      </c>
      <c r="GL186" t="s">
        <v>198</v>
      </c>
      <c r="GM186" t="s">
        <v>198</v>
      </c>
      <c r="GN186" t="s">
        <v>198</v>
      </c>
    </row>
    <row r="187" spans="1:196">
      <c r="A187" s="19">
        <v>46316.90604563658</v>
      </c>
      <c r="B187">
        <v>0</v>
      </c>
      <c r="C187">
        <v>0</v>
      </c>
      <c r="D187">
        <v>277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584.2</v>
      </c>
      <c r="N187">
        <v>-0.5</v>
      </c>
      <c r="O187">
        <v>0</v>
      </c>
      <c r="P187">
        <v>0</v>
      </c>
      <c r="Q187">
        <v>0</v>
      </c>
      <c r="R187">
        <v>0</v>
      </c>
      <c r="S187">
        <v>115.6</v>
      </c>
      <c r="T187" t="s">
        <v>485</v>
      </c>
      <c r="U187">
        <v>115.7</v>
      </c>
      <c r="V187">
        <v>1762727256586.8</v>
      </c>
      <c r="W187">
        <v>1</v>
      </c>
      <c r="X187" t="s">
        <v>197</v>
      </c>
      <c r="Y187">
        <v>0</v>
      </c>
      <c r="Z187">
        <v>98</v>
      </c>
      <c r="AA187">
        <v>278</v>
      </c>
      <c r="AB187" t="s">
        <v>197</v>
      </c>
      <c r="AC187" t="s">
        <v>198</v>
      </c>
      <c r="AD187" t="s">
        <v>199</v>
      </c>
      <c r="AE187">
        <v>0</v>
      </c>
      <c r="AF187">
        <v>44</v>
      </c>
      <c r="AG187">
        <v>255</v>
      </c>
      <c r="AH187">
        <v>0</v>
      </c>
      <c r="AI187">
        <v>0</v>
      </c>
      <c r="AJ187">
        <v>0</v>
      </c>
      <c r="AK187">
        <v>12.6</v>
      </c>
      <c r="AL187">
        <v>0</v>
      </c>
      <c r="AM187">
        <v>0</v>
      </c>
      <c r="AN187" t="s">
        <v>197</v>
      </c>
      <c r="AO187">
        <v>100</v>
      </c>
      <c r="AP187" t="s">
        <v>197</v>
      </c>
      <c r="AQ187" t="s">
        <v>200</v>
      </c>
      <c r="AR187">
        <v>1</v>
      </c>
      <c r="AS187">
        <v>0</v>
      </c>
      <c r="AT187" t="s">
        <v>533</v>
      </c>
      <c r="AU187" t="s">
        <v>533</v>
      </c>
      <c r="AV187" t="s">
        <v>202</v>
      </c>
      <c r="AW187" t="s">
        <v>203</v>
      </c>
      <c r="AX187" t="s">
        <v>203</v>
      </c>
      <c r="AY187" t="s">
        <v>203</v>
      </c>
      <c r="AZ187" t="s">
        <v>203</v>
      </c>
      <c r="BA187" t="s">
        <v>203</v>
      </c>
      <c r="BB187" t="s">
        <v>203</v>
      </c>
      <c r="BC187" t="s">
        <v>203</v>
      </c>
      <c r="BD187" t="s">
        <v>203</v>
      </c>
      <c r="BE187" t="s">
        <v>203</v>
      </c>
      <c r="BF187">
        <v>0</v>
      </c>
      <c r="BG187">
        <v>0.2</v>
      </c>
      <c r="BH187">
        <v>50</v>
      </c>
      <c r="BI187">
        <v>0</v>
      </c>
      <c r="BJ187" t="s">
        <v>198</v>
      </c>
      <c r="BK187" t="s">
        <v>198</v>
      </c>
      <c r="BL187" t="s">
        <v>198</v>
      </c>
      <c r="BM187" t="s">
        <v>198</v>
      </c>
      <c r="BN187" t="s">
        <v>198</v>
      </c>
      <c r="BO187" t="s">
        <v>198</v>
      </c>
      <c r="BP187" t="s">
        <v>198</v>
      </c>
      <c r="BQ187" t="s">
        <v>198</v>
      </c>
      <c r="BR187" t="s">
        <v>198</v>
      </c>
      <c r="BS187" t="s">
        <v>198</v>
      </c>
      <c r="BT187" t="s">
        <v>198</v>
      </c>
      <c r="BU187" t="s">
        <v>198</v>
      </c>
      <c r="BV187" t="s">
        <v>198</v>
      </c>
      <c r="BW187" t="s">
        <v>198</v>
      </c>
      <c r="BX187" t="s">
        <v>198</v>
      </c>
      <c r="BY187" t="s">
        <v>198</v>
      </c>
      <c r="BZ187" t="s">
        <v>198</v>
      </c>
      <c r="CA187" t="s">
        <v>198</v>
      </c>
      <c r="CB187" t="s">
        <v>204</v>
      </c>
      <c r="CC187" t="s">
        <v>204</v>
      </c>
      <c r="CD187" t="s">
        <v>204</v>
      </c>
      <c r="CE187" t="s">
        <v>204</v>
      </c>
      <c r="CF187" t="s">
        <v>204</v>
      </c>
      <c r="CG187" t="s">
        <v>204</v>
      </c>
      <c r="CH187" t="s">
        <v>204</v>
      </c>
      <c r="CI187" t="s">
        <v>204</v>
      </c>
      <c r="CJ187" t="s">
        <v>204</v>
      </c>
      <c r="CK187" t="s">
        <v>204</v>
      </c>
      <c r="CL187" t="s">
        <v>204</v>
      </c>
      <c r="CM187" t="s">
        <v>204</v>
      </c>
      <c r="CN187" t="s">
        <v>203</v>
      </c>
      <c r="CO187" t="s">
        <v>203</v>
      </c>
      <c r="CP187" t="s">
        <v>203</v>
      </c>
      <c r="CQ187" t="s">
        <v>203</v>
      </c>
      <c r="CR187" t="s">
        <v>203</v>
      </c>
      <c r="CS187" t="s">
        <v>203</v>
      </c>
      <c r="CT187" t="s">
        <v>203</v>
      </c>
      <c r="CU187" t="s">
        <v>203</v>
      </c>
      <c r="CV187">
        <v>0</v>
      </c>
      <c r="CW187">
        <v>0</v>
      </c>
      <c r="CX187" t="s">
        <v>198</v>
      </c>
      <c r="CY187" t="s">
        <v>198</v>
      </c>
      <c r="CZ187" t="s">
        <v>198</v>
      </c>
      <c r="DA187" t="s">
        <v>198</v>
      </c>
      <c r="DB187" t="s">
        <v>198</v>
      </c>
      <c r="DC187">
        <v>0</v>
      </c>
      <c r="DD187">
        <v>0</v>
      </c>
      <c r="DE187">
        <v>0</v>
      </c>
      <c r="DF187">
        <v>0</v>
      </c>
      <c r="DG187">
        <v>-35.3631166</v>
      </c>
      <c r="DH187">
        <v>149.1639735</v>
      </c>
      <c r="DI187" t="s">
        <v>360</v>
      </c>
      <c r="DJ187">
        <v>1.2</v>
      </c>
      <c r="DK187">
        <v>2</v>
      </c>
      <c r="DL187">
        <v>159.8</v>
      </c>
      <c r="DM187">
        <v>0</v>
      </c>
      <c r="DN187">
        <v>6</v>
      </c>
      <c r="DO187">
        <v>10</v>
      </c>
      <c r="DP187">
        <v>0</v>
      </c>
      <c r="DQ187">
        <v>255</v>
      </c>
      <c r="DR187">
        <v>255</v>
      </c>
      <c r="DS187">
        <v>255</v>
      </c>
      <c r="DT187">
        <v>255</v>
      </c>
      <c r="DU187">
        <v>255</v>
      </c>
      <c r="DV187">
        <v>255</v>
      </c>
      <c r="DW187">
        <v>255</v>
      </c>
      <c r="DX187" t="s">
        <v>206</v>
      </c>
      <c r="DY187" t="s">
        <v>206</v>
      </c>
      <c r="DZ187" t="s">
        <v>207</v>
      </c>
      <c r="EA187" t="s">
        <v>198</v>
      </c>
      <c r="EB187" t="s">
        <v>198</v>
      </c>
      <c r="EC187" t="s">
        <v>198</v>
      </c>
      <c r="ED187">
        <v>0</v>
      </c>
      <c r="EE187">
        <v>0</v>
      </c>
      <c r="EF187">
        <v>0</v>
      </c>
      <c r="EG187">
        <v>0</v>
      </c>
      <c r="EH187">
        <v>255</v>
      </c>
      <c r="EI187">
        <v>255</v>
      </c>
      <c r="EJ187">
        <v>255</v>
      </c>
      <c r="EK187">
        <v>255</v>
      </c>
      <c r="EL187">
        <v>255</v>
      </c>
      <c r="EM187">
        <v>255</v>
      </c>
      <c r="EN187">
        <v>255</v>
      </c>
      <c r="EO187">
        <v>255</v>
      </c>
      <c r="EP187">
        <v>255</v>
      </c>
      <c r="EQ187">
        <v>255</v>
      </c>
      <c r="ER187" t="s">
        <v>208</v>
      </c>
      <c r="ES187" t="s">
        <v>209</v>
      </c>
      <c r="ET187" t="s">
        <v>209</v>
      </c>
      <c r="EU187">
        <v>0</v>
      </c>
      <c r="EV187">
        <v>16.2</v>
      </c>
      <c r="EW187">
        <v>-114.7</v>
      </c>
      <c r="EX187">
        <v>-0.2</v>
      </c>
      <c r="EY187">
        <v>0</v>
      </c>
      <c r="EZ187">
        <v>0</v>
      </c>
      <c r="FA187">
        <v>0</v>
      </c>
      <c r="FB187" t="s">
        <v>198</v>
      </c>
      <c r="FC187" t="s">
        <v>198</v>
      </c>
      <c r="FD187" t="s">
        <v>198</v>
      </c>
      <c r="FE187" t="s">
        <v>198</v>
      </c>
      <c r="FF187" t="s">
        <v>198</v>
      </c>
      <c r="FG187" t="s">
        <v>198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 t="s">
        <v>203</v>
      </c>
      <c r="FP187" t="s">
        <v>203</v>
      </c>
      <c r="FQ187" t="s">
        <v>203</v>
      </c>
      <c r="FR187" t="s">
        <v>203</v>
      </c>
      <c r="FS187" t="s">
        <v>203</v>
      </c>
      <c r="FT187" t="s">
        <v>203</v>
      </c>
      <c r="FU187" t="s">
        <v>198</v>
      </c>
      <c r="FV187" t="s">
        <v>198</v>
      </c>
      <c r="FW187" t="s">
        <v>198</v>
      </c>
      <c r="FX187" t="s">
        <v>198</v>
      </c>
      <c r="FY187" t="s">
        <v>198</v>
      </c>
      <c r="FZ187" t="s">
        <v>198</v>
      </c>
      <c r="GA187">
        <v>31.2</v>
      </c>
      <c r="GB187">
        <v>31.2</v>
      </c>
      <c r="GC187" t="s">
        <v>203</v>
      </c>
      <c r="GD187">
        <v>0</v>
      </c>
      <c r="GE187">
        <v>504</v>
      </c>
      <c r="GF187">
        <v>0</v>
      </c>
      <c r="GG187">
        <v>0</v>
      </c>
      <c r="GH187">
        <v>0</v>
      </c>
      <c r="GI187">
        <v>1</v>
      </c>
      <c r="GJ187">
        <v>1</v>
      </c>
      <c r="GK187">
        <v>0</v>
      </c>
      <c r="GL187" t="s">
        <v>198</v>
      </c>
      <c r="GM187" t="s">
        <v>198</v>
      </c>
      <c r="GN187" t="s">
        <v>198</v>
      </c>
    </row>
    <row r="188" spans="1:196">
      <c r="A188" s="19">
        <v>46316.90605721065</v>
      </c>
      <c r="B188">
        <v>0</v>
      </c>
      <c r="C188">
        <v>0</v>
      </c>
      <c r="D188">
        <v>277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584.2</v>
      </c>
      <c r="N188">
        <v>-0.5</v>
      </c>
      <c r="O188">
        <v>0</v>
      </c>
      <c r="P188">
        <v>0</v>
      </c>
      <c r="Q188">
        <v>0</v>
      </c>
      <c r="R188">
        <v>0</v>
      </c>
      <c r="S188">
        <v>115.6</v>
      </c>
      <c r="T188" t="s">
        <v>485</v>
      </c>
      <c r="U188">
        <v>115.7</v>
      </c>
      <c r="V188">
        <v>1762727256586.8</v>
      </c>
      <c r="W188">
        <v>1</v>
      </c>
      <c r="X188" t="s">
        <v>197</v>
      </c>
      <c r="Y188">
        <v>0</v>
      </c>
      <c r="Z188">
        <v>98</v>
      </c>
      <c r="AA188">
        <v>278</v>
      </c>
      <c r="AB188" t="s">
        <v>197</v>
      </c>
      <c r="AC188" t="s">
        <v>198</v>
      </c>
      <c r="AD188" t="s">
        <v>199</v>
      </c>
      <c r="AE188">
        <v>0</v>
      </c>
      <c r="AF188">
        <v>44</v>
      </c>
      <c r="AG188">
        <v>255</v>
      </c>
      <c r="AH188">
        <v>0</v>
      </c>
      <c r="AI188">
        <v>0</v>
      </c>
      <c r="AJ188">
        <v>0</v>
      </c>
      <c r="AK188">
        <v>12.6</v>
      </c>
      <c r="AL188">
        <v>0</v>
      </c>
      <c r="AM188">
        <v>0</v>
      </c>
      <c r="AN188" t="s">
        <v>197</v>
      </c>
      <c r="AO188">
        <v>100</v>
      </c>
      <c r="AP188" t="s">
        <v>197</v>
      </c>
      <c r="AQ188" t="s">
        <v>200</v>
      </c>
      <c r="AR188">
        <v>1</v>
      </c>
      <c r="AS188">
        <v>0</v>
      </c>
      <c r="AT188" t="s">
        <v>534</v>
      </c>
      <c r="AU188" t="s">
        <v>534</v>
      </c>
      <c r="AV188" t="s">
        <v>202</v>
      </c>
      <c r="AW188" t="s">
        <v>203</v>
      </c>
      <c r="AX188" t="s">
        <v>203</v>
      </c>
      <c r="AY188" t="s">
        <v>203</v>
      </c>
      <c r="AZ188" t="s">
        <v>203</v>
      </c>
      <c r="BA188" t="s">
        <v>203</v>
      </c>
      <c r="BB188" t="s">
        <v>203</v>
      </c>
      <c r="BC188" t="s">
        <v>203</v>
      </c>
      <c r="BD188" t="s">
        <v>203</v>
      </c>
      <c r="BE188" t="s">
        <v>203</v>
      </c>
      <c r="BF188">
        <v>0</v>
      </c>
      <c r="BG188">
        <v>0.2</v>
      </c>
      <c r="BH188">
        <v>50</v>
      </c>
      <c r="BI188">
        <v>0</v>
      </c>
      <c r="BJ188" t="s">
        <v>198</v>
      </c>
      <c r="BK188" t="s">
        <v>198</v>
      </c>
      <c r="BL188" t="s">
        <v>198</v>
      </c>
      <c r="BM188" t="s">
        <v>198</v>
      </c>
      <c r="BN188" t="s">
        <v>198</v>
      </c>
      <c r="BO188" t="s">
        <v>198</v>
      </c>
      <c r="BP188" t="s">
        <v>198</v>
      </c>
      <c r="BQ188" t="s">
        <v>198</v>
      </c>
      <c r="BR188" t="s">
        <v>198</v>
      </c>
      <c r="BS188" t="s">
        <v>198</v>
      </c>
      <c r="BT188" t="s">
        <v>198</v>
      </c>
      <c r="BU188" t="s">
        <v>198</v>
      </c>
      <c r="BV188" t="s">
        <v>198</v>
      </c>
      <c r="BW188" t="s">
        <v>198</v>
      </c>
      <c r="BX188" t="s">
        <v>198</v>
      </c>
      <c r="BY188" t="s">
        <v>198</v>
      </c>
      <c r="BZ188" t="s">
        <v>198</v>
      </c>
      <c r="CA188" t="s">
        <v>198</v>
      </c>
      <c r="CB188" t="s">
        <v>204</v>
      </c>
      <c r="CC188" t="s">
        <v>204</v>
      </c>
      <c r="CD188" t="s">
        <v>204</v>
      </c>
      <c r="CE188" t="s">
        <v>204</v>
      </c>
      <c r="CF188" t="s">
        <v>204</v>
      </c>
      <c r="CG188" t="s">
        <v>204</v>
      </c>
      <c r="CH188" t="s">
        <v>204</v>
      </c>
      <c r="CI188" t="s">
        <v>204</v>
      </c>
      <c r="CJ188" t="s">
        <v>204</v>
      </c>
      <c r="CK188" t="s">
        <v>204</v>
      </c>
      <c r="CL188" t="s">
        <v>204</v>
      </c>
      <c r="CM188" t="s">
        <v>204</v>
      </c>
      <c r="CN188" t="s">
        <v>203</v>
      </c>
      <c r="CO188" t="s">
        <v>203</v>
      </c>
      <c r="CP188" t="s">
        <v>203</v>
      </c>
      <c r="CQ188" t="s">
        <v>203</v>
      </c>
      <c r="CR188" t="s">
        <v>203</v>
      </c>
      <c r="CS188" t="s">
        <v>203</v>
      </c>
      <c r="CT188" t="s">
        <v>203</v>
      </c>
      <c r="CU188" t="s">
        <v>203</v>
      </c>
      <c r="CV188">
        <v>0</v>
      </c>
      <c r="CW188">
        <v>0</v>
      </c>
      <c r="CX188" t="s">
        <v>198</v>
      </c>
      <c r="CY188" t="s">
        <v>198</v>
      </c>
      <c r="CZ188" t="s">
        <v>198</v>
      </c>
      <c r="DA188" t="s">
        <v>198</v>
      </c>
      <c r="DB188" t="s">
        <v>198</v>
      </c>
      <c r="DC188">
        <v>0</v>
      </c>
      <c r="DD188">
        <v>0</v>
      </c>
      <c r="DE188">
        <v>0</v>
      </c>
      <c r="DF188">
        <v>0</v>
      </c>
      <c r="DG188">
        <v>-35.3631166</v>
      </c>
      <c r="DH188">
        <v>149.1639735</v>
      </c>
      <c r="DI188" t="s">
        <v>360</v>
      </c>
      <c r="DJ188">
        <v>1.2</v>
      </c>
      <c r="DK188">
        <v>2</v>
      </c>
      <c r="DL188">
        <v>159.8</v>
      </c>
      <c r="DM188">
        <v>0</v>
      </c>
      <c r="DN188">
        <v>6</v>
      </c>
      <c r="DO188">
        <v>10</v>
      </c>
      <c r="DP188">
        <v>0</v>
      </c>
      <c r="DQ188">
        <v>255</v>
      </c>
      <c r="DR188">
        <v>255</v>
      </c>
      <c r="DS188">
        <v>255</v>
      </c>
      <c r="DT188">
        <v>255</v>
      </c>
      <c r="DU188">
        <v>255</v>
      </c>
      <c r="DV188">
        <v>255</v>
      </c>
      <c r="DW188">
        <v>255</v>
      </c>
      <c r="DX188" t="s">
        <v>206</v>
      </c>
      <c r="DY188" t="s">
        <v>206</v>
      </c>
      <c r="DZ188" t="s">
        <v>207</v>
      </c>
      <c r="EA188" t="s">
        <v>198</v>
      </c>
      <c r="EB188" t="s">
        <v>198</v>
      </c>
      <c r="EC188" t="s">
        <v>198</v>
      </c>
      <c r="ED188">
        <v>0</v>
      </c>
      <c r="EE188">
        <v>0</v>
      </c>
      <c r="EF188">
        <v>0</v>
      </c>
      <c r="EG188">
        <v>0</v>
      </c>
      <c r="EH188">
        <v>255</v>
      </c>
      <c r="EI188">
        <v>255</v>
      </c>
      <c r="EJ188">
        <v>255</v>
      </c>
      <c r="EK188">
        <v>255</v>
      </c>
      <c r="EL188">
        <v>255</v>
      </c>
      <c r="EM188">
        <v>255</v>
      </c>
      <c r="EN188">
        <v>255</v>
      </c>
      <c r="EO188">
        <v>255</v>
      </c>
      <c r="EP188">
        <v>255</v>
      </c>
      <c r="EQ188">
        <v>255</v>
      </c>
      <c r="ER188" t="s">
        <v>208</v>
      </c>
      <c r="ES188" t="s">
        <v>209</v>
      </c>
      <c r="ET188" t="s">
        <v>209</v>
      </c>
      <c r="EU188">
        <v>0</v>
      </c>
      <c r="EV188">
        <v>16.2</v>
      </c>
      <c r="EW188">
        <v>-114.7</v>
      </c>
      <c r="EX188">
        <v>-0.2</v>
      </c>
      <c r="EY188">
        <v>0</v>
      </c>
      <c r="EZ188">
        <v>0</v>
      </c>
      <c r="FA188">
        <v>0</v>
      </c>
      <c r="FB188" t="s">
        <v>198</v>
      </c>
      <c r="FC188" t="s">
        <v>198</v>
      </c>
      <c r="FD188" t="s">
        <v>198</v>
      </c>
      <c r="FE188" t="s">
        <v>198</v>
      </c>
      <c r="FF188" t="s">
        <v>198</v>
      </c>
      <c r="FG188" t="s">
        <v>198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203</v>
      </c>
      <c r="FP188" t="s">
        <v>203</v>
      </c>
      <c r="FQ188" t="s">
        <v>203</v>
      </c>
      <c r="FR188" t="s">
        <v>203</v>
      </c>
      <c r="FS188" t="s">
        <v>203</v>
      </c>
      <c r="FT188" t="s">
        <v>203</v>
      </c>
      <c r="FU188" t="s">
        <v>198</v>
      </c>
      <c r="FV188" t="s">
        <v>198</v>
      </c>
      <c r="FW188" t="s">
        <v>198</v>
      </c>
      <c r="FX188" t="s">
        <v>198</v>
      </c>
      <c r="FY188" t="s">
        <v>198</v>
      </c>
      <c r="FZ188" t="s">
        <v>198</v>
      </c>
      <c r="GA188">
        <v>31.2</v>
      </c>
      <c r="GB188">
        <v>31.2</v>
      </c>
      <c r="GC188" t="s">
        <v>203</v>
      </c>
      <c r="GD188">
        <v>0</v>
      </c>
      <c r="GE188">
        <v>504</v>
      </c>
      <c r="GF188">
        <v>0</v>
      </c>
      <c r="GG188">
        <v>0</v>
      </c>
      <c r="GH188">
        <v>0</v>
      </c>
      <c r="GI188">
        <v>1</v>
      </c>
      <c r="GJ188">
        <v>1</v>
      </c>
      <c r="GK188">
        <v>0</v>
      </c>
      <c r="GL188" t="s">
        <v>198</v>
      </c>
      <c r="GM188" t="s">
        <v>198</v>
      </c>
      <c r="GN188" t="s">
        <v>198</v>
      </c>
    </row>
    <row r="189" spans="1:196">
      <c r="A189" s="19">
        <v>46316.90606877315</v>
      </c>
      <c r="B189">
        <v>0</v>
      </c>
      <c r="C189">
        <v>0</v>
      </c>
      <c r="D189">
        <v>277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584.2</v>
      </c>
      <c r="N189">
        <v>-0.5</v>
      </c>
      <c r="O189">
        <v>0</v>
      </c>
      <c r="P189">
        <v>0</v>
      </c>
      <c r="Q189">
        <v>0</v>
      </c>
      <c r="R189">
        <v>0</v>
      </c>
      <c r="S189">
        <v>115.6</v>
      </c>
      <c r="T189" t="s">
        <v>485</v>
      </c>
      <c r="U189">
        <v>115.7</v>
      </c>
      <c r="V189">
        <v>1762727256586.8</v>
      </c>
      <c r="W189">
        <v>1</v>
      </c>
      <c r="X189" t="s">
        <v>197</v>
      </c>
      <c r="Y189">
        <v>0</v>
      </c>
      <c r="Z189">
        <v>98</v>
      </c>
      <c r="AA189">
        <v>278</v>
      </c>
      <c r="AB189" t="s">
        <v>197</v>
      </c>
      <c r="AC189" t="s">
        <v>198</v>
      </c>
      <c r="AD189" t="s">
        <v>199</v>
      </c>
      <c r="AE189">
        <v>0</v>
      </c>
      <c r="AF189">
        <v>44</v>
      </c>
      <c r="AG189">
        <v>255</v>
      </c>
      <c r="AH189">
        <v>0</v>
      </c>
      <c r="AI189">
        <v>0</v>
      </c>
      <c r="AJ189">
        <v>0</v>
      </c>
      <c r="AK189">
        <v>12.6</v>
      </c>
      <c r="AL189">
        <v>0</v>
      </c>
      <c r="AM189">
        <v>0</v>
      </c>
      <c r="AN189" t="s">
        <v>197</v>
      </c>
      <c r="AO189">
        <v>100</v>
      </c>
      <c r="AP189" t="s">
        <v>197</v>
      </c>
      <c r="AQ189" t="s">
        <v>200</v>
      </c>
      <c r="AR189">
        <v>1</v>
      </c>
      <c r="AS189">
        <v>0</v>
      </c>
      <c r="AT189" t="s">
        <v>535</v>
      </c>
      <c r="AU189" t="s">
        <v>535</v>
      </c>
      <c r="AV189" t="s">
        <v>202</v>
      </c>
      <c r="AW189" t="s">
        <v>203</v>
      </c>
      <c r="AX189" t="s">
        <v>203</v>
      </c>
      <c r="AY189" t="s">
        <v>203</v>
      </c>
      <c r="AZ189" t="s">
        <v>203</v>
      </c>
      <c r="BA189" t="s">
        <v>203</v>
      </c>
      <c r="BB189" t="s">
        <v>203</v>
      </c>
      <c r="BC189" t="s">
        <v>203</v>
      </c>
      <c r="BD189" t="s">
        <v>203</v>
      </c>
      <c r="BE189" t="s">
        <v>203</v>
      </c>
      <c r="BF189">
        <v>0</v>
      </c>
      <c r="BG189">
        <v>0.2</v>
      </c>
      <c r="BH189">
        <v>50</v>
      </c>
      <c r="BI189">
        <v>0</v>
      </c>
      <c r="BJ189" t="s">
        <v>198</v>
      </c>
      <c r="BK189" t="s">
        <v>198</v>
      </c>
      <c r="BL189" t="s">
        <v>198</v>
      </c>
      <c r="BM189" t="s">
        <v>198</v>
      </c>
      <c r="BN189" t="s">
        <v>198</v>
      </c>
      <c r="BO189" t="s">
        <v>198</v>
      </c>
      <c r="BP189" t="s">
        <v>198</v>
      </c>
      <c r="BQ189" t="s">
        <v>198</v>
      </c>
      <c r="BR189" t="s">
        <v>198</v>
      </c>
      <c r="BS189" t="s">
        <v>198</v>
      </c>
      <c r="BT189" t="s">
        <v>198</v>
      </c>
      <c r="BU189" t="s">
        <v>198</v>
      </c>
      <c r="BV189" t="s">
        <v>198</v>
      </c>
      <c r="BW189" t="s">
        <v>198</v>
      </c>
      <c r="BX189" t="s">
        <v>198</v>
      </c>
      <c r="BY189" t="s">
        <v>198</v>
      </c>
      <c r="BZ189" t="s">
        <v>198</v>
      </c>
      <c r="CA189" t="s">
        <v>198</v>
      </c>
      <c r="CB189" t="s">
        <v>204</v>
      </c>
      <c r="CC189" t="s">
        <v>204</v>
      </c>
      <c r="CD189" t="s">
        <v>204</v>
      </c>
      <c r="CE189" t="s">
        <v>204</v>
      </c>
      <c r="CF189" t="s">
        <v>204</v>
      </c>
      <c r="CG189" t="s">
        <v>204</v>
      </c>
      <c r="CH189" t="s">
        <v>204</v>
      </c>
      <c r="CI189" t="s">
        <v>204</v>
      </c>
      <c r="CJ189" t="s">
        <v>204</v>
      </c>
      <c r="CK189" t="s">
        <v>204</v>
      </c>
      <c r="CL189" t="s">
        <v>204</v>
      </c>
      <c r="CM189" t="s">
        <v>204</v>
      </c>
      <c r="CN189" t="s">
        <v>203</v>
      </c>
      <c r="CO189" t="s">
        <v>203</v>
      </c>
      <c r="CP189" t="s">
        <v>203</v>
      </c>
      <c r="CQ189" t="s">
        <v>203</v>
      </c>
      <c r="CR189" t="s">
        <v>203</v>
      </c>
      <c r="CS189" t="s">
        <v>203</v>
      </c>
      <c r="CT189" t="s">
        <v>203</v>
      </c>
      <c r="CU189" t="s">
        <v>203</v>
      </c>
      <c r="CV189">
        <v>0</v>
      </c>
      <c r="CW189">
        <v>0</v>
      </c>
      <c r="CX189" t="s">
        <v>198</v>
      </c>
      <c r="CY189" t="s">
        <v>198</v>
      </c>
      <c r="CZ189" t="s">
        <v>198</v>
      </c>
      <c r="DA189" t="s">
        <v>198</v>
      </c>
      <c r="DB189" t="s">
        <v>198</v>
      </c>
      <c r="DC189">
        <v>0</v>
      </c>
      <c r="DD189">
        <v>0</v>
      </c>
      <c r="DE189">
        <v>0</v>
      </c>
      <c r="DF189">
        <v>0</v>
      </c>
      <c r="DG189">
        <v>-35.3631166</v>
      </c>
      <c r="DH189">
        <v>149.1639735</v>
      </c>
      <c r="DI189" t="s">
        <v>360</v>
      </c>
      <c r="DJ189">
        <v>1.2</v>
      </c>
      <c r="DK189">
        <v>2</v>
      </c>
      <c r="DL189">
        <v>159.8</v>
      </c>
      <c r="DM189">
        <v>0</v>
      </c>
      <c r="DN189">
        <v>6</v>
      </c>
      <c r="DO189">
        <v>10</v>
      </c>
      <c r="DP189">
        <v>0</v>
      </c>
      <c r="DQ189">
        <v>255</v>
      </c>
      <c r="DR189">
        <v>255</v>
      </c>
      <c r="DS189">
        <v>255</v>
      </c>
      <c r="DT189">
        <v>255</v>
      </c>
      <c r="DU189">
        <v>255</v>
      </c>
      <c r="DV189">
        <v>255</v>
      </c>
      <c r="DW189">
        <v>255</v>
      </c>
      <c r="DX189" t="s">
        <v>206</v>
      </c>
      <c r="DY189" t="s">
        <v>206</v>
      </c>
      <c r="DZ189" t="s">
        <v>207</v>
      </c>
      <c r="EA189" t="s">
        <v>198</v>
      </c>
      <c r="EB189" t="s">
        <v>198</v>
      </c>
      <c r="EC189" t="s">
        <v>198</v>
      </c>
      <c r="ED189">
        <v>0</v>
      </c>
      <c r="EE189">
        <v>0</v>
      </c>
      <c r="EF189">
        <v>0</v>
      </c>
      <c r="EG189">
        <v>0</v>
      </c>
      <c r="EH189">
        <v>255</v>
      </c>
      <c r="EI189">
        <v>255</v>
      </c>
      <c r="EJ189">
        <v>255</v>
      </c>
      <c r="EK189">
        <v>255</v>
      </c>
      <c r="EL189">
        <v>255</v>
      </c>
      <c r="EM189">
        <v>255</v>
      </c>
      <c r="EN189">
        <v>255</v>
      </c>
      <c r="EO189">
        <v>255</v>
      </c>
      <c r="EP189">
        <v>255</v>
      </c>
      <c r="EQ189">
        <v>255</v>
      </c>
      <c r="ER189" t="s">
        <v>208</v>
      </c>
      <c r="ES189" t="s">
        <v>209</v>
      </c>
      <c r="ET189" t="s">
        <v>209</v>
      </c>
      <c r="EU189">
        <v>0</v>
      </c>
      <c r="EV189">
        <v>16.2</v>
      </c>
      <c r="EW189">
        <v>-114.7</v>
      </c>
      <c r="EX189">
        <v>-0.2</v>
      </c>
      <c r="EY189">
        <v>0</v>
      </c>
      <c r="EZ189">
        <v>0</v>
      </c>
      <c r="FA189">
        <v>0</v>
      </c>
      <c r="FB189" t="s">
        <v>198</v>
      </c>
      <c r="FC189" t="s">
        <v>198</v>
      </c>
      <c r="FD189" t="s">
        <v>198</v>
      </c>
      <c r="FE189" t="s">
        <v>198</v>
      </c>
      <c r="FF189" t="s">
        <v>198</v>
      </c>
      <c r="FG189" t="s">
        <v>198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203</v>
      </c>
      <c r="FP189" t="s">
        <v>203</v>
      </c>
      <c r="FQ189" t="s">
        <v>203</v>
      </c>
      <c r="FR189" t="s">
        <v>203</v>
      </c>
      <c r="FS189" t="s">
        <v>203</v>
      </c>
      <c r="FT189" t="s">
        <v>203</v>
      </c>
      <c r="FU189" t="s">
        <v>198</v>
      </c>
      <c r="FV189" t="s">
        <v>198</v>
      </c>
      <c r="FW189" t="s">
        <v>198</v>
      </c>
      <c r="FX189" t="s">
        <v>198</v>
      </c>
      <c r="FY189" t="s">
        <v>198</v>
      </c>
      <c r="FZ189" t="s">
        <v>198</v>
      </c>
      <c r="GA189">
        <v>31.2</v>
      </c>
      <c r="GB189">
        <v>31.2</v>
      </c>
      <c r="GC189" t="s">
        <v>203</v>
      </c>
      <c r="GD189">
        <v>0</v>
      </c>
      <c r="GE189">
        <v>504</v>
      </c>
      <c r="GF189">
        <v>0</v>
      </c>
      <c r="GG189">
        <v>0</v>
      </c>
      <c r="GH189">
        <v>0</v>
      </c>
      <c r="GI189">
        <v>1</v>
      </c>
      <c r="GJ189">
        <v>1</v>
      </c>
      <c r="GK189">
        <v>0</v>
      </c>
      <c r="GL189" t="s">
        <v>198</v>
      </c>
      <c r="GM189" t="s">
        <v>198</v>
      </c>
      <c r="GN189" t="s">
        <v>198</v>
      </c>
    </row>
    <row r="190" spans="1:196">
      <c r="A190" s="19">
        <v>46316.90608034722</v>
      </c>
      <c r="B190">
        <v>0</v>
      </c>
      <c r="C190">
        <v>0</v>
      </c>
      <c r="D190">
        <v>277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584.2</v>
      </c>
      <c r="N190">
        <v>-0.5</v>
      </c>
      <c r="O190">
        <v>0</v>
      </c>
      <c r="P190">
        <v>0</v>
      </c>
      <c r="Q190">
        <v>0</v>
      </c>
      <c r="R190">
        <v>0</v>
      </c>
      <c r="S190">
        <v>115.6</v>
      </c>
      <c r="T190" t="s">
        <v>485</v>
      </c>
      <c r="U190">
        <v>115.7</v>
      </c>
      <c r="V190">
        <v>1762727256586.8</v>
      </c>
      <c r="W190">
        <v>1</v>
      </c>
      <c r="X190" t="s">
        <v>197</v>
      </c>
      <c r="Y190">
        <v>0</v>
      </c>
      <c r="Z190">
        <v>98</v>
      </c>
      <c r="AA190">
        <v>278</v>
      </c>
      <c r="AB190" t="s">
        <v>197</v>
      </c>
      <c r="AC190" t="s">
        <v>198</v>
      </c>
      <c r="AD190" t="s">
        <v>199</v>
      </c>
      <c r="AE190">
        <v>0</v>
      </c>
      <c r="AF190">
        <v>44</v>
      </c>
      <c r="AG190">
        <v>255</v>
      </c>
      <c r="AH190">
        <v>0</v>
      </c>
      <c r="AI190">
        <v>0</v>
      </c>
      <c r="AJ190">
        <v>0</v>
      </c>
      <c r="AK190">
        <v>12.6</v>
      </c>
      <c r="AL190">
        <v>0</v>
      </c>
      <c r="AM190">
        <v>0</v>
      </c>
      <c r="AN190" t="s">
        <v>197</v>
      </c>
      <c r="AO190">
        <v>100</v>
      </c>
      <c r="AP190" t="s">
        <v>197</v>
      </c>
      <c r="AQ190" t="s">
        <v>200</v>
      </c>
      <c r="AR190">
        <v>1</v>
      </c>
      <c r="AS190">
        <v>0</v>
      </c>
      <c r="AT190" t="s">
        <v>536</v>
      </c>
      <c r="AU190" t="s">
        <v>536</v>
      </c>
      <c r="AV190" t="s">
        <v>202</v>
      </c>
      <c r="AW190" t="s">
        <v>203</v>
      </c>
      <c r="AX190" t="s">
        <v>203</v>
      </c>
      <c r="AY190" t="s">
        <v>203</v>
      </c>
      <c r="AZ190" t="s">
        <v>203</v>
      </c>
      <c r="BA190" t="s">
        <v>203</v>
      </c>
      <c r="BB190" t="s">
        <v>203</v>
      </c>
      <c r="BC190" t="s">
        <v>203</v>
      </c>
      <c r="BD190" t="s">
        <v>203</v>
      </c>
      <c r="BE190" t="s">
        <v>203</v>
      </c>
      <c r="BF190">
        <v>0</v>
      </c>
      <c r="BG190">
        <v>0.2</v>
      </c>
      <c r="BH190">
        <v>50</v>
      </c>
      <c r="BI190">
        <v>0</v>
      </c>
      <c r="BJ190" t="s">
        <v>198</v>
      </c>
      <c r="BK190" t="s">
        <v>198</v>
      </c>
      <c r="BL190" t="s">
        <v>198</v>
      </c>
      <c r="BM190" t="s">
        <v>198</v>
      </c>
      <c r="BN190" t="s">
        <v>198</v>
      </c>
      <c r="BO190" t="s">
        <v>198</v>
      </c>
      <c r="BP190" t="s">
        <v>198</v>
      </c>
      <c r="BQ190" t="s">
        <v>198</v>
      </c>
      <c r="BR190" t="s">
        <v>198</v>
      </c>
      <c r="BS190" t="s">
        <v>198</v>
      </c>
      <c r="BT190" t="s">
        <v>198</v>
      </c>
      <c r="BU190" t="s">
        <v>198</v>
      </c>
      <c r="BV190" t="s">
        <v>198</v>
      </c>
      <c r="BW190" t="s">
        <v>198</v>
      </c>
      <c r="BX190" t="s">
        <v>198</v>
      </c>
      <c r="BY190" t="s">
        <v>198</v>
      </c>
      <c r="BZ190" t="s">
        <v>198</v>
      </c>
      <c r="CA190" t="s">
        <v>198</v>
      </c>
      <c r="CB190" t="s">
        <v>204</v>
      </c>
      <c r="CC190" t="s">
        <v>204</v>
      </c>
      <c r="CD190" t="s">
        <v>204</v>
      </c>
      <c r="CE190" t="s">
        <v>204</v>
      </c>
      <c r="CF190" t="s">
        <v>204</v>
      </c>
      <c r="CG190" t="s">
        <v>204</v>
      </c>
      <c r="CH190" t="s">
        <v>204</v>
      </c>
      <c r="CI190" t="s">
        <v>204</v>
      </c>
      <c r="CJ190" t="s">
        <v>204</v>
      </c>
      <c r="CK190" t="s">
        <v>204</v>
      </c>
      <c r="CL190" t="s">
        <v>204</v>
      </c>
      <c r="CM190" t="s">
        <v>204</v>
      </c>
      <c r="CN190" t="s">
        <v>203</v>
      </c>
      <c r="CO190" t="s">
        <v>203</v>
      </c>
      <c r="CP190" t="s">
        <v>203</v>
      </c>
      <c r="CQ190" t="s">
        <v>203</v>
      </c>
      <c r="CR190" t="s">
        <v>203</v>
      </c>
      <c r="CS190" t="s">
        <v>203</v>
      </c>
      <c r="CT190" t="s">
        <v>203</v>
      </c>
      <c r="CU190" t="s">
        <v>203</v>
      </c>
      <c r="CV190">
        <v>0</v>
      </c>
      <c r="CW190">
        <v>0</v>
      </c>
      <c r="CX190" t="s">
        <v>198</v>
      </c>
      <c r="CY190" t="s">
        <v>198</v>
      </c>
      <c r="CZ190" t="s">
        <v>198</v>
      </c>
      <c r="DA190" t="s">
        <v>198</v>
      </c>
      <c r="DB190" t="s">
        <v>198</v>
      </c>
      <c r="DC190">
        <v>0</v>
      </c>
      <c r="DD190">
        <v>0</v>
      </c>
      <c r="DE190">
        <v>0</v>
      </c>
      <c r="DF190">
        <v>0</v>
      </c>
      <c r="DG190">
        <v>-35.3631166</v>
      </c>
      <c r="DH190">
        <v>149.1639735</v>
      </c>
      <c r="DI190" t="s">
        <v>360</v>
      </c>
      <c r="DJ190">
        <v>1.2</v>
      </c>
      <c r="DK190">
        <v>2</v>
      </c>
      <c r="DL190">
        <v>159.8</v>
      </c>
      <c r="DM190">
        <v>0</v>
      </c>
      <c r="DN190">
        <v>6</v>
      </c>
      <c r="DO190">
        <v>10</v>
      </c>
      <c r="DP190">
        <v>0</v>
      </c>
      <c r="DQ190">
        <v>255</v>
      </c>
      <c r="DR190">
        <v>255</v>
      </c>
      <c r="DS190">
        <v>255</v>
      </c>
      <c r="DT190">
        <v>255</v>
      </c>
      <c r="DU190">
        <v>255</v>
      </c>
      <c r="DV190">
        <v>255</v>
      </c>
      <c r="DW190">
        <v>255</v>
      </c>
      <c r="DX190" t="s">
        <v>206</v>
      </c>
      <c r="DY190" t="s">
        <v>206</v>
      </c>
      <c r="DZ190" t="s">
        <v>207</v>
      </c>
      <c r="EA190" t="s">
        <v>198</v>
      </c>
      <c r="EB190" t="s">
        <v>198</v>
      </c>
      <c r="EC190" t="s">
        <v>198</v>
      </c>
      <c r="ED190">
        <v>0</v>
      </c>
      <c r="EE190">
        <v>0</v>
      </c>
      <c r="EF190">
        <v>0</v>
      </c>
      <c r="EG190">
        <v>0</v>
      </c>
      <c r="EH190">
        <v>255</v>
      </c>
      <c r="EI190">
        <v>255</v>
      </c>
      <c r="EJ190">
        <v>255</v>
      </c>
      <c r="EK190">
        <v>255</v>
      </c>
      <c r="EL190">
        <v>255</v>
      </c>
      <c r="EM190">
        <v>255</v>
      </c>
      <c r="EN190">
        <v>255</v>
      </c>
      <c r="EO190">
        <v>255</v>
      </c>
      <c r="EP190">
        <v>255</v>
      </c>
      <c r="EQ190">
        <v>255</v>
      </c>
      <c r="ER190" t="s">
        <v>208</v>
      </c>
      <c r="ES190" t="s">
        <v>209</v>
      </c>
      <c r="ET190" t="s">
        <v>209</v>
      </c>
      <c r="EU190">
        <v>0</v>
      </c>
      <c r="EV190">
        <v>16.2</v>
      </c>
      <c r="EW190">
        <v>-114.7</v>
      </c>
      <c r="EX190">
        <v>-0.2</v>
      </c>
      <c r="EY190">
        <v>0</v>
      </c>
      <c r="EZ190">
        <v>0</v>
      </c>
      <c r="FA190">
        <v>0</v>
      </c>
      <c r="FB190" t="s">
        <v>198</v>
      </c>
      <c r="FC190" t="s">
        <v>198</v>
      </c>
      <c r="FD190" t="s">
        <v>198</v>
      </c>
      <c r="FE190" t="s">
        <v>198</v>
      </c>
      <c r="FF190" t="s">
        <v>198</v>
      </c>
      <c r="FG190" t="s">
        <v>198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203</v>
      </c>
      <c r="FP190" t="s">
        <v>203</v>
      </c>
      <c r="FQ190" t="s">
        <v>203</v>
      </c>
      <c r="FR190" t="s">
        <v>203</v>
      </c>
      <c r="FS190" t="s">
        <v>203</v>
      </c>
      <c r="FT190" t="s">
        <v>203</v>
      </c>
      <c r="FU190" t="s">
        <v>198</v>
      </c>
      <c r="FV190" t="s">
        <v>198</v>
      </c>
      <c r="FW190" t="s">
        <v>198</v>
      </c>
      <c r="FX190" t="s">
        <v>198</v>
      </c>
      <c r="FY190" t="s">
        <v>198</v>
      </c>
      <c r="FZ190" t="s">
        <v>198</v>
      </c>
      <c r="GA190">
        <v>31.2</v>
      </c>
      <c r="GB190">
        <v>31.2</v>
      </c>
      <c r="GC190" t="s">
        <v>203</v>
      </c>
      <c r="GD190">
        <v>0</v>
      </c>
      <c r="GE190">
        <v>504</v>
      </c>
      <c r="GF190">
        <v>0</v>
      </c>
      <c r="GG190">
        <v>0</v>
      </c>
      <c r="GH190">
        <v>0</v>
      </c>
      <c r="GI190">
        <v>1</v>
      </c>
      <c r="GJ190">
        <v>1</v>
      </c>
      <c r="GK190">
        <v>0</v>
      </c>
      <c r="GL190" t="s">
        <v>198</v>
      </c>
      <c r="GM190" t="s">
        <v>198</v>
      </c>
      <c r="GN190" t="s">
        <v>198</v>
      </c>
    </row>
    <row r="191" spans="1:196">
      <c r="A191" s="19">
        <v>46316.90609193287</v>
      </c>
      <c r="B191">
        <v>0</v>
      </c>
      <c r="C191">
        <v>0</v>
      </c>
      <c r="D191">
        <v>277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584.2</v>
      </c>
      <c r="N191">
        <v>-0.5</v>
      </c>
      <c r="O191">
        <v>0</v>
      </c>
      <c r="P191">
        <v>0</v>
      </c>
      <c r="Q191">
        <v>0</v>
      </c>
      <c r="R191">
        <v>0</v>
      </c>
      <c r="S191">
        <v>115.6</v>
      </c>
      <c r="T191" t="s">
        <v>485</v>
      </c>
      <c r="U191">
        <v>115.7</v>
      </c>
      <c r="V191">
        <v>1762727256586.8</v>
      </c>
      <c r="W191">
        <v>1</v>
      </c>
      <c r="X191" t="s">
        <v>197</v>
      </c>
      <c r="Y191">
        <v>0</v>
      </c>
      <c r="Z191">
        <v>98</v>
      </c>
      <c r="AA191">
        <v>278</v>
      </c>
      <c r="AB191" t="s">
        <v>197</v>
      </c>
      <c r="AC191" t="s">
        <v>198</v>
      </c>
      <c r="AD191" t="s">
        <v>199</v>
      </c>
      <c r="AE191">
        <v>0</v>
      </c>
      <c r="AF191">
        <v>44</v>
      </c>
      <c r="AG191">
        <v>255</v>
      </c>
      <c r="AH191">
        <v>0</v>
      </c>
      <c r="AI191">
        <v>0</v>
      </c>
      <c r="AJ191">
        <v>0</v>
      </c>
      <c r="AK191">
        <v>12.6</v>
      </c>
      <c r="AL191">
        <v>0</v>
      </c>
      <c r="AM191">
        <v>0</v>
      </c>
      <c r="AN191" t="s">
        <v>197</v>
      </c>
      <c r="AO191">
        <v>100</v>
      </c>
      <c r="AP191" t="s">
        <v>197</v>
      </c>
      <c r="AQ191" t="s">
        <v>200</v>
      </c>
      <c r="AR191">
        <v>1</v>
      </c>
      <c r="AS191">
        <v>0</v>
      </c>
      <c r="AT191" t="s">
        <v>537</v>
      </c>
      <c r="AU191" t="s">
        <v>537</v>
      </c>
      <c r="AV191" t="s">
        <v>202</v>
      </c>
      <c r="AW191" t="s">
        <v>203</v>
      </c>
      <c r="AX191" t="s">
        <v>203</v>
      </c>
      <c r="AY191" t="s">
        <v>203</v>
      </c>
      <c r="AZ191" t="s">
        <v>203</v>
      </c>
      <c r="BA191" t="s">
        <v>203</v>
      </c>
      <c r="BB191" t="s">
        <v>203</v>
      </c>
      <c r="BC191" t="s">
        <v>203</v>
      </c>
      <c r="BD191" t="s">
        <v>203</v>
      </c>
      <c r="BE191" t="s">
        <v>203</v>
      </c>
      <c r="BF191">
        <v>0</v>
      </c>
      <c r="BG191">
        <v>0.2</v>
      </c>
      <c r="BH191">
        <v>50</v>
      </c>
      <c r="BI191">
        <v>0</v>
      </c>
      <c r="BJ191" t="s">
        <v>198</v>
      </c>
      <c r="BK191" t="s">
        <v>198</v>
      </c>
      <c r="BL191" t="s">
        <v>198</v>
      </c>
      <c r="BM191" t="s">
        <v>198</v>
      </c>
      <c r="BN191" t="s">
        <v>198</v>
      </c>
      <c r="BO191" t="s">
        <v>198</v>
      </c>
      <c r="BP191" t="s">
        <v>198</v>
      </c>
      <c r="BQ191" t="s">
        <v>198</v>
      </c>
      <c r="BR191" t="s">
        <v>198</v>
      </c>
      <c r="BS191" t="s">
        <v>198</v>
      </c>
      <c r="BT191" t="s">
        <v>198</v>
      </c>
      <c r="BU191" t="s">
        <v>198</v>
      </c>
      <c r="BV191" t="s">
        <v>198</v>
      </c>
      <c r="BW191" t="s">
        <v>198</v>
      </c>
      <c r="BX191" t="s">
        <v>198</v>
      </c>
      <c r="BY191" t="s">
        <v>198</v>
      </c>
      <c r="BZ191" t="s">
        <v>198</v>
      </c>
      <c r="CA191" t="s">
        <v>198</v>
      </c>
      <c r="CB191" t="s">
        <v>204</v>
      </c>
      <c r="CC191" t="s">
        <v>204</v>
      </c>
      <c r="CD191" t="s">
        <v>204</v>
      </c>
      <c r="CE191" t="s">
        <v>204</v>
      </c>
      <c r="CF191" t="s">
        <v>204</v>
      </c>
      <c r="CG191" t="s">
        <v>204</v>
      </c>
      <c r="CH191" t="s">
        <v>204</v>
      </c>
      <c r="CI191" t="s">
        <v>204</v>
      </c>
      <c r="CJ191" t="s">
        <v>204</v>
      </c>
      <c r="CK191" t="s">
        <v>204</v>
      </c>
      <c r="CL191" t="s">
        <v>204</v>
      </c>
      <c r="CM191" t="s">
        <v>204</v>
      </c>
      <c r="CN191" t="s">
        <v>203</v>
      </c>
      <c r="CO191" t="s">
        <v>203</v>
      </c>
      <c r="CP191" t="s">
        <v>203</v>
      </c>
      <c r="CQ191" t="s">
        <v>203</v>
      </c>
      <c r="CR191" t="s">
        <v>203</v>
      </c>
      <c r="CS191" t="s">
        <v>203</v>
      </c>
      <c r="CT191" t="s">
        <v>203</v>
      </c>
      <c r="CU191" t="s">
        <v>203</v>
      </c>
      <c r="CV191">
        <v>0</v>
      </c>
      <c r="CW191">
        <v>0</v>
      </c>
      <c r="CX191" t="s">
        <v>198</v>
      </c>
      <c r="CY191" t="s">
        <v>198</v>
      </c>
      <c r="CZ191" t="s">
        <v>198</v>
      </c>
      <c r="DA191" t="s">
        <v>198</v>
      </c>
      <c r="DB191" t="s">
        <v>198</v>
      </c>
      <c r="DC191">
        <v>0</v>
      </c>
      <c r="DD191">
        <v>0</v>
      </c>
      <c r="DE191">
        <v>0</v>
      </c>
      <c r="DF191">
        <v>0</v>
      </c>
      <c r="DG191">
        <v>-35.3631166</v>
      </c>
      <c r="DH191">
        <v>149.1639735</v>
      </c>
      <c r="DI191" t="s">
        <v>360</v>
      </c>
      <c r="DJ191">
        <v>1.2</v>
      </c>
      <c r="DK191">
        <v>2</v>
      </c>
      <c r="DL191">
        <v>159.8</v>
      </c>
      <c r="DM191">
        <v>0</v>
      </c>
      <c r="DN191">
        <v>6</v>
      </c>
      <c r="DO191">
        <v>10</v>
      </c>
      <c r="DP191">
        <v>0</v>
      </c>
      <c r="DQ191">
        <v>255</v>
      </c>
      <c r="DR191">
        <v>255</v>
      </c>
      <c r="DS191">
        <v>255</v>
      </c>
      <c r="DT191">
        <v>255</v>
      </c>
      <c r="DU191">
        <v>255</v>
      </c>
      <c r="DV191">
        <v>255</v>
      </c>
      <c r="DW191">
        <v>255</v>
      </c>
      <c r="DX191" t="s">
        <v>206</v>
      </c>
      <c r="DY191" t="s">
        <v>206</v>
      </c>
      <c r="DZ191" t="s">
        <v>207</v>
      </c>
      <c r="EA191" t="s">
        <v>198</v>
      </c>
      <c r="EB191" t="s">
        <v>198</v>
      </c>
      <c r="EC191" t="s">
        <v>198</v>
      </c>
      <c r="ED191">
        <v>0</v>
      </c>
      <c r="EE191">
        <v>0</v>
      </c>
      <c r="EF191">
        <v>0</v>
      </c>
      <c r="EG191">
        <v>0</v>
      </c>
      <c r="EH191">
        <v>255</v>
      </c>
      <c r="EI191">
        <v>255</v>
      </c>
      <c r="EJ191">
        <v>255</v>
      </c>
      <c r="EK191">
        <v>255</v>
      </c>
      <c r="EL191">
        <v>255</v>
      </c>
      <c r="EM191">
        <v>255</v>
      </c>
      <c r="EN191">
        <v>255</v>
      </c>
      <c r="EO191">
        <v>255</v>
      </c>
      <c r="EP191">
        <v>255</v>
      </c>
      <c r="EQ191">
        <v>255</v>
      </c>
      <c r="ER191" t="s">
        <v>208</v>
      </c>
      <c r="ES191" t="s">
        <v>209</v>
      </c>
      <c r="ET191" t="s">
        <v>209</v>
      </c>
      <c r="EU191">
        <v>0</v>
      </c>
      <c r="EV191">
        <v>16.2</v>
      </c>
      <c r="EW191">
        <v>-114.7</v>
      </c>
      <c r="EX191">
        <v>-0.2</v>
      </c>
      <c r="EY191">
        <v>0</v>
      </c>
      <c r="EZ191">
        <v>0</v>
      </c>
      <c r="FA191">
        <v>0</v>
      </c>
      <c r="FB191" t="s">
        <v>198</v>
      </c>
      <c r="FC191" t="s">
        <v>198</v>
      </c>
      <c r="FD191" t="s">
        <v>198</v>
      </c>
      <c r="FE191" t="s">
        <v>198</v>
      </c>
      <c r="FF191" t="s">
        <v>198</v>
      </c>
      <c r="FG191" t="s">
        <v>198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203</v>
      </c>
      <c r="FP191" t="s">
        <v>203</v>
      </c>
      <c r="FQ191" t="s">
        <v>203</v>
      </c>
      <c r="FR191" t="s">
        <v>203</v>
      </c>
      <c r="FS191" t="s">
        <v>203</v>
      </c>
      <c r="FT191" t="s">
        <v>203</v>
      </c>
      <c r="FU191" t="s">
        <v>198</v>
      </c>
      <c r="FV191" t="s">
        <v>198</v>
      </c>
      <c r="FW191" t="s">
        <v>198</v>
      </c>
      <c r="FX191" t="s">
        <v>198</v>
      </c>
      <c r="FY191" t="s">
        <v>198</v>
      </c>
      <c r="FZ191" t="s">
        <v>198</v>
      </c>
      <c r="GA191">
        <v>31.2</v>
      </c>
      <c r="GB191">
        <v>31.2</v>
      </c>
      <c r="GC191" t="s">
        <v>203</v>
      </c>
      <c r="GD191">
        <v>0</v>
      </c>
      <c r="GE191">
        <v>504</v>
      </c>
      <c r="GF191">
        <v>0</v>
      </c>
      <c r="GG191">
        <v>0</v>
      </c>
      <c r="GH191">
        <v>0</v>
      </c>
      <c r="GI191">
        <v>1</v>
      </c>
      <c r="GJ191">
        <v>1</v>
      </c>
      <c r="GK191">
        <v>0</v>
      </c>
      <c r="GL191" t="s">
        <v>198</v>
      </c>
      <c r="GM191" t="s">
        <v>198</v>
      </c>
      <c r="GN191" t="s">
        <v>198</v>
      </c>
    </row>
    <row r="192" spans="1:196">
      <c r="A192" s="19">
        <v>46316.90610350695</v>
      </c>
      <c r="B192">
        <v>0</v>
      </c>
      <c r="C192">
        <v>0</v>
      </c>
      <c r="D192">
        <v>277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584.2</v>
      </c>
      <c r="N192">
        <v>-0.5</v>
      </c>
      <c r="O192">
        <v>0</v>
      </c>
      <c r="P192">
        <v>0</v>
      </c>
      <c r="Q192">
        <v>0</v>
      </c>
      <c r="R192">
        <v>0</v>
      </c>
      <c r="S192">
        <v>115.6</v>
      </c>
      <c r="T192" t="s">
        <v>485</v>
      </c>
      <c r="U192">
        <v>115.7</v>
      </c>
      <c r="V192">
        <v>1762727256586.8</v>
      </c>
      <c r="W192">
        <v>1</v>
      </c>
      <c r="X192" t="s">
        <v>197</v>
      </c>
      <c r="Y192">
        <v>0</v>
      </c>
      <c r="Z192">
        <v>98</v>
      </c>
      <c r="AA192">
        <v>278</v>
      </c>
      <c r="AB192" t="s">
        <v>197</v>
      </c>
      <c r="AC192" t="s">
        <v>198</v>
      </c>
      <c r="AD192" t="s">
        <v>199</v>
      </c>
      <c r="AE192">
        <v>0</v>
      </c>
      <c r="AF192">
        <v>44</v>
      </c>
      <c r="AG192">
        <v>255</v>
      </c>
      <c r="AH192">
        <v>0</v>
      </c>
      <c r="AI192">
        <v>0</v>
      </c>
      <c r="AJ192">
        <v>0</v>
      </c>
      <c r="AK192">
        <v>12.6</v>
      </c>
      <c r="AL192">
        <v>0</v>
      </c>
      <c r="AM192">
        <v>0</v>
      </c>
      <c r="AN192" t="s">
        <v>197</v>
      </c>
      <c r="AO192">
        <v>100</v>
      </c>
      <c r="AP192" t="s">
        <v>197</v>
      </c>
      <c r="AQ192" t="s">
        <v>200</v>
      </c>
      <c r="AR192">
        <v>1</v>
      </c>
      <c r="AS192">
        <v>0</v>
      </c>
      <c r="AT192" t="s">
        <v>538</v>
      </c>
      <c r="AU192" t="s">
        <v>538</v>
      </c>
      <c r="AV192" t="s">
        <v>202</v>
      </c>
      <c r="AW192" t="s">
        <v>203</v>
      </c>
      <c r="AX192" t="s">
        <v>203</v>
      </c>
      <c r="AY192" t="s">
        <v>203</v>
      </c>
      <c r="AZ192" t="s">
        <v>203</v>
      </c>
      <c r="BA192" t="s">
        <v>203</v>
      </c>
      <c r="BB192" t="s">
        <v>203</v>
      </c>
      <c r="BC192" t="s">
        <v>203</v>
      </c>
      <c r="BD192" t="s">
        <v>203</v>
      </c>
      <c r="BE192" t="s">
        <v>203</v>
      </c>
      <c r="BF192">
        <v>0</v>
      </c>
      <c r="BG192">
        <v>0.2</v>
      </c>
      <c r="BH192">
        <v>50</v>
      </c>
      <c r="BI192">
        <v>0</v>
      </c>
      <c r="BJ192" t="s">
        <v>198</v>
      </c>
      <c r="BK192" t="s">
        <v>198</v>
      </c>
      <c r="BL192" t="s">
        <v>198</v>
      </c>
      <c r="BM192" t="s">
        <v>198</v>
      </c>
      <c r="BN192" t="s">
        <v>198</v>
      </c>
      <c r="BO192" t="s">
        <v>198</v>
      </c>
      <c r="BP192" t="s">
        <v>198</v>
      </c>
      <c r="BQ192" t="s">
        <v>198</v>
      </c>
      <c r="BR192" t="s">
        <v>198</v>
      </c>
      <c r="BS192" t="s">
        <v>198</v>
      </c>
      <c r="BT192" t="s">
        <v>198</v>
      </c>
      <c r="BU192" t="s">
        <v>198</v>
      </c>
      <c r="BV192" t="s">
        <v>198</v>
      </c>
      <c r="BW192" t="s">
        <v>198</v>
      </c>
      <c r="BX192" t="s">
        <v>198</v>
      </c>
      <c r="BY192" t="s">
        <v>198</v>
      </c>
      <c r="BZ192" t="s">
        <v>198</v>
      </c>
      <c r="CA192" t="s">
        <v>198</v>
      </c>
      <c r="CB192" t="s">
        <v>204</v>
      </c>
      <c r="CC192" t="s">
        <v>204</v>
      </c>
      <c r="CD192" t="s">
        <v>204</v>
      </c>
      <c r="CE192" t="s">
        <v>204</v>
      </c>
      <c r="CF192" t="s">
        <v>204</v>
      </c>
      <c r="CG192" t="s">
        <v>204</v>
      </c>
      <c r="CH192" t="s">
        <v>204</v>
      </c>
      <c r="CI192" t="s">
        <v>204</v>
      </c>
      <c r="CJ192" t="s">
        <v>204</v>
      </c>
      <c r="CK192" t="s">
        <v>204</v>
      </c>
      <c r="CL192" t="s">
        <v>204</v>
      </c>
      <c r="CM192" t="s">
        <v>204</v>
      </c>
      <c r="CN192" t="s">
        <v>203</v>
      </c>
      <c r="CO192" t="s">
        <v>203</v>
      </c>
      <c r="CP192" t="s">
        <v>203</v>
      </c>
      <c r="CQ192" t="s">
        <v>203</v>
      </c>
      <c r="CR192" t="s">
        <v>203</v>
      </c>
      <c r="CS192" t="s">
        <v>203</v>
      </c>
      <c r="CT192" t="s">
        <v>203</v>
      </c>
      <c r="CU192" t="s">
        <v>203</v>
      </c>
      <c r="CV192">
        <v>0</v>
      </c>
      <c r="CW192">
        <v>0</v>
      </c>
      <c r="CX192" t="s">
        <v>198</v>
      </c>
      <c r="CY192" t="s">
        <v>198</v>
      </c>
      <c r="CZ192" t="s">
        <v>198</v>
      </c>
      <c r="DA192" t="s">
        <v>198</v>
      </c>
      <c r="DB192" t="s">
        <v>198</v>
      </c>
      <c r="DC192">
        <v>0</v>
      </c>
      <c r="DD192">
        <v>0</v>
      </c>
      <c r="DE192">
        <v>0</v>
      </c>
      <c r="DF192">
        <v>0</v>
      </c>
      <c r="DG192">
        <v>-35.3631166</v>
      </c>
      <c r="DH192">
        <v>149.1639735</v>
      </c>
      <c r="DI192" t="s">
        <v>360</v>
      </c>
      <c r="DJ192">
        <v>1.2</v>
      </c>
      <c r="DK192">
        <v>2</v>
      </c>
      <c r="DL192">
        <v>159.8</v>
      </c>
      <c r="DM192">
        <v>0</v>
      </c>
      <c r="DN192">
        <v>6</v>
      </c>
      <c r="DO192">
        <v>10</v>
      </c>
      <c r="DP192">
        <v>0</v>
      </c>
      <c r="DQ192">
        <v>255</v>
      </c>
      <c r="DR192">
        <v>255</v>
      </c>
      <c r="DS192">
        <v>255</v>
      </c>
      <c r="DT192">
        <v>255</v>
      </c>
      <c r="DU192">
        <v>255</v>
      </c>
      <c r="DV192">
        <v>255</v>
      </c>
      <c r="DW192">
        <v>255</v>
      </c>
      <c r="DX192" t="s">
        <v>206</v>
      </c>
      <c r="DY192" t="s">
        <v>206</v>
      </c>
      <c r="DZ192" t="s">
        <v>207</v>
      </c>
      <c r="EA192" t="s">
        <v>198</v>
      </c>
      <c r="EB192" t="s">
        <v>198</v>
      </c>
      <c r="EC192" t="s">
        <v>198</v>
      </c>
      <c r="ED192">
        <v>0</v>
      </c>
      <c r="EE192">
        <v>0</v>
      </c>
      <c r="EF192">
        <v>0</v>
      </c>
      <c r="EG192">
        <v>0</v>
      </c>
      <c r="EH192">
        <v>255</v>
      </c>
      <c r="EI192">
        <v>255</v>
      </c>
      <c r="EJ192">
        <v>255</v>
      </c>
      <c r="EK192">
        <v>255</v>
      </c>
      <c r="EL192">
        <v>255</v>
      </c>
      <c r="EM192">
        <v>255</v>
      </c>
      <c r="EN192">
        <v>255</v>
      </c>
      <c r="EO192">
        <v>255</v>
      </c>
      <c r="EP192">
        <v>255</v>
      </c>
      <c r="EQ192">
        <v>255</v>
      </c>
      <c r="ER192" t="s">
        <v>208</v>
      </c>
      <c r="ES192" t="s">
        <v>209</v>
      </c>
      <c r="ET192" t="s">
        <v>209</v>
      </c>
      <c r="EU192">
        <v>0</v>
      </c>
      <c r="EV192">
        <v>16.2</v>
      </c>
      <c r="EW192">
        <v>-114.7</v>
      </c>
      <c r="EX192">
        <v>-0.2</v>
      </c>
      <c r="EY192">
        <v>0</v>
      </c>
      <c r="EZ192">
        <v>0</v>
      </c>
      <c r="FA192">
        <v>0</v>
      </c>
      <c r="FB192" t="s">
        <v>198</v>
      </c>
      <c r="FC192" t="s">
        <v>198</v>
      </c>
      <c r="FD192" t="s">
        <v>198</v>
      </c>
      <c r="FE192" t="s">
        <v>198</v>
      </c>
      <c r="FF192" t="s">
        <v>198</v>
      </c>
      <c r="FG192" t="s">
        <v>198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203</v>
      </c>
      <c r="FP192" t="s">
        <v>203</v>
      </c>
      <c r="FQ192" t="s">
        <v>203</v>
      </c>
      <c r="FR192" t="s">
        <v>203</v>
      </c>
      <c r="FS192" t="s">
        <v>203</v>
      </c>
      <c r="FT192" t="s">
        <v>203</v>
      </c>
      <c r="FU192" t="s">
        <v>198</v>
      </c>
      <c r="FV192" t="s">
        <v>198</v>
      </c>
      <c r="FW192" t="s">
        <v>198</v>
      </c>
      <c r="FX192" t="s">
        <v>198</v>
      </c>
      <c r="FY192" t="s">
        <v>198</v>
      </c>
      <c r="FZ192" t="s">
        <v>198</v>
      </c>
      <c r="GA192">
        <v>31.2</v>
      </c>
      <c r="GB192">
        <v>31.2</v>
      </c>
      <c r="GC192" t="s">
        <v>203</v>
      </c>
      <c r="GD192">
        <v>0</v>
      </c>
      <c r="GE192">
        <v>504</v>
      </c>
      <c r="GF192">
        <v>0</v>
      </c>
      <c r="GG192">
        <v>0</v>
      </c>
      <c r="GH192">
        <v>0</v>
      </c>
      <c r="GI192">
        <v>1</v>
      </c>
      <c r="GJ192">
        <v>1</v>
      </c>
      <c r="GK192">
        <v>0</v>
      </c>
      <c r="GL192" t="s">
        <v>198</v>
      </c>
      <c r="GM192" t="s">
        <v>198</v>
      </c>
      <c r="GN192" t="s">
        <v>198</v>
      </c>
    </row>
    <row r="193" spans="1:196">
      <c r="A193" s="19">
        <v>46316.90611508102</v>
      </c>
      <c r="B193">
        <v>0</v>
      </c>
      <c r="C193">
        <v>0</v>
      </c>
      <c r="D193">
        <v>277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584.2</v>
      </c>
      <c r="N193">
        <v>-0.5</v>
      </c>
      <c r="O193">
        <v>0</v>
      </c>
      <c r="P193">
        <v>0</v>
      </c>
      <c r="Q193">
        <v>0</v>
      </c>
      <c r="R193">
        <v>0</v>
      </c>
      <c r="S193">
        <v>115.6</v>
      </c>
      <c r="T193" t="s">
        <v>485</v>
      </c>
      <c r="U193">
        <v>115.7</v>
      </c>
      <c r="V193">
        <v>1762727256586.8</v>
      </c>
      <c r="W193">
        <v>1</v>
      </c>
      <c r="X193" t="s">
        <v>197</v>
      </c>
      <c r="Y193">
        <v>0</v>
      </c>
      <c r="Z193">
        <v>98</v>
      </c>
      <c r="AA193">
        <v>278</v>
      </c>
      <c r="AB193" t="s">
        <v>197</v>
      </c>
      <c r="AC193" t="s">
        <v>198</v>
      </c>
      <c r="AD193" t="s">
        <v>199</v>
      </c>
      <c r="AE193">
        <v>0</v>
      </c>
      <c r="AF193">
        <v>44</v>
      </c>
      <c r="AG193">
        <v>255</v>
      </c>
      <c r="AH193">
        <v>0</v>
      </c>
      <c r="AI193">
        <v>0</v>
      </c>
      <c r="AJ193">
        <v>0</v>
      </c>
      <c r="AK193">
        <v>12.6</v>
      </c>
      <c r="AL193">
        <v>0</v>
      </c>
      <c r="AM193">
        <v>0</v>
      </c>
      <c r="AN193" t="s">
        <v>197</v>
      </c>
      <c r="AO193">
        <v>100</v>
      </c>
      <c r="AP193" t="s">
        <v>197</v>
      </c>
      <c r="AQ193" t="s">
        <v>200</v>
      </c>
      <c r="AR193">
        <v>1</v>
      </c>
      <c r="AS193">
        <v>0</v>
      </c>
      <c r="AT193" t="s">
        <v>539</v>
      </c>
      <c r="AU193" t="s">
        <v>539</v>
      </c>
      <c r="AV193" t="s">
        <v>202</v>
      </c>
      <c r="AW193" t="s">
        <v>203</v>
      </c>
      <c r="AX193" t="s">
        <v>203</v>
      </c>
      <c r="AY193" t="s">
        <v>203</v>
      </c>
      <c r="AZ193" t="s">
        <v>203</v>
      </c>
      <c r="BA193" t="s">
        <v>203</v>
      </c>
      <c r="BB193" t="s">
        <v>203</v>
      </c>
      <c r="BC193" t="s">
        <v>203</v>
      </c>
      <c r="BD193" t="s">
        <v>203</v>
      </c>
      <c r="BE193" t="s">
        <v>203</v>
      </c>
      <c r="BF193">
        <v>0</v>
      </c>
      <c r="BG193">
        <v>0.2</v>
      </c>
      <c r="BH193">
        <v>50</v>
      </c>
      <c r="BI193">
        <v>0</v>
      </c>
      <c r="BJ193" t="s">
        <v>198</v>
      </c>
      <c r="BK193" t="s">
        <v>198</v>
      </c>
      <c r="BL193" t="s">
        <v>198</v>
      </c>
      <c r="BM193" t="s">
        <v>198</v>
      </c>
      <c r="BN193" t="s">
        <v>198</v>
      </c>
      <c r="BO193" t="s">
        <v>198</v>
      </c>
      <c r="BP193" t="s">
        <v>198</v>
      </c>
      <c r="BQ193" t="s">
        <v>198</v>
      </c>
      <c r="BR193" t="s">
        <v>198</v>
      </c>
      <c r="BS193" t="s">
        <v>198</v>
      </c>
      <c r="BT193" t="s">
        <v>198</v>
      </c>
      <c r="BU193" t="s">
        <v>198</v>
      </c>
      <c r="BV193" t="s">
        <v>198</v>
      </c>
      <c r="BW193" t="s">
        <v>198</v>
      </c>
      <c r="BX193" t="s">
        <v>198</v>
      </c>
      <c r="BY193" t="s">
        <v>198</v>
      </c>
      <c r="BZ193" t="s">
        <v>198</v>
      </c>
      <c r="CA193" t="s">
        <v>198</v>
      </c>
      <c r="CB193" t="s">
        <v>204</v>
      </c>
      <c r="CC193" t="s">
        <v>204</v>
      </c>
      <c r="CD193" t="s">
        <v>204</v>
      </c>
      <c r="CE193" t="s">
        <v>204</v>
      </c>
      <c r="CF193" t="s">
        <v>204</v>
      </c>
      <c r="CG193" t="s">
        <v>204</v>
      </c>
      <c r="CH193" t="s">
        <v>204</v>
      </c>
      <c r="CI193" t="s">
        <v>204</v>
      </c>
      <c r="CJ193" t="s">
        <v>204</v>
      </c>
      <c r="CK193" t="s">
        <v>204</v>
      </c>
      <c r="CL193" t="s">
        <v>204</v>
      </c>
      <c r="CM193" t="s">
        <v>204</v>
      </c>
      <c r="CN193" t="s">
        <v>203</v>
      </c>
      <c r="CO193" t="s">
        <v>203</v>
      </c>
      <c r="CP193" t="s">
        <v>203</v>
      </c>
      <c r="CQ193" t="s">
        <v>203</v>
      </c>
      <c r="CR193" t="s">
        <v>203</v>
      </c>
      <c r="CS193" t="s">
        <v>203</v>
      </c>
      <c r="CT193" t="s">
        <v>203</v>
      </c>
      <c r="CU193" t="s">
        <v>203</v>
      </c>
      <c r="CV193">
        <v>0</v>
      </c>
      <c r="CW193">
        <v>0</v>
      </c>
      <c r="CX193" t="s">
        <v>198</v>
      </c>
      <c r="CY193" t="s">
        <v>198</v>
      </c>
      <c r="CZ193" t="s">
        <v>198</v>
      </c>
      <c r="DA193" t="s">
        <v>198</v>
      </c>
      <c r="DB193" t="s">
        <v>198</v>
      </c>
      <c r="DC193">
        <v>0</v>
      </c>
      <c r="DD193">
        <v>0</v>
      </c>
      <c r="DE193">
        <v>0</v>
      </c>
      <c r="DF193">
        <v>0</v>
      </c>
      <c r="DG193">
        <v>-35.3631166</v>
      </c>
      <c r="DH193">
        <v>149.1639735</v>
      </c>
      <c r="DI193" t="s">
        <v>360</v>
      </c>
      <c r="DJ193">
        <v>1.2</v>
      </c>
      <c r="DK193">
        <v>2</v>
      </c>
      <c r="DL193">
        <v>159.8</v>
      </c>
      <c r="DM193">
        <v>0</v>
      </c>
      <c r="DN193">
        <v>6</v>
      </c>
      <c r="DO193">
        <v>10</v>
      </c>
      <c r="DP193">
        <v>0</v>
      </c>
      <c r="DQ193">
        <v>255</v>
      </c>
      <c r="DR193">
        <v>255</v>
      </c>
      <c r="DS193">
        <v>255</v>
      </c>
      <c r="DT193">
        <v>255</v>
      </c>
      <c r="DU193">
        <v>255</v>
      </c>
      <c r="DV193">
        <v>255</v>
      </c>
      <c r="DW193">
        <v>255</v>
      </c>
      <c r="DX193" t="s">
        <v>206</v>
      </c>
      <c r="DY193" t="s">
        <v>206</v>
      </c>
      <c r="DZ193" t="s">
        <v>207</v>
      </c>
      <c r="EA193" t="s">
        <v>198</v>
      </c>
      <c r="EB193" t="s">
        <v>198</v>
      </c>
      <c r="EC193" t="s">
        <v>198</v>
      </c>
      <c r="ED193">
        <v>0</v>
      </c>
      <c r="EE193">
        <v>0</v>
      </c>
      <c r="EF193">
        <v>0</v>
      </c>
      <c r="EG193">
        <v>0</v>
      </c>
      <c r="EH193">
        <v>255</v>
      </c>
      <c r="EI193">
        <v>255</v>
      </c>
      <c r="EJ193">
        <v>255</v>
      </c>
      <c r="EK193">
        <v>255</v>
      </c>
      <c r="EL193">
        <v>255</v>
      </c>
      <c r="EM193">
        <v>255</v>
      </c>
      <c r="EN193">
        <v>255</v>
      </c>
      <c r="EO193">
        <v>255</v>
      </c>
      <c r="EP193">
        <v>255</v>
      </c>
      <c r="EQ193">
        <v>255</v>
      </c>
      <c r="ER193" t="s">
        <v>208</v>
      </c>
      <c r="ES193" t="s">
        <v>209</v>
      </c>
      <c r="ET193" t="s">
        <v>209</v>
      </c>
      <c r="EU193">
        <v>0</v>
      </c>
      <c r="EV193">
        <v>16.2</v>
      </c>
      <c r="EW193">
        <v>-114.7</v>
      </c>
      <c r="EX193">
        <v>-0.2</v>
      </c>
      <c r="EY193">
        <v>0</v>
      </c>
      <c r="EZ193">
        <v>0</v>
      </c>
      <c r="FA193">
        <v>0</v>
      </c>
      <c r="FB193" t="s">
        <v>198</v>
      </c>
      <c r="FC193" t="s">
        <v>198</v>
      </c>
      <c r="FD193" t="s">
        <v>198</v>
      </c>
      <c r="FE193" t="s">
        <v>198</v>
      </c>
      <c r="FF193" t="s">
        <v>198</v>
      </c>
      <c r="FG193" t="s">
        <v>198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203</v>
      </c>
      <c r="FP193" t="s">
        <v>203</v>
      </c>
      <c r="FQ193" t="s">
        <v>203</v>
      </c>
      <c r="FR193" t="s">
        <v>203</v>
      </c>
      <c r="FS193" t="s">
        <v>203</v>
      </c>
      <c r="FT193" t="s">
        <v>203</v>
      </c>
      <c r="FU193" t="s">
        <v>198</v>
      </c>
      <c r="FV193" t="s">
        <v>198</v>
      </c>
      <c r="FW193" t="s">
        <v>198</v>
      </c>
      <c r="FX193" t="s">
        <v>198</v>
      </c>
      <c r="FY193" t="s">
        <v>198</v>
      </c>
      <c r="FZ193" t="s">
        <v>198</v>
      </c>
      <c r="GA193">
        <v>31.2</v>
      </c>
      <c r="GB193">
        <v>31.2</v>
      </c>
      <c r="GC193" t="s">
        <v>203</v>
      </c>
      <c r="GD193">
        <v>0</v>
      </c>
      <c r="GE193">
        <v>504</v>
      </c>
      <c r="GF193">
        <v>0</v>
      </c>
      <c r="GG193">
        <v>0</v>
      </c>
      <c r="GH193">
        <v>0</v>
      </c>
      <c r="GI193">
        <v>1</v>
      </c>
      <c r="GJ193">
        <v>1</v>
      </c>
      <c r="GK193">
        <v>0</v>
      </c>
      <c r="GL193" t="s">
        <v>198</v>
      </c>
      <c r="GM193" t="s">
        <v>198</v>
      </c>
      <c r="GN193" t="s">
        <v>198</v>
      </c>
    </row>
    <row r="194" spans="1:196">
      <c r="A194" s="19">
        <v>46316.90612665509</v>
      </c>
      <c r="B194">
        <v>0</v>
      </c>
      <c r="C194">
        <v>0</v>
      </c>
      <c r="D194">
        <v>277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584.2</v>
      </c>
      <c r="N194">
        <v>-0.5</v>
      </c>
      <c r="O194">
        <v>0</v>
      </c>
      <c r="P194">
        <v>0</v>
      </c>
      <c r="Q194">
        <v>0</v>
      </c>
      <c r="R194">
        <v>0</v>
      </c>
      <c r="S194">
        <v>115.6</v>
      </c>
      <c r="T194" t="s">
        <v>485</v>
      </c>
      <c r="U194">
        <v>115.7</v>
      </c>
      <c r="V194">
        <v>1762727256586.8</v>
      </c>
      <c r="W194">
        <v>1</v>
      </c>
      <c r="X194" t="s">
        <v>197</v>
      </c>
      <c r="Y194">
        <v>0</v>
      </c>
      <c r="Z194">
        <v>98</v>
      </c>
      <c r="AA194">
        <v>278</v>
      </c>
      <c r="AB194" t="s">
        <v>197</v>
      </c>
      <c r="AC194" t="s">
        <v>198</v>
      </c>
      <c r="AD194" t="s">
        <v>199</v>
      </c>
      <c r="AE194">
        <v>0</v>
      </c>
      <c r="AF194">
        <v>44</v>
      </c>
      <c r="AG194">
        <v>255</v>
      </c>
      <c r="AH194">
        <v>0</v>
      </c>
      <c r="AI194">
        <v>0</v>
      </c>
      <c r="AJ194">
        <v>0</v>
      </c>
      <c r="AK194">
        <v>12.6</v>
      </c>
      <c r="AL194">
        <v>0</v>
      </c>
      <c r="AM194">
        <v>0</v>
      </c>
      <c r="AN194" t="s">
        <v>197</v>
      </c>
      <c r="AO194">
        <v>100</v>
      </c>
      <c r="AP194" t="s">
        <v>197</v>
      </c>
      <c r="AQ194" t="s">
        <v>200</v>
      </c>
      <c r="AR194">
        <v>1</v>
      </c>
      <c r="AS194">
        <v>0</v>
      </c>
      <c r="AT194" t="s">
        <v>540</v>
      </c>
      <c r="AU194" t="s">
        <v>540</v>
      </c>
      <c r="AV194" t="s">
        <v>202</v>
      </c>
      <c r="AW194" t="s">
        <v>203</v>
      </c>
      <c r="AX194" t="s">
        <v>203</v>
      </c>
      <c r="AY194" t="s">
        <v>203</v>
      </c>
      <c r="AZ194" t="s">
        <v>203</v>
      </c>
      <c r="BA194" t="s">
        <v>203</v>
      </c>
      <c r="BB194" t="s">
        <v>203</v>
      </c>
      <c r="BC194" t="s">
        <v>203</v>
      </c>
      <c r="BD194" t="s">
        <v>203</v>
      </c>
      <c r="BE194" t="s">
        <v>203</v>
      </c>
      <c r="BF194">
        <v>0</v>
      </c>
      <c r="BG194">
        <v>0.2</v>
      </c>
      <c r="BH194">
        <v>50</v>
      </c>
      <c r="BI194">
        <v>0</v>
      </c>
      <c r="BJ194" t="s">
        <v>198</v>
      </c>
      <c r="BK194" t="s">
        <v>198</v>
      </c>
      <c r="BL194" t="s">
        <v>198</v>
      </c>
      <c r="BM194" t="s">
        <v>198</v>
      </c>
      <c r="BN194" t="s">
        <v>198</v>
      </c>
      <c r="BO194" t="s">
        <v>198</v>
      </c>
      <c r="BP194" t="s">
        <v>198</v>
      </c>
      <c r="BQ194" t="s">
        <v>198</v>
      </c>
      <c r="BR194" t="s">
        <v>198</v>
      </c>
      <c r="BS194" t="s">
        <v>198</v>
      </c>
      <c r="BT194" t="s">
        <v>198</v>
      </c>
      <c r="BU194" t="s">
        <v>198</v>
      </c>
      <c r="BV194" t="s">
        <v>198</v>
      </c>
      <c r="BW194" t="s">
        <v>198</v>
      </c>
      <c r="BX194" t="s">
        <v>198</v>
      </c>
      <c r="BY194" t="s">
        <v>198</v>
      </c>
      <c r="BZ194" t="s">
        <v>198</v>
      </c>
      <c r="CA194" t="s">
        <v>198</v>
      </c>
      <c r="CB194" t="s">
        <v>204</v>
      </c>
      <c r="CC194" t="s">
        <v>204</v>
      </c>
      <c r="CD194" t="s">
        <v>204</v>
      </c>
      <c r="CE194" t="s">
        <v>204</v>
      </c>
      <c r="CF194" t="s">
        <v>204</v>
      </c>
      <c r="CG194" t="s">
        <v>204</v>
      </c>
      <c r="CH194" t="s">
        <v>204</v>
      </c>
      <c r="CI194" t="s">
        <v>204</v>
      </c>
      <c r="CJ194" t="s">
        <v>204</v>
      </c>
      <c r="CK194" t="s">
        <v>204</v>
      </c>
      <c r="CL194" t="s">
        <v>204</v>
      </c>
      <c r="CM194" t="s">
        <v>204</v>
      </c>
      <c r="CN194" t="s">
        <v>203</v>
      </c>
      <c r="CO194" t="s">
        <v>203</v>
      </c>
      <c r="CP194" t="s">
        <v>203</v>
      </c>
      <c r="CQ194" t="s">
        <v>203</v>
      </c>
      <c r="CR194" t="s">
        <v>203</v>
      </c>
      <c r="CS194" t="s">
        <v>203</v>
      </c>
      <c r="CT194" t="s">
        <v>203</v>
      </c>
      <c r="CU194" t="s">
        <v>203</v>
      </c>
      <c r="CV194">
        <v>0</v>
      </c>
      <c r="CW194">
        <v>0</v>
      </c>
      <c r="CX194" t="s">
        <v>198</v>
      </c>
      <c r="CY194" t="s">
        <v>198</v>
      </c>
      <c r="CZ194" t="s">
        <v>198</v>
      </c>
      <c r="DA194" t="s">
        <v>198</v>
      </c>
      <c r="DB194" t="s">
        <v>198</v>
      </c>
      <c r="DC194">
        <v>0</v>
      </c>
      <c r="DD194">
        <v>0</v>
      </c>
      <c r="DE194">
        <v>0</v>
      </c>
      <c r="DF194">
        <v>0</v>
      </c>
      <c r="DG194">
        <v>-35.3631166</v>
      </c>
      <c r="DH194">
        <v>149.1639735</v>
      </c>
      <c r="DI194" t="s">
        <v>360</v>
      </c>
      <c r="DJ194">
        <v>1.2</v>
      </c>
      <c r="DK194">
        <v>2</v>
      </c>
      <c r="DL194">
        <v>159.8</v>
      </c>
      <c r="DM194">
        <v>0</v>
      </c>
      <c r="DN194">
        <v>6</v>
      </c>
      <c r="DO194">
        <v>10</v>
      </c>
      <c r="DP194">
        <v>0</v>
      </c>
      <c r="DQ194">
        <v>255</v>
      </c>
      <c r="DR194">
        <v>255</v>
      </c>
      <c r="DS194">
        <v>255</v>
      </c>
      <c r="DT194">
        <v>255</v>
      </c>
      <c r="DU194">
        <v>255</v>
      </c>
      <c r="DV194">
        <v>255</v>
      </c>
      <c r="DW194">
        <v>255</v>
      </c>
      <c r="DX194" t="s">
        <v>206</v>
      </c>
      <c r="DY194" t="s">
        <v>206</v>
      </c>
      <c r="DZ194" t="s">
        <v>207</v>
      </c>
      <c r="EA194" t="s">
        <v>198</v>
      </c>
      <c r="EB194" t="s">
        <v>198</v>
      </c>
      <c r="EC194" t="s">
        <v>198</v>
      </c>
      <c r="ED194">
        <v>0</v>
      </c>
      <c r="EE194">
        <v>0</v>
      </c>
      <c r="EF194">
        <v>0</v>
      </c>
      <c r="EG194">
        <v>0</v>
      </c>
      <c r="EH194">
        <v>255</v>
      </c>
      <c r="EI194">
        <v>255</v>
      </c>
      <c r="EJ194">
        <v>255</v>
      </c>
      <c r="EK194">
        <v>255</v>
      </c>
      <c r="EL194">
        <v>255</v>
      </c>
      <c r="EM194">
        <v>255</v>
      </c>
      <c r="EN194">
        <v>255</v>
      </c>
      <c r="EO194">
        <v>255</v>
      </c>
      <c r="EP194">
        <v>255</v>
      </c>
      <c r="EQ194">
        <v>255</v>
      </c>
      <c r="ER194" t="s">
        <v>208</v>
      </c>
      <c r="ES194" t="s">
        <v>209</v>
      </c>
      <c r="ET194" t="s">
        <v>209</v>
      </c>
      <c r="EU194">
        <v>0</v>
      </c>
      <c r="EV194">
        <v>16.2</v>
      </c>
      <c r="EW194">
        <v>-114.7</v>
      </c>
      <c r="EX194">
        <v>-0.2</v>
      </c>
      <c r="EY194">
        <v>0</v>
      </c>
      <c r="EZ194">
        <v>0</v>
      </c>
      <c r="FA194">
        <v>0</v>
      </c>
      <c r="FB194" t="s">
        <v>198</v>
      </c>
      <c r="FC194" t="s">
        <v>198</v>
      </c>
      <c r="FD194" t="s">
        <v>198</v>
      </c>
      <c r="FE194" t="s">
        <v>198</v>
      </c>
      <c r="FF194" t="s">
        <v>198</v>
      </c>
      <c r="FG194" t="s">
        <v>198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203</v>
      </c>
      <c r="FP194" t="s">
        <v>203</v>
      </c>
      <c r="FQ194" t="s">
        <v>203</v>
      </c>
      <c r="FR194" t="s">
        <v>203</v>
      </c>
      <c r="FS194" t="s">
        <v>203</v>
      </c>
      <c r="FT194" t="s">
        <v>203</v>
      </c>
      <c r="FU194" t="s">
        <v>198</v>
      </c>
      <c r="FV194" t="s">
        <v>198</v>
      </c>
      <c r="FW194" t="s">
        <v>198</v>
      </c>
      <c r="FX194" t="s">
        <v>198</v>
      </c>
      <c r="FY194" t="s">
        <v>198</v>
      </c>
      <c r="FZ194" t="s">
        <v>198</v>
      </c>
      <c r="GA194">
        <v>31.2</v>
      </c>
      <c r="GB194">
        <v>31.2</v>
      </c>
      <c r="GC194" t="s">
        <v>203</v>
      </c>
      <c r="GD194">
        <v>0</v>
      </c>
      <c r="GE194">
        <v>504</v>
      </c>
      <c r="GF194">
        <v>0</v>
      </c>
      <c r="GG194">
        <v>0</v>
      </c>
      <c r="GH194">
        <v>0</v>
      </c>
      <c r="GI194">
        <v>1</v>
      </c>
      <c r="GJ194">
        <v>1</v>
      </c>
      <c r="GK194">
        <v>0</v>
      </c>
      <c r="GL194" t="s">
        <v>198</v>
      </c>
      <c r="GM194" t="s">
        <v>198</v>
      </c>
      <c r="GN194" t="s">
        <v>198</v>
      </c>
    </row>
    <row r="195" spans="1:196">
      <c r="A195" s="19">
        <v>46316.90613822917</v>
      </c>
      <c r="B195">
        <v>0</v>
      </c>
      <c r="C195">
        <v>0</v>
      </c>
      <c r="D195">
        <v>277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584.2</v>
      </c>
      <c r="N195">
        <v>-0.5</v>
      </c>
      <c r="O195">
        <v>0</v>
      </c>
      <c r="P195">
        <v>0</v>
      </c>
      <c r="Q195">
        <v>0</v>
      </c>
      <c r="R195">
        <v>0</v>
      </c>
      <c r="S195">
        <v>115.6</v>
      </c>
      <c r="T195" t="s">
        <v>485</v>
      </c>
      <c r="U195">
        <v>115.7</v>
      </c>
      <c r="V195">
        <v>1762727256586.8</v>
      </c>
      <c r="W195">
        <v>1</v>
      </c>
      <c r="X195" t="s">
        <v>197</v>
      </c>
      <c r="Y195">
        <v>0</v>
      </c>
      <c r="Z195">
        <v>98</v>
      </c>
      <c r="AA195">
        <v>278</v>
      </c>
      <c r="AB195" t="s">
        <v>197</v>
      </c>
      <c r="AC195" t="s">
        <v>198</v>
      </c>
      <c r="AD195" t="s">
        <v>199</v>
      </c>
      <c r="AE195">
        <v>0</v>
      </c>
      <c r="AF195">
        <v>44</v>
      </c>
      <c r="AG195">
        <v>255</v>
      </c>
      <c r="AH195">
        <v>0</v>
      </c>
      <c r="AI195">
        <v>0</v>
      </c>
      <c r="AJ195">
        <v>0</v>
      </c>
      <c r="AK195">
        <v>12.6</v>
      </c>
      <c r="AL195">
        <v>0</v>
      </c>
      <c r="AM195">
        <v>0</v>
      </c>
      <c r="AN195" t="s">
        <v>197</v>
      </c>
      <c r="AO195">
        <v>100</v>
      </c>
      <c r="AP195" t="s">
        <v>197</v>
      </c>
      <c r="AQ195" t="s">
        <v>200</v>
      </c>
      <c r="AR195">
        <v>1</v>
      </c>
      <c r="AS195">
        <v>0</v>
      </c>
      <c r="AT195" t="s">
        <v>541</v>
      </c>
      <c r="AU195" t="s">
        <v>541</v>
      </c>
      <c r="AV195" t="s">
        <v>202</v>
      </c>
      <c r="AW195" t="s">
        <v>203</v>
      </c>
      <c r="AX195" t="s">
        <v>203</v>
      </c>
      <c r="AY195" t="s">
        <v>203</v>
      </c>
      <c r="AZ195" t="s">
        <v>203</v>
      </c>
      <c r="BA195" t="s">
        <v>203</v>
      </c>
      <c r="BB195" t="s">
        <v>203</v>
      </c>
      <c r="BC195" t="s">
        <v>203</v>
      </c>
      <c r="BD195" t="s">
        <v>203</v>
      </c>
      <c r="BE195" t="s">
        <v>203</v>
      </c>
      <c r="BF195">
        <v>0</v>
      </c>
      <c r="BG195">
        <v>0.2</v>
      </c>
      <c r="BH195">
        <v>50</v>
      </c>
      <c r="BI195">
        <v>0</v>
      </c>
      <c r="BJ195" t="s">
        <v>198</v>
      </c>
      <c r="BK195" t="s">
        <v>198</v>
      </c>
      <c r="BL195" t="s">
        <v>198</v>
      </c>
      <c r="BM195" t="s">
        <v>198</v>
      </c>
      <c r="BN195" t="s">
        <v>198</v>
      </c>
      <c r="BO195" t="s">
        <v>198</v>
      </c>
      <c r="BP195" t="s">
        <v>198</v>
      </c>
      <c r="BQ195" t="s">
        <v>198</v>
      </c>
      <c r="BR195" t="s">
        <v>198</v>
      </c>
      <c r="BS195" t="s">
        <v>198</v>
      </c>
      <c r="BT195" t="s">
        <v>198</v>
      </c>
      <c r="BU195" t="s">
        <v>198</v>
      </c>
      <c r="BV195" t="s">
        <v>198</v>
      </c>
      <c r="BW195" t="s">
        <v>198</v>
      </c>
      <c r="BX195" t="s">
        <v>198</v>
      </c>
      <c r="BY195" t="s">
        <v>198</v>
      </c>
      <c r="BZ195" t="s">
        <v>198</v>
      </c>
      <c r="CA195" t="s">
        <v>198</v>
      </c>
      <c r="CB195" t="s">
        <v>204</v>
      </c>
      <c r="CC195" t="s">
        <v>204</v>
      </c>
      <c r="CD195" t="s">
        <v>204</v>
      </c>
      <c r="CE195" t="s">
        <v>204</v>
      </c>
      <c r="CF195" t="s">
        <v>204</v>
      </c>
      <c r="CG195" t="s">
        <v>204</v>
      </c>
      <c r="CH195" t="s">
        <v>204</v>
      </c>
      <c r="CI195" t="s">
        <v>204</v>
      </c>
      <c r="CJ195" t="s">
        <v>204</v>
      </c>
      <c r="CK195" t="s">
        <v>204</v>
      </c>
      <c r="CL195" t="s">
        <v>204</v>
      </c>
      <c r="CM195" t="s">
        <v>204</v>
      </c>
      <c r="CN195" t="s">
        <v>203</v>
      </c>
      <c r="CO195" t="s">
        <v>203</v>
      </c>
      <c r="CP195" t="s">
        <v>203</v>
      </c>
      <c r="CQ195" t="s">
        <v>203</v>
      </c>
      <c r="CR195" t="s">
        <v>203</v>
      </c>
      <c r="CS195" t="s">
        <v>203</v>
      </c>
      <c r="CT195" t="s">
        <v>203</v>
      </c>
      <c r="CU195" t="s">
        <v>203</v>
      </c>
      <c r="CV195">
        <v>0</v>
      </c>
      <c r="CW195">
        <v>0</v>
      </c>
      <c r="CX195" t="s">
        <v>198</v>
      </c>
      <c r="CY195" t="s">
        <v>198</v>
      </c>
      <c r="CZ195" t="s">
        <v>198</v>
      </c>
      <c r="DA195" t="s">
        <v>198</v>
      </c>
      <c r="DB195" t="s">
        <v>198</v>
      </c>
      <c r="DC195">
        <v>0</v>
      </c>
      <c r="DD195">
        <v>0</v>
      </c>
      <c r="DE195">
        <v>0</v>
      </c>
      <c r="DF195">
        <v>0</v>
      </c>
      <c r="DG195">
        <v>-35.3631166</v>
      </c>
      <c r="DH195">
        <v>149.1639735</v>
      </c>
      <c r="DI195" t="s">
        <v>360</v>
      </c>
      <c r="DJ195">
        <v>1.2</v>
      </c>
      <c r="DK195">
        <v>2</v>
      </c>
      <c r="DL195">
        <v>159.8</v>
      </c>
      <c r="DM195">
        <v>0</v>
      </c>
      <c r="DN195">
        <v>6</v>
      </c>
      <c r="DO195">
        <v>10</v>
      </c>
      <c r="DP195">
        <v>0</v>
      </c>
      <c r="DQ195">
        <v>255</v>
      </c>
      <c r="DR195">
        <v>255</v>
      </c>
      <c r="DS195">
        <v>255</v>
      </c>
      <c r="DT195">
        <v>255</v>
      </c>
      <c r="DU195">
        <v>255</v>
      </c>
      <c r="DV195">
        <v>255</v>
      </c>
      <c r="DW195">
        <v>255</v>
      </c>
      <c r="DX195" t="s">
        <v>206</v>
      </c>
      <c r="DY195" t="s">
        <v>206</v>
      </c>
      <c r="DZ195" t="s">
        <v>207</v>
      </c>
      <c r="EA195" t="s">
        <v>198</v>
      </c>
      <c r="EB195" t="s">
        <v>198</v>
      </c>
      <c r="EC195" t="s">
        <v>198</v>
      </c>
      <c r="ED195">
        <v>0</v>
      </c>
      <c r="EE195">
        <v>0</v>
      </c>
      <c r="EF195">
        <v>0</v>
      </c>
      <c r="EG195">
        <v>0</v>
      </c>
      <c r="EH195">
        <v>255</v>
      </c>
      <c r="EI195">
        <v>255</v>
      </c>
      <c r="EJ195">
        <v>255</v>
      </c>
      <c r="EK195">
        <v>255</v>
      </c>
      <c r="EL195">
        <v>255</v>
      </c>
      <c r="EM195">
        <v>255</v>
      </c>
      <c r="EN195">
        <v>255</v>
      </c>
      <c r="EO195">
        <v>255</v>
      </c>
      <c r="EP195">
        <v>255</v>
      </c>
      <c r="EQ195">
        <v>255</v>
      </c>
      <c r="ER195" t="s">
        <v>208</v>
      </c>
      <c r="ES195" t="s">
        <v>209</v>
      </c>
      <c r="ET195" t="s">
        <v>209</v>
      </c>
      <c r="EU195">
        <v>0</v>
      </c>
      <c r="EV195">
        <v>16.2</v>
      </c>
      <c r="EW195">
        <v>-114.7</v>
      </c>
      <c r="EX195">
        <v>-0.2</v>
      </c>
      <c r="EY195">
        <v>0</v>
      </c>
      <c r="EZ195">
        <v>0</v>
      </c>
      <c r="FA195">
        <v>0</v>
      </c>
      <c r="FB195" t="s">
        <v>198</v>
      </c>
      <c r="FC195" t="s">
        <v>198</v>
      </c>
      <c r="FD195" t="s">
        <v>198</v>
      </c>
      <c r="FE195" t="s">
        <v>198</v>
      </c>
      <c r="FF195" t="s">
        <v>198</v>
      </c>
      <c r="FG195" t="s">
        <v>198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203</v>
      </c>
      <c r="FP195" t="s">
        <v>203</v>
      </c>
      <c r="FQ195" t="s">
        <v>203</v>
      </c>
      <c r="FR195" t="s">
        <v>203</v>
      </c>
      <c r="FS195" t="s">
        <v>203</v>
      </c>
      <c r="FT195" t="s">
        <v>203</v>
      </c>
      <c r="FU195" t="s">
        <v>198</v>
      </c>
      <c r="FV195" t="s">
        <v>198</v>
      </c>
      <c r="FW195" t="s">
        <v>198</v>
      </c>
      <c r="FX195" t="s">
        <v>198</v>
      </c>
      <c r="FY195" t="s">
        <v>198</v>
      </c>
      <c r="FZ195" t="s">
        <v>198</v>
      </c>
      <c r="GA195">
        <v>31.2</v>
      </c>
      <c r="GB195">
        <v>31.2</v>
      </c>
      <c r="GC195" t="s">
        <v>203</v>
      </c>
      <c r="GD195">
        <v>0</v>
      </c>
      <c r="GE195">
        <v>504</v>
      </c>
      <c r="GF195">
        <v>0</v>
      </c>
      <c r="GG195">
        <v>0</v>
      </c>
      <c r="GH195">
        <v>0</v>
      </c>
      <c r="GI195">
        <v>1</v>
      </c>
      <c r="GJ195">
        <v>1</v>
      </c>
      <c r="GK195">
        <v>0</v>
      </c>
      <c r="GL195" t="s">
        <v>198</v>
      </c>
      <c r="GM195" t="s">
        <v>198</v>
      </c>
      <c r="GN195" t="s">
        <v>198</v>
      </c>
    </row>
    <row r="196" spans="1:196">
      <c r="A196" s="19">
        <v>46316.90614980324</v>
      </c>
      <c r="B196">
        <v>0</v>
      </c>
      <c r="C196">
        <v>0</v>
      </c>
      <c r="D196">
        <v>277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584.2</v>
      </c>
      <c r="N196">
        <v>-0.5</v>
      </c>
      <c r="O196">
        <v>0</v>
      </c>
      <c r="P196">
        <v>0</v>
      </c>
      <c r="Q196">
        <v>0</v>
      </c>
      <c r="R196">
        <v>0</v>
      </c>
      <c r="S196">
        <v>115.6</v>
      </c>
      <c r="T196" t="s">
        <v>485</v>
      </c>
      <c r="U196">
        <v>115.7</v>
      </c>
      <c r="V196">
        <v>1762727256586.8</v>
      </c>
      <c r="W196">
        <v>1</v>
      </c>
      <c r="X196" t="s">
        <v>197</v>
      </c>
      <c r="Y196">
        <v>0</v>
      </c>
      <c r="Z196">
        <v>98</v>
      </c>
      <c r="AA196">
        <v>278</v>
      </c>
      <c r="AB196" t="s">
        <v>197</v>
      </c>
      <c r="AC196" t="s">
        <v>198</v>
      </c>
      <c r="AD196" t="s">
        <v>199</v>
      </c>
      <c r="AE196">
        <v>0</v>
      </c>
      <c r="AF196">
        <v>44</v>
      </c>
      <c r="AG196">
        <v>255</v>
      </c>
      <c r="AH196">
        <v>0</v>
      </c>
      <c r="AI196">
        <v>0</v>
      </c>
      <c r="AJ196">
        <v>0</v>
      </c>
      <c r="AK196">
        <v>12.6</v>
      </c>
      <c r="AL196">
        <v>0</v>
      </c>
      <c r="AM196">
        <v>0</v>
      </c>
      <c r="AN196" t="s">
        <v>197</v>
      </c>
      <c r="AO196">
        <v>100</v>
      </c>
      <c r="AP196" t="s">
        <v>197</v>
      </c>
      <c r="AQ196" t="s">
        <v>200</v>
      </c>
      <c r="AR196">
        <v>1</v>
      </c>
      <c r="AS196">
        <v>0</v>
      </c>
      <c r="AT196" t="s">
        <v>542</v>
      </c>
      <c r="AU196" t="s">
        <v>542</v>
      </c>
      <c r="AV196" t="s">
        <v>202</v>
      </c>
      <c r="AW196" t="s">
        <v>203</v>
      </c>
      <c r="AX196" t="s">
        <v>203</v>
      </c>
      <c r="AY196" t="s">
        <v>203</v>
      </c>
      <c r="AZ196" t="s">
        <v>203</v>
      </c>
      <c r="BA196" t="s">
        <v>203</v>
      </c>
      <c r="BB196" t="s">
        <v>203</v>
      </c>
      <c r="BC196" t="s">
        <v>203</v>
      </c>
      <c r="BD196" t="s">
        <v>203</v>
      </c>
      <c r="BE196" t="s">
        <v>203</v>
      </c>
      <c r="BF196">
        <v>0</v>
      </c>
      <c r="BG196">
        <v>0.2</v>
      </c>
      <c r="BH196">
        <v>50</v>
      </c>
      <c r="BI196">
        <v>0</v>
      </c>
      <c r="BJ196" t="s">
        <v>198</v>
      </c>
      <c r="BK196" t="s">
        <v>198</v>
      </c>
      <c r="BL196" t="s">
        <v>198</v>
      </c>
      <c r="BM196" t="s">
        <v>198</v>
      </c>
      <c r="BN196" t="s">
        <v>198</v>
      </c>
      <c r="BO196" t="s">
        <v>198</v>
      </c>
      <c r="BP196" t="s">
        <v>198</v>
      </c>
      <c r="BQ196" t="s">
        <v>198</v>
      </c>
      <c r="BR196" t="s">
        <v>198</v>
      </c>
      <c r="BS196" t="s">
        <v>198</v>
      </c>
      <c r="BT196" t="s">
        <v>198</v>
      </c>
      <c r="BU196" t="s">
        <v>198</v>
      </c>
      <c r="BV196" t="s">
        <v>198</v>
      </c>
      <c r="BW196" t="s">
        <v>198</v>
      </c>
      <c r="BX196" t="s">
        <v>198</v>
      </c>
      <c r="BY196" t="s">
        <v>198</v>
      </c>
      <c r="BZ196" t="s">
        <v>198</v>
      </c>
      <c r="CA196" t="s">
        <v>198</v>
      </c>
      <c r="CB196" t="s">
        <v>204</v>
      </c>
      <c r="CC196" t="s">
        <v>204</v>
      </c>
      <c r="CD196" t="s">
        <v>204</v>
      </c>
      <c r="CE196" t="s">
        <v>204</v>
      </c>
      <c r="CF196" t="s">
        <v>204</v>
      </c>
      <c r="CG196" t="s">
        <v>204</v>
      </c>
      <c r="CH196" t="s">
        <v>204</v>
      </c>
      <c r="CI196" t="s">
        <v>204</v>
      </c>
      <c r="CJ196" t="s">
        <v>204</v>
      </c>
      <c r="CK196" t="s">
        <v>204</v>
      </c>
      <c r="CL196" t="s">
        <v>204</v>
      </c>
      <c r="CM196" t="s">
        <v>204</v>
      </c>
      <c r="CN196" t="s">
        <v>203</v>
      </c>
      <c r="CO196" t="s">
        <v>203</v>
      </c>
      <c r="CP196" t="s">
        <v>203</v>
      </c>
      <c r="CQ196" t="s">
        <v>203</v>
      </c>
      <c r="CR196" t="s">
        <v>203</v>
      </c>
      <c r="CS196" t="s">
        <v>203</v>
      </c>
      <c r="CT196" t="s">
        <v>203</v>
      </c>
      <c r="CU196" t="s">
        <v>203</v>
      </c>
      <c r="CV196">
        <v>0</v>
      </c>
      <c r="CW196">
        <v>0</v>
      </c>
      <c r="CX196" t="s">
        <v>198</v>
      </c>
      <c r="CY196" t="s">
        <v>198</v>
      </c>
      <c r="CZ196" t="s">
        <v>198</v>
      </c>
      <c r="DA196" t="s">
        <v>198</v>
      </c>
      <c r="DB196" t="s">
        <v>198</v>
      </c>
      <c r="DC196">
        <v>0</v>
      </c>
      <c r="DD196">
        <v>0</v>
      </c>
      <c r="DE196">
        <v>0</v>
      </c>
      <c r="DF196">
        <v>0</v>
      </c>
      <c r="DG196">
        <v>-35.3631166</v>
      </c>
      <c r="DH196">
        <v>149.1639735</v>
      </c>
      <c r="DI196" t="s">
        <v>360</v>
      </c>
      <c r="DJ196">
        <v>1.2</v>
      </c>
      <c r="DK196">
        <v>2</v>
      </c>
      <c r="DL196">
        <v>159.8</v>
      </c>
      <c r="DM196">
        <v>0</v>
      </c>
      <c r="DN196">
        <v>6</v>
      </c>
      <c r="DO196">
        <v>10</v>
      </c>
      <c r="DP196">
        <v>0</v>
      </c>
      <c r="DQ196">
        <v>255</v>
      </c>
      <c r="DR196">
        <v>255</v>
      </c>
      <c r="DS196">
        <v>255</v>
      </c>
      <c r="DT196">
        <v>255</v>
      </c>
      <c r="DU196">
        <v>255</v>
      </c>
      <c r="DV196">
        <v>255</v>
      </c>
      <c r="DW196">
        <v>255</v>
      </c>
      <c r="DX196" t="s">
        <v>206</v>
      </c>
      <c r="DY196" t="s">
        <v>206</v>
      </c>
      <c r="DZ196" t="s">
        <v>207</v>
      </c>
      <c r="EA196" t="s">
        <v>198</v>
      </c>
      <c r="EB196" t="s">
        <v>198</v>
      </c>
      <c r="EC196" t="s">
        <v>198</v>
      </c>
      <c r="ED196">
        <v>0</v>
      </c>
      <c r="EE196">
        <v>0</v>
      </c>
      <c r="EF196">
        <v>0</v>
      </c>
      <c r="EG196">
        <v>0</v>
      </c>
      <c r="EH196">
        <v>255</v>
      </c>
      <c r="EI196">
        <v>255</v>
      </c>
      <c r="EJ196">
        <v>255</v>
      </c>
      <c r="EK196">
        <v>255</v>
      </c>
      <c r="EL196">
        <v>255</v>
      </c>
      <c r="EM196">
        <v>255</v>
      </c>
      <c r="EN196">
        <v>255</v>
      </c>
      <c r="EO196">
        <v>255</v>
      </c>
      <c r="EP196">
        <v>255</v>
      </c>
      <c r="EQ196">
        <v>255</v>
      </c>
      <c r="ER196" t="s">
        <v>208</v>
      </c>
      <c r="ES196" t="s">
        <v>209</v>
      </c>
      <c r="ET196" t="s">
        <v>209</v>
      </c>
      <c r="EU196">
        <v>0</v>
      </c>
      <c r="EV196">
        <v>16.2</v>
      </c>
      <c r="EW196">
        <v>-114.7</v>
      </c>
      <c r="EX196">
        <v>-0.2</v>
      </c>
      <c r="EY196">
        <v>0</v>
      </c>
      <c r="EZ196">
        <v>0</v>
      </c>
      <c r="FA196">
        <v>0</v>
      </c>
      <c r="FB196" t="s">
        <v>198</v>
      </c>
      <c r="FC196" t="s">
        <v>198</v>
      </c>
      <c r="FD196" t="s">
        <v>198</v>
      </c>
      <c r="FE196" t="s">
        <v>198</v>
      </c>
      <c r="FF196" t="s">
        <v>198</v>
      </c>
      <c r="FG196" t="s">
        <v>198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203</v>
      </c>
      <c r="FP196" t="s">
        <v>203</v>
      </c>
      <c r="FQ196" t="s">
        <v>203</v>
      </c>
      <c r="FR196" t="s">
        <v>203</v>
      </c>
      <c r="FS196" t="s">
        <v>203</v>
      </c>
      <c r="FT196" t="s">
        <v>203</v>
      </c>
      <c r="FU196" t="s">
        <v>198</v>
      </c>
      <c r="FV196" t="s">
        <v>198</v>
      </c>
      <c r="FW196" t="s">
        <v>198</v>
      </c>
      <c r="FX196" t="s">
        <v>198</v>
      </c>
      <c r="FY196" t="s">
        <v>198</v>
      </c>
      <c r="FZ196" t="s">
        <v>198</v>
      </c>
      <c r="GA196">
        <v>31.2</v>
      </c>
      <c r="GB196">
        <v>31.2</v>
      </c>
      <c r="GC196" t="s">
        <v>203</v>
      </c>
      <c r="GD196">
        <v>0</v>
      </c>
      <c r="GE196">
        <v>504</v>
      </c>
      <c r="GF196">
        <v>0</v>
      </c>
      <c r="GG196">
        <v>0</v>
      </c>
      <c r="GH196">
        <v>0</v>
      </c>
      <c r="GI196">
        <v>1</v>
      </c>
      <c r="GJ196">
        <v>1</v>
      </c>
      <c r="GK196">
        <v>0</v>
      </c>
      <c r="GL196" t="s">
        <v>198</v>
      </c>
      <c r="GM196" t="s">
        <v>198</v>
      </c>
      <c r="GN196" t="s">
        <v>198</v>
      </c>
    </row>
    <row r="197" spans="1:196">
      <c r="A197" s="19">
        <v>46316.90616136574</v>
      </c>
      <c r="B197">
        <v>0</v>
      </c>
      <c r="C197">
        <v>0</v>
      </c>
      <c r="D197">
        <v>277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584.2</v>
      </c>
      <c r="N197">
        <v>-0.5</v>
      </c>
      <c r="O197">
        <v>0</v>
      </c>
      <c r="P197">
        <v>0</v>
      </c>
      <c r="Q197">
        <v>0</v>
      </c>
      <c r="R197">
        <v>0</v>
      </c>
      <c r="S197">
        <v>115.6</v>
      </c>
      <c r="T197" t="s">
        <v>485</v>
      </c>
      <c r="U197">
        <v>115.7</v>
      </c>
      <c r="V197">
        <v>1762727256586.8</v>
      </c>
      <c r="W197">
        <v>1</v>
      </c>
      <c r="X197" t="s">
        <v>197</v>
      </c>
      <c r="Y197">
        <v>0</v>
      </c>
      <c r="Z197">
        <v>98</v>
      </c>
      <c r="AA197">
        <v>278</v>
      </c>
      <c r="AB197" t="s">
        <v>197</v>
      </c>
      <c r="AC197" t="s">
        <v>198</v>
      </c>
      <c r="AD197" t="s">
        <v>199</v>
      </c>
      <c r="AE197">
        <v>0</v>
      </c>
      <c r="AF197">
        <v>44</v>
      </c>
      <c r="AG197">
        <v>255</v>
      </c>
      <c r="AH197">
        <v>0</v>
      </c>
      <c r="AI197">
        <v>0</v>
      </c>
      <c r="AJ197">
        <v>0</v>
      </c>
      <c r="AK197">
        <v>12.6</v>
      </c>
      <c r="AL197">
        <v>0</v>
      </c>
      <c r="AM197">
        <v>0</v>
      </c>
      <c r="AN197" t="s">
        <v>197</v>
      </c>
      <c r="AO197">
        <v>100</v>
      </c>
      <c r="AP197" t="s">
        <v>197</v>
      </c>
      <c r="AQ197" t="s">
        <v>200</v>
      </c>
      <c r="AR197">
        <v>1</v>
      </c>
      <c r="AS197">
        <v>0</v>
      </c>
      <c r="AT197" t="s">
        <v>543</v>
      </c>
      <c r="AU197" t="s">
        <v>543</v>
      </c>
      <c r="AV197" t="s">
        <v>202</v>
      </c>
      <c r="AW197" t="s">
        <v>203</v>
      </c>
      <c r="AX197" t="s">
        <v>203</v>
      </c>
      <c r="AY197" t="s">
        <v>203</v>
      </c>
      <c r="AZ197" t="s">
        <v>203</v>
      </c>
      <c r="BA197" t="s">
        <v>203</v>
      </c>
      <c r="BB197" t="s">
        <v>203</v>
      </c>
      <c r="BC197" t="s">
        <v>203</v>
      </c>
      <c r="BD197" t="s">
        <v>203</v>
      </c>
      <c r="BE197" t="s">
        <v>203</v>
      </c>
      <c r="BF197">
        <v>0</v>
      </c>
      <c r="BG197">
        <v>0.2</v>
      </c>
      <c r="BH197">
        <v>50</v>
      </c>
      <c r="BI197">
        <v>0</v>
      </c>
      <c r="BJ197" t="s">
        <v>198</v>
      </c>
      <c r="BK197" t="s">
        <v>198</v>
      </c>
      <c r="BL197" t="s">
        <v>198</v>
      </c>
      <c r="BM197" t="s">
        <v>198</v>
      </c>
      <c r="BN197" t="s">
        <v>198</v>
      </c>
      <c r="BO197" t="s">
        <v>198</v>
      </c>
      <c r="BP197" t="s">
        <v>198</v>
      </c>
      <c r="BQ197" t="s">
        <v>198</v>
      </c>
      <c r="BR197" t="s">
        <v>198</v>
      </c>
      <c r="BS197" t="s">
        <v>198</v>
      </c>
      <c r="BT197" t="s">
        <v>198</v>
      </c>
      <c r="BU197" t="s">
        <v>198</v>
      </c>
      <c r="BV197" t="s">
        <v>198</v>
      </c>
      <c r="BW197" t="s">
        <v>198</v>
      </c>
      <c r="BX197" t="s">
        <v>198</v>
      </c>
      <c r="BY197" t="s">
        <v>198</v>
      </c>
      <c r="BZ197" t="s">
        <v>198</v>
      </c>
      <c r="CA197" t="s">
        <v>198</v>
      </c>
      <c r="CB197" t="s">
        <v>204</v>
      </c>
      <c r="CC197" t="s">
        <v>204</v>
      </c>
      <c r="CD197" t="s">
        <v>204</v>
      </c>
      <c r="CE197" t="s">
        <v>204</v>
      </c>
      <c r="CF197" t="s">
        <v>204</v>
      </c>
      <c r="CG197" t="s">
        <v>204</v>
      </c>
      <c r="CH197" t="s">
        <v>204</v>
      </c>
      <c r="CI197" t="s">
        <v>204</v>
      </c>
      <c r="CJ197" t="s">
        <v>204</v>
      </c>
      <c r="CK197" t="s">
        <v>204</v>
      </c>
      <c r="CL197" t="s">
        <v>204</v>
      </c>
      <c r="CM197" t="s">
        <v>204</v>
      </c>
      <c r="CN197" t="s">
        <v>203</v>
      </c>
      <c r="CO197" t="s">
        <v>203</v>
      </c>
      <c r="CP197" t="s">
        <v>203</v>
      </c>
      <c r="CQ197" t="s">
        <v>203</v>
      </c>
      <c r="CR197" t="s">
        <v>203</v>
      </c>
      <c r="CS197" t="s">
        <v>203</v>
      </c>
      <c r="CT197" t="s">
        <v>203</v>
      </c>
      <c r="CU197" t="s">
        <v>203</v>
      </c>
      <c r="CV197">
        <v>0</v>
      </c>
      <c r="CW197">
        <v>0</v>
      </c>
      <c r="CX197" t="s">
        <v>198</v>
      </c>
      <c r="CY197" t="s">
        <v>198</v>
      </c>
      <c r="CZ197" t="s">
        <v>198</v>
      </c>
      <c r="DA197" t="s">
        <v>198</v>
      </c>
      <c r="DB197" t="s">
        <v>198</v>
      </c>
      <c r="DC197">
        <v>0</v>
      </c>
      <c r="DD197">
        <v>0</v>
      </c>
      <c r="DE197">
        <v>0</v>
      </c>
      <c r="DF197">
        <v>0</v>
      </c>
      <c r="DG197">
        <v>-35.3631166</v>
      </c>
      <c r="DH197">
        <v>149.1639735</v>
      </c>
      <c r="DI197" t="s">
        <v>360</v>
      </c>
      <c r="DJ197">
        <v>1.2</v>
      </c>
      <c r="DK197">
        <v>2</v>
      </c>
      <c r="DL197">
        <v>159.8</v>
      </c>
      <c r="DM197">
        <v>0</v>
      </c>
      <c r="DN197">
        <v>6</v>
      </c>
      <c r="DO197">
        <v>10</v>
      </c>
      <c r="DP197">
        <v>0</v>
      </c>
      <c r="DQ197">
        <v>255</v>
      </c>
      <c r="DR197">
        <v>255</v>
      </c>
      <c r="DS197">
        <v>255</v>
      </c>
      <c r="DT197">
        <v>255</v>
      </c>
      <c r="DU197">
        <v>255</v>
      </c>
      <c r="DV197">
        <v>255</v>
      </c>
      <c r="DW197">
        <v>255</v>
      </c>
      <c r="DX197" t="s">
        <v>206</v>
      </c>
      <c r="DY197" t="s">
        <v>206</v>
      </c>
      <c r="DZ197" t="s">
        <v>207</v>
      </c>
      <c r="EA197" t="s">
        <v>198</v>
      </c>
      <c r="EB197" t="s">
        <v>198</v>
      </c>
      <c r="EC197" t="s">
        <v>198</v>
      </c>
      <c r="ED197">
        <v>0</v>
      </c>
      <c r="EE197">
        <v>0</v>
      </c>
      <c r="EF197">
        <v>0</v>
      </c>
      <c r="EG197">
        <v>0</v>
      </c>
      <c r="EH197">
        <v>255</v>
      </c>
      <c r="EI197">
        <v>255</v>
      </c>
      <c r="EJ197">
        <v>255</v>
      </c>
      <c r="EK197">
        <v>255</v>
      </c>
      <c r="EL197">
        <v>255</v>
      </c>
      <c r="EM197">
        <v>255</v>
      </c>
      <c r="EN197">
        <v>255</v>
      </c>
      <c r="EO197">
        <v>255</v>
      </c>
      <c r="EP197">
        <v>255</v>
      </c>
      <c r="EQ197">
        <v>255</v>
      </c>
      <c r="ER197" t="s">
        <v>208</v>
      </c>
      <c r="ES197" t="s">
        <v>209</v>
      </c>
      <c r="ET197" t="s">
        <v>209</v>
      </c>
      <c r="EU197">
        <v>0</v>
      </c>
      <c r="EV197">
        <v>16.2</v>
      </c>
      <c r="EW197">
        <v>-114.7</v>
      </c>
      <c r="EX197">
        <v>-0.2</v>
      </c>
      <c r="EY197">
        <v>0</v>
      </c>
      <c r="EZ197">
        <v>0</v>
      </c>
      <c r="FA197">
        <v>0</v>
      </c>
      <c r="FB197" t="s">
        <v>198</v>
      </c>
      <c r="FC197" t="s">
        <v>198</v>
      </c>
      <c r="FD197" t="s">
        <v>198</v>
      </c>
      <c r="FE197" t="s">
        <v>198</v>
      </c>
      <c r="FF197" t="s">
        <v>198</v>
      </c>
      <c r="FG197" t="s">
        <v>198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203</v>
      </c>
      <c r="FP197" t="s">
        <v>203</v>
      </c>
      <c r="FQ197" t="s">
        <v>203</v>
      </c>
      <c r="FR197" t="s">
        <v>203</v>
      </c>
      <c r="FS197" t="s">
        <v>203</v>
      </c>
      <c r="FT197" t="s">
        <v>203</v>
      </c>
      <c r="FU197" t="s">
        <v>198</v>
      </c>
      <c r="FV197" t="s">
        <v>198</v>
      </c>
      <c r="FW197" t="s">
        <v>198</v>
      </c>
      <c r="FX197" t="s">
        <v>198</v>
      </c>
      <c r="FY197" t="s">
        <v>198</v>
      </c>
      <c r="FZ197" t="s">
        <v>198</v>
      </c>
      <c r="GA197">
        <v>31.2</v>
      </c>
      <c r="GB197">
        <v>31.2</v>
      </c>
      <c r="GC197" t="s">
        <v>203</v>
      </c>
      <c r="GD197">
        <v>0</v>
      </c>
      <c r="GE197">
        <v>504</v>
      </c>
      <c r="GF197">
        <v>0</v>
      </c>
      <c r="GG197">
        <v>0</v>
      </c>
      <c r="GH197">
        <v>0</v>
      </c>
      <c r="GI197">
        <v>1</v>
      </c>
      <c r="GJ197">
        <v>1</v>
      </c>
      <c r="GK197">
        <v>0</v>
      </c>
      <c r="GL197" t="s">
        <v>198</v>
      </c>
      <c r="GM197" t="s">
        <v>198</v>
      </c>
      <c r="GN197" t="s">
        <v>198</v>
      </c>
    </row>
    <row r="198" spans="1:196">
      <c r="A198" s="19">
        <v>46316.90617295139</v>
      </c>
      <c r="B198">
        <v>0</v>
      </c>
      <c r="C198">
        <v>0</v>
      </c>
      <c r="D198">
        <v>277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584.2</v>
      </c>
      <c r="N198">
        <v>-0.5</v>
      </c>
      <c r="O198">
        <v>0</v>
      </c>
      <c r="P198">
        <v>0</v>
      </c>
      <c r="Q198">
        <v>0</v>
      </c>
      <c r="R198">
        <v>0</v>
      </c>
      <c r="S198">
        <v>115.6</v>
      </c>
      <c r="T198" t="s">
        <v>485</v>
      </c>
      <c r="U198">
        <v>115.7</v>
      </c>
      <c r="V198">
        <v>1762727256586.8</v>
      </c>
      <c r="W198">
        <v>1</v>
      </c>
      <c r="X198" t="s">
        <v>197</v>
      </c>
      <c r="Y198">
        <v>0</v>
      </c>
      <c r="Z198">
        <v>98</v>
      </c>
      <c r="AA198">
        <v>278</v>
      </c>
      <c r="AB198" t="s">
        <v>197</v>
      </c>
      <c r="AC198" t="s">
        <v>198</v>
      </c>
      <c r="AD198" t="s">
        <v>199</v>
      </c>
      <c r="AE198">
        <v>0</v>
      </c>
      <c r="AF198">
        <v>44</v>
      </c>
      <c r="AG198">
        <v>255</v>
      </c>
      <c r="AH198">
        <v>0</v>
      </c>
      <c r="AI198">
        <v>0</v>
      </c>
      <c r="AJ198">
        <v>0</v>
      </c>
      <c r="AK198">
        <v>12.6</v>
      </c>
      <c r="AL198">
        <v>0</v>
      </c>
      <c r="AM198">
        <v>0</v>
      </c>
      <c r="AN198" t="s">
        <v>197</v>
      </c>
      <c r="AO198">
        <v>100</v>
      </c>
      <c r="AP198" t="s">
        <v>197</v>
      </c>
      <c r="AQ198" t="s">
        <v>200</v>
      </c>
      <c r="AR198">
        <v>1</v>
      </c>
      <c r="AS198">
        <v>0</v>
      </c>
      <c r="AT198" t="s">
        <v>544</v>
      </c>
      <c r="AU198" t="s">
        <v>544</v>
      </c>
      <c r="AV198" t="s">
        <v>202</v>
      </c>
      <c r="AW198" t="s">
        <v>203</v>
      </c>
      <c r="AX198" t="s">
        <v>203</v>
      </c>
      <c r="AY198" t="s">
        <v>203</v>
      </c>
      <c r="AZ198" t="s">
        <v>203</v>
      </c>
      <c r="BA198" t="s">
        <v>203</v>
      </c>
      <c r="BB198" t="s">
        <v>203</v>
      </c>
      <c r="BC198" t="s">
        <v>203</v>
      </c>
      <c r="BD198" t="s">
        <v>203</v>
      </c>
      <c r="BE198" t="s">
        <v>203</v>
      </c>
      <c r="BF198">
        <v>0</v>
      </c>
      <c r="BG198">
        <v>0.2</v>
      </c>
      <c r="BH198">
        <v>50</v>
      </c>
      <c r="BI198">
        <v>0</v>
      </c>
      <c r="BJ198" t="s">
        <v>198</v>
      </c>
      <c r="BK198" t="s">
        <v>198</v>
      </c>
      <c r="BL198" t="s">
        <v>198</v>
      </c>
      <c r="BM198" t="s">
        <v>198</v>
      </c>
      <c r="BN198" t="s">
        <v>198</v>
      </c>
      <c r="BO198" t="s">
        <v>198</v>
      </c>
      <c r="BP198" t="s">
        <v>198</v>
      </c>
      <c r="BQ198" t="s">
        <v>198</v>
      </c>
      <c r="BR198" t="s">
        <v>198</v>
      </c>
      <c r="BS198" t="s">
        <v>198</v>
      </c>
      <c r="BT198" t="s">
        <v>198</v>
      </c>
      <c r="BU198" t="s">
        <v>198</v>
      </c>
      <c r="BV198" t="s">
        <v>198</v>
      </c>
      <c r="BW198" t="s">
        <v>198</v>
      </c>
      <c r="BX198" t="s">
        <v>198</v>
      </c>
      <c r="BY198" t="s">
        <v>198</v>
      </c>
      <c r="BZ198" t="s">
        <v>198</v>
      </c>
      <c r="CA198" t="s">
        <v>198</v>
      </c>
      <c r="CB198" t="s">
        <v>204</v>
      </c>
      <c r="CC198" t="s">
        <v>204</v>
      </c>
      <c r="CD198" t="s">
        <v>204</v>
      </c>
      <c r="CE198" t="s">
        <v>204</v>
      </c>
      <c r="CF198" t="s">
        <v>204</v>
      </c>
      <c r="CG198" t="s">
        <v>204</v>
      </c>
      <c r="CH198" t="s">
        <v>204</v>
      </c>
      <c r="CI198" t="s">
        <v>204</v>
      </c>
      <c r="CJ198" t="s">
        <v>204</v>
      </c>
      <c r="CK198" t="s">
        <v>204</v>
      </c>
      <c r="CL198" t="s">
        <v>204</v>
      </c>
      <c r="CM198" t="s">
        <v>204</v>
      </c>
      <c r="CN198" t="s">
        <v>203</v>
      </c>
      <c r="CO198" t="s">
        <v>203</v>
      </c>
      <c r="CP198" t="s">
        <v>203</v>
      </c>
      <c r="CQ198" t="s">
        <v>203</v>
      </c>
      <c r="CR198" t="s">
        <v>203</v>
      </c>
      <c r="CS198" t="s">
        <v>203</v>
      </c>
      <c r="CT198" t="s">
        <v>203</v>
      </c>
      <c r="CU198" t="s">
        <v>203</v>
      </c>
      <c r="CV198">
        <v>0</v>
      </c>
      <c r="CW198">
        <v>0</v>
      </c>
      <c r="CX198" t="s">
        <v>198</v>
      </c>
      <c r="CY198" t="s">
        <v>198</v>
      </c>
      <c r="CZ198" t="s">
        <v>198</v>
      </c>
      <c r="DA198" t="s">
        <v>198</v>
      </c>
      <c r="DB198" t="s">
        <v>198</v>
      </c>
      <c r="DC198">
        <v>0</v>
      </c>
      <c r="DD198">
        <v>0</v>
      </c>
      <c r="DE198">
        <v>0</v>
      </c>
      <c r="DF198">
        <v>0</v>
      </c>
      <c r="DG198">
        <v>-35.3631166</v>
      </c>
      <c r="DH198">
        <v>149.1639735</v>
      </c>
      <c r="DI198" t="s">
        <v>360</v>
      </c>
      <c r="DJ198">
        <v>1.2</v>
      </c>
      <c r="DK198">
        <v>2</v>
      </c>
      <c r="DL198">
        <v>159.8</v>
      </c>
      <c r="DM198">
        <v>0</v>
      </c>
      <c r="DN198">
        <v>6</v>
      </c>
      <c r="DO198">
        <v>10</v>
      </c>
      <c r="DP198">
        <v>0</v>
      </c>
      <c r="DQ198">
        <v>255</v>
      </c>
      <c r="DR198">
        <v>255</v>
      </c>
      <c r="DS198">
        <v>255</v>
      </c>
      <c r="DT198">
        <v>255</v>
      </c>
      <c r="DU198">
        <v>255</v>
      </c>
      <c r="DV198">
        <v>255</v>
      </c>
      <c r="DW198">
        <v>255</v>
      </c>
      <c r="DX198" t="s">
        <v>206</v>
      </c>
      <c r="DY198" t="s">
        <v>206</v>
      </c>
      <c r="DZ198" t="s">
        <v>207</v>
      </c>
      <c r="EA198" t="s">
        <v>198</v>
      </c>
      <c r="EB198" t="s">
        <v>198</v>
      </c>
      <c r="EC198" t="s">
        <v>198</v>
      </c>
      <c r="ED198">
        <v>0</v>
      </c>
      <c r="EE198">
        <v>0</v>
      </c>
      <c r="EF198">
        <v>0</v>
      </c>
      <c r="EG198">
        <v>0</v>
      </c>
      <c r="EH198">
        <v>255</v>
      </c>
      <c r="EI198">
        <v>255</v>
      </c>
      <c r="EJ198">
        <v>255</v>
      </c>
      <c r="EK198">
        <v>255</v>
      </c>
      <c r="EL198">
        <v>255</v>
      </c>
      <c r="EM198">
        <v>255</v>
      </c>
      <c r="EN198">
        <v>255</v>
      </c>
      <c r="EO198">
        <v>255</v>
      </c>
      <c r="EP198">
        <v>255</v>
      </c>
      <c r="EQ198">
        <v>255</v>
      </c>
      <c r="ER198" t="s">
        <v>208</v>
      </c>
      <c r="ES198" t="s">
        <v>209</v>
      </c>
      <c r="ET198" t="s">
        <v>209</v>
      </c>
      <c r="EU198">
        <v>0</v>
      </c>
      <c r="EV198">
        <v>16.2</v>
      </c>
      <c r="EW198">
        <v>-114.7</v>
      </c>
      <c r="EX198">
        <v>-0.2</v>
      </c>
      <c r="EY198">
        <v>0</v>
      </c>
      <c r="EZ198">
        <v>0</v>
      </c>
      <c r="FA198">
        <v>0</v>
      </c>
      <c r="FB198" t="s">
        <v>198</v>
      </c>
      <c r="FC198" t="s">
        <v>198</v>
      </c>
      <c r="FD198" t="s">
        <v>198</v>
      </c>
      <c r="FE198" t="s">
        <v>198</v>
      </c>
      <c r="FF198" t="s">
        <v>198</v>
      </c>
      <c r="FG198" t="s">
        <v>198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203</v>
      </c>
      <c r="FP198" t="s">
        <v>203</v>
      </c>
      <c r="FQ198" t="s">
        <v>203</v>
      </c>
      <c r="FR198" t="s">
        <v>203</v>
      </c>
      <c r="FS198" t="s">
        <v>203</v>
      </c>
      <c r="FT198" t="s">
        <v>203</v>
      </c>
      <c r="FU198" t="s">
        <v>198</v>
      </c>
      <c r="FV198" t="s">
        <v>198</v>
      </c>
      <c r="FW198" t="s">
        <v>198</v>
      </c>
      <c r="FX198" t="s">
        <v>198</v>
      </c>
      <c r="FY198" t="s">
        <v>198</v>
      </c>
      <c r="FZ198" t="s">
        <v>198</v>
      </c>
      <c r="GA198">
        <v>31.2</v>
      </c>
      <c r="GB198">
        <v>31.2</v>
      </c>
      <c r="GC198" t="s">
        <v>203</v>
      </c>
      <c r="GD198">
        <v>0</v>
      </c>
      <c r="GE198">
        <v>504</v>
      </c>
      <c r="GF198">
        <v>0</v>
      </c>
      <c r="GG198">
        <v>0</v>
      </c>
      <c r="GH198">
        <v>0</v>
      </c>
      <c r="GI198">
        <v>1</v>
      </c>
      <c r="GJ198">
        <v>1</v>
      </c>
      <c r="GK198">
        <v>0</v>
      </c>
      <c r="GL198" t="s">
        <v>198</v>
      </c>
      <c r="GM198" t="s">
        <v>198</v>
      </c>
      <c r="GN198" t="s">
        <v>198</v>
      </c>
    </row>
    <row r="199" spans="1:196">
      <c r="A199" s="19">
        <v>46316.90618452546</v>
      </c>
      <c r="B199">
        <v>0</v>
      </c>
      <c r="C199">
        <v>0</v>
      </c>
      <c r="D199">
        <v>277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584.2</v>
      </c>
      <c r="N199">
        <v>-0.5</v>
      </c>
      <c r="O199">
        <v>0</v>
      </c>
      <c r="P199">
        <v>0</v>
      </c>
      <c r="Q199">
        <v>0</v>
      </c>
      <c r="R199">
        <v>0</v>
      </c>
      <c r="S199">
        <v>115.6</v>
      </c>
      <c r="T199" t="s">
        <v>485</v>
      </c>
      <c r="U199">
        <v>115.7</v>
      </c>
      <c r="V199">
        <v>1762727256586.8</v>
      </c>
      <c r="W199">
        <v>1</v>
      </c>
      <c r="X199" t="s">
        <v>197</v>
      </c>
      <c r="Y199">
        <v>0</v>
      </c>
      <c r="Z199">
        <v>98</v>
      </c>
      <c r="AA199">
        <v>278</v>
      </c>
      <c r="AB199" t="s">
        <v>197</v>
      </c>
      <c r="AC199" t="s">
        <v>198</v>
      </c>
      <c r="AD199" t="s">
        <v>199</v>
      </c>
      <c r="AE199">
        <v>0</v>
      </c>
      <c r="AF199">
        <v>44</v>
      </c>
      <c r="AG199">
        <v>255</v>
      </c>
      <c r="AH199">
        <v>0</v>
      </c>
      <c r="AI199">
        <v>0</v>
      </c>
      <c r="AJ199">
        <v>0</v>
      </c>
      <c r="AK199">
        <v>12.6</v>
      </c>
      <c r="AL199">
        <v>0</v>
      </c>
      <c r="AM199">
        <v>0</v>
      </c>
      <c r="AN199" t="s">
        <v>197</v>
      </c>
      <c r="AO199">
        <v>100</v>
      </c>
      <c r="AP199" t="s">
        <v>197</v>
      </c>
      <c r="AQ199" t="s">
        <v>200</v>
      </c>
      <c r="AR199">
        <v>1</v>
      </c>
      <c r="AS199">
        <v>0</v>
      </c>
      <c r="AT199" t="s">
        <v>545</v>
      </c>
      <c r="AU199" t="s">
        <v>545</v>
      </c>
      <c r="AV199" t="s">
        <v>202</v>
      </c>
      <c r="AW199" t="s">
        <v>203</v>
      </c>
      <c r="AX199" t="s">
        <v>203</v>
      </c>
      <c r="AY199" t="s">
        <v>203</v>
      </c>
      <c r="AZ199" t="s">
        <v>203</v>
      </c>
      <c r="BA199" t="s">
        <v>203</v>
      </c>
      <c r="BB199" t="s">
        <v>203</v>
      </c>
      <c r="BC199" t="s">
        <v>203</v>
      </c>
      <c r="BD199" t="s">
        <v>203</v>
      </c>
      <c r="BE199" t="s">
        <v>203</v>
      </c>
      <c r="BF199">
        <v>0</v>
      </c>
      <c r="BG199">
        <v>0.2</v>
      </c>
      <c r="BH199">
        <v>50</v>
      </c>
      <c r="BI199">
        <v>0</v>
      </c>
      <c r="BJ199" t="s">
        <v>198</v>
      </c>
      <c r="BK199" t="s">
        <v>198</v>
      </c>
      <c r="BL199" t="s">
        <v>198</v>
      </c>
      <c r="BM199" t="s">
        <v>198</v>
      </c>
      <c r="BN199" t="s">
        <v>198</v>
      </c>
      <c r="BO199" t="s">
        <v>198</v>
      </c>
      <c r="BP199" t="s">
        <v>198</v>
      </c>
      <c r="BQ199" t="s">
        <v>198</v>
      </c>
      <c r="BR199" t="s">
        <v>198</v>
      </c>
      <c r="BS199" t="s">
        <v>198</v>
      </c>
      <c r="BT199" t="s">
        <v>198</v>
      </c>
      <c r="BU199" t="s">
        <v>198</v>
      </c>
      <c r="BV199" t="s">
        <v>198</v>
      </c>
      <c r="BW199" t="s">
        <v>198</v>
      </c>
      <c r="BX199" t="s">
        <v>198</v>
      </c>
      <c r="BY199" t="s">
        <v>198</v>
      </c>
      <c r="BZ199" t="s">
        <v>198</v>
      </c>
      <c r="CA199" t="s">
        <v>198</v>
      </c>
      <c r="CB199" t="s">
        <v>204</v>
      </c>
      <c r="CC199" t="s">
        <v>204</v>
      </c>
      <c r="CD199" t="s">
        <v>204</v>
      </c>
      <c r="CE199" t="s">
        <v>204</v>
      </c>
      <c r="CF199" t="s">
        <v>204</v>
      </c>
      <c r="CG199" t="s">
        <v>204</v>
      </c>
      <c r="CH199" t="s">
        <v>204</v>
      </c>
      <c r="CI199" t="s">
        <v>204</v>
      </c>
      <c r="CJ199" t="s">
        <v>204</v>
      </c>
      <c r="CK199" t="s">
        <v>204</v>
      </c>
      <c r="CL199" t="s">
        <v>204</v>
      </c>
      <c r="CM199" t="s">
        <v>204</v>
      </c>
      <c r="CN199" t="s">
        <v>203</v>
      </c>
      <c r="CO199" t="s">
        <v>203</v>
      </c>
      <c r="CP199" t="s">
        <v>203</v>
      </c>
      <c r="CQ199" t="s">
        <v>203</v>
      </c>
      <c r="CR199" t="s">
        <v>203</v>
      </c>
      <c r="CS199" t="s">
        <v>203</v>
      </c>
      <c r="CT199" t="s">
        <v>203</v>
      </c>
      <c r="CU199" t="s">
        <v>203</v>
      </c>
      <c r="CV199">
        <v>0</v>
      </c>
      <c r="CW199">
        <v>0</v>
      </c>
      <c r="CX199" t="s">
        <v>198</v>
      </c>
      <c r="CY199" t="s">
        <v>198</v>
      </c>
      <c r="CZ199" t="s">
        <v>198</v>
      </c>
      <c r="DA199" t="s">
        <v>198</v>
      </c>
      <c r="DB199" t="s">
        <v>198</v>
      </c>
      <c r="DC199">
        <v>0</v>
      </c>
      <c r="DD199">
        <v>0</v>
      </c>
      <c r="DE199">
        <v>0</v>
      </c>
      <c r="DF199">
        <v>0</v>
      </c>
      <c r="DG199">
        <v>-35.3631166</v>
      </c>
      <c r="DH199">
        <v>149.1639735</v>
      </c>
      <c r="DI199" t="s">
        <v>360</v>
      </c>
      <c r="DJ199">
        <v>1.2</v>
      </c>
      <c r="DK199">
        <v>2</v>
      </c>
      <c r="DL199">
        <v>159.8</v>
      </c>
      <c r="DM199">
        <v>0</v>
      </c>
      <c r="DN199">
        <v>6</v>
      </c>
      <c r="DO199">
        <v>10</v>
      </c>
      <c r="DP199">
        <v>0</v>
      </c>
      <c r="DQ199">
        <v>255</v>
      </c>
      <c r="DR199">
        <v>255</v>
      </c>
      <c r="DS199">
        <v>255</v>
      </c>
      <c r="DT199">
        <v>255</v>
      </c>
      <c r="DU199">
        <v>255</v>
      </c>
      <c r="DV199">
        <v>255</v>
      </c>
      <c r="DW199">
        <v>255</v>
      </c>
      <c r="DX199" t="s">
        <v>206</v>
      </c>
      <c r="DY199" t="s">
        <v>206</v>
      </c>
      <c r="DZ199" t="s">
        <v>207</v>
      </c>
      <c r="EA199" t="s">
        <v>198</v>
      </c>
      <c r="EB199" t="s">
        <v>198</v>
      </c>
      <c r="EC199" t="s">
        <v>198</v>
      </c>
      <c r="ED199">
        <v>0</v>
      </c>
      <c r="EE199">
        <v>0</v>
      </c>
      <c r="EF199">
        <v>0</v>
      </c>
      <c r="EG199">
        <v>0</v>
      </c>
      <c r="EH199">
        <v>255</v>
      </c>
      <c r="EI199">
        <v>255</v>
      </c>
      <c r="EJ199">
        <v>255</v>
      </c>
      <c r="EK199">
        <v>255</v>
      </c>
      <c r="EL199">
        <v>255</v>
      </c>
      <c r="EM199">
        <v>255</v>
      </c>
      <c r="EN199">
        <v>255</v>
      </c>
      <c r="EO199">
        <v>255</v>
      </c>
      <c r="EP199">
        <v>255</v>
      </c>
      <c r="EQ199">
        <v>255</v>
      </c>
      <c r="ER199" t="s">
        <v>208</v>
      </c>
      <c r="ES199" t="s">
        <v>209</v>
      </c>
      <c r="ET199" t="s">
        <v>209</v>
      </c>
      <c r="EU199">
        <v>0</v>
      </c>
      <c r="EV199">
        <v>16.2</v>
      </c>
      <c r="EW199">
        <v>-114.7</v>
      </c>
      <c r="EX199">
        <v>-0.2</v>
      </c>
      <c r="EY199">
        <v>0</v>
      </c>
      <c r="EZ199">
        <v>0</v>
      </c>
      <c r="FA199">
        <v>0</v>
      </c>
      <c r="FB199" t="s">
        <v>198</v>
      </c>
      <c r="FC199" t="s">
        <v>198</v>
      </c>
      <c r="FD199" t="s">
        <v>198</v>
      </c>
      <c r="FE199" t="s">
        <v>198</v>
      </c>
      <c r="FF199" t="s">
        <v>198</v>
      </c>
      <c r="FG199" t="s">
        <v>198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203</v>
      </c>
      <c r="FP199" t="s">
        <v>203</v>
      </c>
      <c r="FQ199" t="s">
        <v>203</v>
      </c>
      <c r="FR199" t="s">
        <v>203</v>
      </c>
      <c r="FS199" t="s">
        <v>203</v>
      </c>
      <c r="FT199" t="s">
        <v>203</v>
      </c>
      <c r="FU199" t="s">
        <v>198</v>
      </c>
      <c r="FV199" t="s">
        <v>198</v>
      </c>
      <c r="FW199" t="s">
        <v>198</v>
      </c>
      <c r="FX199" t="s">
        <v>198</v>
      </c>
      <c r="FY199" t="s">
        <v>198</v>
      </c>
      <c r="FZ199" t="s">
        <v>198</v>
      </c>
      <c r="GA199">
        <v>31.2</v>
      </c>
      <c r="GB199">
        <v>31.2</v>
      </c>
      <c r="GC199" t="s">
        <v>203</v>
      </c>
      <c r="GD199">
        <v>0</v>
      </c>
      <c r="GE199">
        <v>504</v>
      </c>
      <c r="GF199">
        <v>0</v>
      </c>
      <c r="GG199">
        <v>0</v>
      </c>
      <c r="GH199">
        <v>0</v>
      </c>
      <c r="GI199">
        <v>1</v>
      </c>
      <c r="GJ199">
        <v>1</v>
      </c>
      <c r="GK199">
        <v>0</v>
      </c>
      <c r="GL199" t="s">
        <v>198</v>
      </c>
      <c r="GM199" t="s">
        <v>198</v>
      </c>
      <c r="GN199" t="s">
        <v>198</v>
      </c>
    </row>
    <row r="200" spans="1:196">
      <c r="A200" s="19">
        <v>46316.90619608796</v>
      </c>
      <c r="B200">
        <v>0</v>
      </c>
      <c r="C200">
        <v>0</v>
      </c>
      <c r="D200">
        <v>277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584.2</v>
      </c>
      <c r="N200">
        <v>-0.5</v>
      </c>
      <c r="O200">
        <v>0</v>
      </c>
      <c r="P200">
        <v>0</v>
      </c>
      <c r="Q200">
        <v>0</v>
      </c>
      <c r="R200">
        <v>0</v>
      </c>
      <c r="S200">
        <v>115.6</v>
      </c>
      <c r="T200" t="s">
        <v>485</v>
      </c>
      <c r="U200">
        <v>115.7</v>
      </c>
      <c r="V200">
        <v>1762727256586.8</v>
      </c>
      <c r="W200">
        <v>1</v>
      </c>
      <c r="X200" t="s">
        <v>197</v>
      </c>
      <c r="Y200">
        <v>0</v>
      </c>
      <c r="Z200">
        <v>98</v>
      </c>
      <c r="AA200">
        <v>278</v>
      </c>
      <c r="AB200" t="s">
        <v>197</v>
      </c>
      <c r="AC200" t="s">
        <v>198</v>
      </c>
      <c r="AD200" t="s">
        <v>199</v>
      </c>
      <c r="AE200">
        <v>0</v>
      </c>
      <c r="AF200">
        <v>44</v>
      </c>
      <c r="AG200">
        <v>255</v>
      </c>
      <c r="AH200">
        <v>0</v>
      </c>
      <c r="AI200">
        <v>0</v>
      </c>
      <c r="AJ200">
        <v>0</v>
      </c>
      <c r="AK200">
        <v>12.6</v>
      </c>
      <c r="AL200">
        <v>0</v>
      </c>
      <c r="AM200">
        <v>0</v>
      </c>
      <c r="AN200" t="s">
        <v>197</v>
      </c>
      <c r="AO200">
        <v>100</v>
      </c>
      <c r="AP200" t="s">
        <v>197</v>
      </c>
      <c r="AQ200" t="s">
        <v>200</v>
      </c>
      <c r="AR200">
        <v>1</v>
      </c>
      <c r="AS200">
        <v>0</v>
      </c>
      <c r="AT200" t="s">
        <v>546</v>
      </c>
      <c r="AU200" t="s">
        <v>546</v>
      </c>
      <c r="AV200" t="s">
        <v>202</v>
      </c>
      <c r="AW200" t="s">
        <v>203</v>
      </c>
      <c r="AX200" t="s">
        <v>203</v>
      </c>
      <c r="AY200" t="s">
        <v>203</v>
      </c>
      <c r="AZ200" t="s">
        <v>203</v>
      </c>
      <c r="BA200" t="s">
        <v>203</v>
      </c>
      <c r="BB200" t="s">
        <v>203</v>
      </c>
      <c r="BC200" t="s">
        <v>203</v>
      </c>
      <c r="BD200" t="s">
        <v>203</v>
      </c>
      <c r="BE200" t="s">
        <v>203</v>
      </c>
      <c r="BF200">
        <v>0</v>
      </c>
      <c r="BG200">
        <v>0.2</v>
      </c>
      <c r="BH200">
        <v>50</v>
      </c>
      <c r="BI200">
        <v>0</v>
      </c>
      <c r="BJ200" t="s">
        <v>198</v>
      </c>
      <c r="BK200" t="s">
        <v>198</v>
      </c>
      <c r="BL200" t="s">
        <v>198</v>
      </c>
      <c r="BM200" t="s">
        <v>198</v>
      </c>
      <c r="BN200" t="s">
        <v>198</v>
      </c>
      <c r="BO200" t="s">
        <v>198</v>
      </c>
      <c r="BP200" t="s">
        <v>198</v>
      </c>
      <c r="BQ200" t="s">
        <v>198</v>
      </c>
      <c r="BR200" t="s">
        <v>198</v>
      </c>
      <c r="BS200" t="s">
        <v>198</v>
      </c>
      <c r="BT200" t="s">
        <v>198</v>
      </c>
      <c r="BU200" t="s">
        <v>198</v>
      </c>
      <c r="BV200" t="s">
        <v>198</v>
      </c>
      <c r="BW200" t="s">
        <v>198</v>
      </c>
      <c r="BX200" t="s">
        <v>198</v>
      </c>
      <c r="BY200" t="s">
        <v>198</v>
      </c>
      <c r="BZ200" t="s">
        <v>198</v>
      </c>
      <c r="CA200" t="s">
        <v>198</v>
      </c>
      <c r="CB200" t="s">
        <v>204</v>
      </c>
      <c r="CC200" t="s">
        <v>204</v>
      </c>
      <c r="CD200" t="s">
        <v>204</v>
      </c>
      <c r="CE200" t="s">
        <v>204</v>
      </c>
      <c r="CF200" t="s">
        <v>204</v>
      </c>
      <c r="CG200" t="s">
        <v>204</v>
      </c>
      <c r="CH200" t="s">
        <v>204</v>
      </c>
      <c r="CI200" t="s">
        <v>204</v>
      </c>
      <c r="CJ200" t="s">
        <v>204</v>
      </c>
      <c r="CK200" t="s">
        <v>204</v>
      </c>
      <c r="CL200" t="s">
        <v>204</v>
      </c>
      <c r="CM200" t="s">
        <v>204</v>
      </c>
      <c r="CN200" t="s">
        <v>203</v>
      </c>
      <c r="CO200" t="s">
        <v>203</v>
      </c>
      <c r="CP200" t="s">
        <v>203</v>
      </c>
      <c r="CQ200" t="s">
        <v>203</v>
      </c>
      <c r="CR200" t="s">
        <v>203</v>
      </c>
      <c r="CS200" t="s">
        <v>203</v>
      </c>
      <c r="CT200" t="s">
        <v>203</v>
      </c>
      <c r="CU200" t="s">
        <v>203</v>
      </c>
      <c r="CV200">
        <v>0</v>
      </c>
      <c r="CW200">
        <v>0</v>
      </c>
      <c r="CX200" t="s">
        <v>198</v>
      </c>
      <c r="CY200" t="s">
        <v>198</v>
      </c>
      <c r="CZ200" t="s">
        <v>198</v>
      </c>
      <c r="DA200" t="s">
        <v>198</v>
      </c>
      <c r="DB200" t="s">
        <v>198</v>
      </c>
      <c r="DC200">
        <v>0</v>
      </c>
      <c r="DD200">
        <v>0</v>
      </c>
      <c r="DE200">
        <v>0</v>
      </c>
      <c r="DF200">
        <v>0</v>
      </c>
      <c r="DG200">
        <v>-35.3631166</v>
      </c>
      <c r="DH200">
        <v>149.1639735</v>
      </c>
      <c r="DI200" t="s">
        <v>360</v>
      </c>
      <c r="DJ200">
        <v>1.2</v>
      </c>
      <c r="DK200">
        <v>2</v>
      </c>
      <c r="DL200">
        <v>159.8</v>
      </c>
      <c r="DM200">
        <v>0</v>
      </c>
      <c r="DN200">
        <v>6</v>
      </c>
      <c r="DO200">
        <v>10</v>
      </c>
      <c r="DP200">
        <v>0</v>
      </c>
      <c r="DQ200">
        <v>255</v>
      </c>
      <c r="DR200">
        <v>255</v>
      </c>
      <c r="DS200">
        <v>255</v>
      </c>
      <c r="DT200">
        <v>255</v>
      </c>
      <c r="DU200">
        <v>255</v>
      </c>
      <c r="DV200">
        <v>255</v>
      </c>
      <c r="DW200">
        <v>255</v>
      </c>
      <c r="DX200" t="s">
        <v>206</v>
      </c>
      <c r="DY200" t="s">
        <v>206</v>
      </c>
      <c r="DZ200" t="s">
        <v>207</v>
      </c>
      <c r="EA200" t="s">
        <v>198</v>
      </c>
      <c r="EB200" t="s">
        <v>198</v>
      </c>
      <c r="EC200" t="s">
        <v>198</v>
      </c>
      <c r="ED200">
        <v>0</v>
      </c>
      <c r="EE200">
        <v>0</v>
      </c>
      <c r="EF200">
        <v>0</v>
      </c>
      <c r="EG200">
        <v>0</v>
      </c>
      <c r="EH200">
        <v>255</v>
      </c>
      <c r="EI200">
        <v>255</v>
      </c>
      <c r="EJ200">
        <v>255</v>
      </c>
      <c r="EK200">
        <v>255</v>
      </c>
      <c r="EL200">
        <v>255</v>
      </c>
      <c r="EM200">
        <v>255</v>
      </c>
      <c r="EN200">
        <v>255</v>
      </c>
      <c r="EO200">
        <v>255</v>
      </c>
      <c r="EP200">
        <v>255</v>
      </c>
      <c r="EQ200">
        <v>255</v>
      </c>
      <c r="ER200" t="s">
        <v>208</v>
      </c>
      <c r="ES200" t="s">
        <v>209</v>
      </c>
      <c r="ET200" t="s">
        <v>209</v>
      </c>
      <c r="EU200">
        <v>0</v>
      </c>
      <c r="EV200">
        <v>16.2</v>
      </c>
      <c r="EW200">
        <v>-114.7</v>
      </c>
      <c r="EX200">
        <v>-0.2</v>
      </c>
      <c r="EY200">
        <v>0</v>
      </c>
      <c r="EZ200">
        <v>0</v>
      </c>
      <c r="FA200">
        <v>0</v>
      </c>
      <c r="FB200" t="s">
        <v>198</v>
      </c>
      <c r="FC200" t="s">
        <v>198</v>
      </c>
      <c r="FD200" t="s">
        <v>198</v>
      </c>
      <c r="FE200" t="s">
        <v>198</v>
      </c>
      <c r="FF200" t="s">
        <v>198</v>
      </c>
      <c r="FG200" t="s">
        <v>198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203</v>
      </c>
      <c r="FP200" t="s">
        <v>203</v>
      </c>
      <c r="FQ200" t="s">
        <v>203</v>
      </c>
      <c r="FR200" t="s">
        <v>203</v>
      </c>
      <c r="FS200" t="s">
        <v>203</v>
      </c>
      <c r="FT200" t="s">
        <v>203</v>
      </c>
      <c r="FU200" t="s">
        <v>198</v>
      </c>
      <c r="FV200" t="s">
        <v>198</v>
      </c>
      <c r="FW200" t="s">
        <v>198</v>
      </c>
      <c r="FX200" t="s">
        <v>198</v>
      </c>
      <c r="FY200" t="s">
        <v>198</v>
      </c>
      <c r="FZ200" t="s">
        <v>198</v>
      </c>
      <c r="GA200">
        <v>31.2</v>
      </c>
      <c r="GB200">
        <v>31.2</v>
      </c>
      <c r="GC200" t="s">
        <v>203</v>
      </c>
      <c r="GD200">
        <v>0</v>
      </c>
      <c r="GE200">
        <v>504</v>
      </c>
      <c r="GF200">
        <v>0</v>
      </c>
      <c r="GG200">
        <v>0</v>
      </c>
      <c r="GH200">
        <v>0</v>
      </c>
      <c r="GI200">
        <v>1</v>
      </c>
      <c r="GJ200">
        <v>1</v>
      </c>
      <c r="GK200">
        <v>0</v>
      </c>
      <c r="GL200" t="s">
        <v>198</v>
      </c>
      <c r="GM200" t="s">
        <v>198</v>
      </c>
      <c r="GN200" t="s">
        <v>198</v>
      </c>
    </row>
    <row r="201" spans="1:196">
      <c r="A201" s="19">
        <v>46316.90620767361</v>
      </c>
      <c r="B201">
        <v>0</v>
      </c>
      <c r="C201">
        <v>0</v>
      </c>
      <c r="D201">
        <v>277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584.2</v>
      </c>
      <c r="N201">
        <v>-0.5</v>
      </c>
      <c r="O201">
        <v>0</v>
      </c>
      <c r="P201">
        <v>0</v>
      </c>
      <c r="Q201">
        <v>0</v>
      </c>
      <c r="R201">
        <v>0</v>
      </c>
      <c r="S201">
        <v>115.6</v>
      </c>
      <c r="T201" t="s">
        <v>485</v>
      </c>
      <c r="U201">
        <v>115.7</v>
      </c>
      <c r="V201">
        <v>1762727256586.8</v>
      </c>
      <c r="W201">
        <v>1</v>
      </c>
      <c r="X201" t="s">
        <v>197</v>
      </c>
      <c r="Y201">
        <v>0</v>
      </c>
      <c r="Z201">
        <v>98</v>
      </c>
      <c r="AA201">
        <v>278</v>
      </c>
      <c r="AB201" t="s">
        <v>197</v>
      </c>
      <c r="AC201" t="s">
        <v>198</v>
      </c>
      <c r="AD201" t="s">
        <v>199</v>
      </c>
      <c r="AE201">
        <v>0</v>
      </c>
      <c r="AF201">
        <v>44</v>
      </c>
      <c r="AG201">
        <v>255</v>
      </c>
      <c r="AH201">
        <v>0</v>
      </c>
      <c r="AI201">
        <v>0</v>
      </c>
      <c r="AJ201">
        <v>0</v>
      </c>
      <c r="AK201">
        <v>12.6</v>
      </c>
      <c r="AL201">
        <v>0</v>
      </c>
      <c r="AM201">
        <v>0</v>
      </c>
      <c r="AN201" t="s">
        <v>197</v>
      </c>
      <c r="AO201">
        <v>100</v>
      </c>
      <c r="AP201" t="s">
        <v>197</v>
      </c>
      <c r="AQ201" t="s">
        <v>200</v>
      </c>
      <c r="AR201">
        <v>1</v>
      </c>
      <c r="AS201">
        <v>0</v>
      </c>
      <c r="AT201" t="s">
        <v>547</v>
      </c>
      <c r="AU201" t="s">
        <v>547</v>
      </c>
      <c r="AV201" t="s">
        <v>202</v>
      </c>
      <c r="AW201" t="s">
        <v>203</v>
      </c>
      <c r="AX201" t="s">
        <v>203</v>
      </c>
      <c r="AY201" t="s">
        <v>203</v>
      </c>
      <c r="AZ201" t="s">
        <v>203</v>
      </c>
      <c r="BA201" t="s">
        <v>203</v>
      </c>
      <c r="BB201" t="s">
        <v>203</v>
      </c>
      <c r="BC201" t="s">
        <v>203</v>
      </c>
      <c r="BD201" t="s">
        <v>203</v>
      </c>
      <c r="BE201" t="s">
        <v>203</v>
      </c>
      <c r="BF201">
        <v>0</v>
      </c>
      <c r="BG201">
        <v>0.2</v>
      </c>
      <c r="BH201">
        <v>50</v>
      </c>
      <c r="BI201">
        <v>0</v>
      </c>
      <c r="BJ201" t="s">
        <v>198</v>
      </c>
      <c r="BK201" t="s">
        <v>198</v>
      </c>
      <c r="BL201" t="s">
        <v>198</v>
      </c>
      <c r="BM201" t="s">
        <v>198</v>
      </c>
      <c r="BN201" t="s">
        <v>198</v>
      </c>
      <c r="BO201" t="s">
        <v>198</v>
      </c>
      <c r="BP201" t="s">
        <v>198</v>
      </c>
      <c r="BQ201" t="s">
        <v>198</v>
      </c>
      <c r="BR201" t="s">
        <v>198</v>
      </c>
      <c r="BS201" t="s">
        <v>198</v>
      </c>
      <c r="BT201" t="s">
        <v>198</v>
      </c>
      <c r="BU201" t="s">
        <v>198</v>
      </c>
      <c r="BV201" t="s">
        <v>198</v>
      </c>
      <c r="BW201" t="s">
        <v>198</v>
      </c>
      <c r="BX201" t="s">
        <v>198</v>
      </c>
      <c r="BY201" t="s">
        <v>198</v>
      </c>
      <c r="BZ201" t="s">
        <v>198</v>
      </c>
      <c r="CA201" t="s">
        <v>198</v>
      </c>
      <c r="CB201" t="s">
        <v>204</v>
      </c>
      <c r="CC201" t="s">
        <v>204</v>
      </c>
      <c r="CD201" t="s">
        <v>204</v>
      </c>
      <c r="CE201" t="s">
        <v>204</v>
      </c>
      <c r="CF201" t="s">
        <v>204</v>
      </c>
      <c r="CG201" t="s">
        <v>204</v>
      </c>
      <c r="CH201" t="s">
        <v>204</v>
      </c>
      <c r="CI201" t="s">
        <v>204</v>
      </c>
      <c r="CJ201" t="s">
        <v>204</v>
      </c>
      <c r="CK201" t="s">
        <v>204</v>
      </c>
      <c r="CL201" t="s">
        <v>204</v>
      </c>
      <c r="CM201" t="s">
        <v>204</v>
      </c>
      <c r="CN201" t="s">
        <v>203</v>
      </c>
      <c r="CO201" t="s">
        <v>203</v>
      </c>
      <c r="CP201" t="s">
        <v>203</v>
      </c>
      <c r="CQ201" t="s">
        <v>203</v>
      </c>
      <c r="CR201" t="s">
        <v>203</v>
      </c>
      <c r="CS201" t="s">
        <v>203</v>
      </c>
      <c r="CT201" t="s">
        <v>203</v>
      </c>
      <c r="CU201" t="s">
        <v>203</v>
      </c>
      <c r="CV201">
        <v>0</v>
      </c>
      <c r="CW201">
        <v>0</v>
      </c>
      <c r="CX201" t="s">
        <v>198</v>
      </c>
      <c r="CY201" t="s">
        <v>198</v>
      </c>
      <c r="CZ201" t="s">
        <v>198</v>
      </c>
      <c r="DA201" t="s">
        <v>198</v>
      </c>
      <c r="DB201" t="s">
        <v>198</v>
      </c>
      <c r="DC201">
        <v>0</v>
      </c>
      <c r="DD201">
        <v>0</v>
      </c>
      <c r="DE201">
        <v>0</v>
      </c>
      <c r="DF201">
        <v>0</v>
      </c>
      <c r="DG201">
        <v>-35.3631166</v>
      </c>
      <c r="DH201">
        <v>149.1639735</v>
      </c>
      <c r="DI201" t="s">
        <v>360</v>
      </c>
      <c r="DJ201">
        <v>1.2</v>
      </c>
      <c r="DK201">
        <v>2</v>
      </c>
      <c r="DL201">
        <v>159.8</v>
      </c>
      <c r="DM201">
        <v>0</v>
      </c>
      <c r="DN201">
        <v>6</v>
      </c>
      <c r="DO201">
        <v>10</v>
      </c>
      <c r="DP201">
        <v>0</v>
      </c>
      <c r="DQ201">
        <v>255</v>
      </c>
      <c r="DR201">
        <v>255</v>
      </c>
      <c r="DS201">
        <v>255</v>
      </c>
      <c r="DT201">
        <v>255</v>
      </c>
      <c r="DU201">
        <v>255</v>
      </c>
      <c r="DV201">
        <v>255</v>
      </c>
      <c r="DW201">
        <v>255</v>
      </c>
      <c r="DX201" t="s">
        <v>206</v>
      </c>
      <c r="DY201" t="s">
        <v>206</v>
      </c>
      <c r="DZ201" t="s">
        <v>207</v>
      </c>
      <c r="EA201" t="s">
        <v>198</v>
      </c>
      <c r="EB201" t="s">
        <v>198</v>
      </c>
      <c r="EC201" t="s">
        <v>198</v>
      </c>
      <c r="ED201">
        <v>0</v>
      </c>
      <c r="EE201">
        <v>0</v>
      </c>
      <c r="EF201">
        <v>0</v>
      </c>
      <c r="EG201">
        <v>0</v>
      </c>
      <c r="EH201">
        <v>255</v>
      </c>
      <c r="EI201">
        <v>255</v>
      </c>
      <c r="EJ201">
        <v>255</v>
      </c>
      <c r="EK201">
        <v>255</v>
      </c>
      <c r="EL201">
        <v>255</v>
      </c>
      <c r="EM201">
        <v>255</v>
      </c>
      <c r="EN201">
        <v>255</v>
      </c>
      <c r="EO201">
        <v>255</v>
      </c>
      <c r="EP201">
        <v>255</v>
      </c>
      <c r="EQ201">
        <v>255</v>
      </c>
      <c r="ER201" t="s">
        <v>208</v>
      </c>
      <c r="ES201" t="s">
        <v>209</v>
      </c>
      <c r="ET201" t="s">
        <v>209</v>
      </c>
      <c r="EU201">
        <v>0</v>
      </c>
      <c r="EV201">
        <v>16.2</v>
      </c>
      <c r="EW201">
        <v>-114.7</v>
      </c>
      <c r="EX201">
        <v>-0.2</v>
      </c>
      <c r="EY201">
        <v>0</v>
      </c>
      <c r="EZ201">
        <v>0</v>
      </c>
      <c r="FA201">
        <v>0</v>
      </c>
      <c r="FB201" t="s">
        <v>198</v>
      </c>
      <c r="FC201" t="s">
        <v>198</v>
      </c>
      <c r="FD201" t="s">
        <v>198</v>
      </c>
      <c r="FE201" t="s">
        <v>198</v>
      </c>
      <c r="FF201" t="s">
        <v>198</v>
      </c>
      <c r="FG201" t="s">
        <v>198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203</v>
      </c>
      <c r="FP201" t="s">
        <v>203</v>
      </c>
      <c r="FQ201" t="s">
        <v>203</v>
      </c>
      <c r="FR201" t="s">
        <v>203</v>
      </c>
      <c r="FS201" t="s">
        <v>203</v>
      </c>
      <c r="FT201" t="s">
        <v>203</v>
      </c>
      <c r="FU201" t="s">
        <v>198</v>
      </c>
      <c r="FV201" t="s">
        <v>198</v>
      </c>
      <c r="FW201" t="s">
        <v>198</v>
      </c>
      <c r="FX201" t="s">
        <v>198</v>
      </c>
      <c r="FY201" t="s">
        <v>198</v>
      </c>
      <c r="FZ201" t="s">
        <v>198</v>
      </c>
      <c r="GA201">
        <v>31.2</v>
      </c>
      <c r="GB201">
        <v>31.2</v>
      </c>
      <c r="GC201" t="s">
        <v>203</v>
      </c>
      <c r="GD201">
        <v>0</v>
      </c>
      <c r="GE201">
        <v>504</v>
      </c>
      <c r="GF201">
        <v>0</v>
      </c>
      <c r="GG201">
        <v>0</v>
      </c>
      <c r="GH201">
        <v>0</v>
      </c>
      <c r="GI201">
        <v>1</v>
      </c>
      <c r="GJ201">
        <v>1</v>
      </c>
      <c r="GK201">
        <v>0</v>
      </c>
      <c r="GL201" t="s">
        <v>198</v>
      </c>
      <c r="GM201" t="s">
        <v>198</v>
      </c>
      <c r="GN201" t="s">
        <v>198</v>
      </c>
    </row>
    <row r="202" spans="1:196">
      <c r="A202" s="19">
        <v>46316.90621923611</v>
      </c>
      <c r="B202">
        <v>0</v>
      </c>
      <c r="C202">
        <v>0</v>
      </c>
      <c r="D202">
        <v>277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584.2</v>
      </c>
      <c r="N202">
        <v>-0.5</v>
      </c>
      <c r="O202">
        <v>0</v>
      </c>
      <c r="P202">
        <v>0</v>
      </c>
      <c r="Q202">
        <v>0</v>
      </c>
      <c r="R202">
        <v>0</v>
      </c>
      <c r="S202">
        <v>115.6</v>
      </c>
      <c r="T202" t="s">
        <v>485</v>
      </c>
      <c r="U202">
        <v>115.7</v>
      </c>
      <c r="V202">
        <v>1762727256586.8</v>
      </c>
      <c r="W202">
        <v>1</v>
      </c>
      <c r="X202" t="s">
        <v>197</v>
      </c>
      <c r="Y202">
        <v>0</v>
      </c>
      <c r="Z202">
        <v>98</v>
      </c>
      <c r="AA202">
        <v>278</v>
      </c>
      <c r="AB202" t="s">
        <v>197</v>
      </c>
      <c r="AC202" t="s">
        <v>198</v>
      </c>
      <c r="AD202" t="s">
        <v>199</v>
      </c>
      <c r="AE202">
        <v>0</v>
      </c>
      <c r="AF202">
        <v>44</v>
      </c>
      <c r="AG202">
        <v>255</v>
      </c>
      <c r="AH202">
        <v>0</v>
      </c>
      <c r="AI202">
        <v>0</v>
      </c>
      <c r="AJ202">
        <v>0</v>
      </c>
      <c r="AK202">
        <v>12.6</v>
      </c>
      <c r="AL202">
        <v>0</v>
      </c>
      <c r="AM202">
        <v>0</v>
      </c>
      <c r="AN202" t="s">
        <v>197</v>
      </c>
      <c r="AO202">
        <v>100</v>
      </c>
      <c r="AP202" t="s">
        <v>197</v>
      </c>
      <c r="AQ202" t="s">
        <v>200</v>
      </c>
      <c r="AR202">
        <v>1</v>
      </c>
      <c r="AS202">
        <v>0</v>
      </c>
      <c r="AT202" t="s">
        <v>548</v>
      </c>
      <c r="AU202" t="s">
        <v>548</v>
      </c>
      <c r="AV202" t="s">
        <v>202</v>
      </c>
      <c r="AW202" t="s">
        <v>203</v>
      </c>
      <c r="AX202" t="s">
        <v>203</v>
      </c>
      <c r="AY202" t="s">
        <v>203</v>
      </c>
      <c r="AZ202" t="s">
        <v>203</v>
      </c>
      <c r="BA202" t="s">
        <v>203</v>
      </c>
      <c r="BB202" t="s">
        <v>203</v>
      </c>
      <c r="BC202" t="s">
        <v>203</v>
      </c>
      <c r="BD202" t="s">
        <v>203</v>
      </c>
      <c r="BE202" t="s">
        <v>203</v>
      </c>
      <c r="BF202">
        <v>0</v>
      </c>
      <c r="BG202">
        <v>0.2</v>
      </c>
      <c r="BH202">
        <v>50</v>
      </c>
      <c r="BI202">
        <v>0</v>
      </c>
      <c r="BJ202" t="s">
        <v>198</v>
      </c>
      <c r="BK202" t="s">
        <v>198</v>
      </c>
      <c r="BL202" t="s">
        <v>198</v>
      </c>
      <c r="BM202" t="s">
        <v>198</v>
      </c>
      <c r="BN202" t="s">
        <v>198</v>
      </c>
      <c r="BO202" t="s">
        <v>198</v>
      </c>
      <c r="BP202" t="s">
        <v>198</v>
      </c>
      <c r="BQ202" t="s">
        <v>198</v>
      </c>
      <c r="BR202" t="s">
        <v>198</v>
      </c>
      <c r="BS202" t="s">
        <v>198</v>
      </c>
      <c r="BT202" t="s">
        <v>198</v>
      </c>
      <c r="BU202" t="s">
        <v>198</v>
      </c>
      <c r="BV202" t="s">
        <v>198</v>
      </c>
      <c r="BW202" t="s">
        <v>198</v>
      </c>
      <c r="BX202" t="s">
        <v>198</v>
      </c>
      <c r="BY202" t="s">
        <v>198</v>
      </c>
      <c r="BZ202" t="s">
        <v>198</v>
      </c>
      <c r="CA202" t="s">
        <v>198</v>
      </c>
      <c r="CB202" t="s">
        <v>204</v>
      </c>
      <c r="CC202" t="s">
        <v>204</v>
      </c>
      <c r="CD202" t="s">
        <v>204</v>
      </c>
      <c r="CE202" t="s">
        <v>204</v>
      </c>
      <c r="CF202" t="s">
        <v>204</v>
      </c>
      <c r="CG202" t="s">
        <v>204</v>
      </c>
      <c r="CH202" t="s">
        <v>204</v>
      </c>
      <c r="CI202" t="s">
        <v>204</v>
      </c>
      <c r="CJ202" t="s">
        <v>204</v>
      </c>
      <c r="CK202" t="s">
        <v>204</v>
      </c>
      <c r="CL202" t="s">
        <v>204</v>
      </c>
      <c r="CM202" t="s">
        <v>204</v>
      </c>
      <c r="CN202" t="s">
        <v>203</v>
      </c>
      <c r="CO202" t="s">
        <v>203</v>
      </c>
      <c r="CP202" t="s">
        <v>203</v>
      </c>
      <c r="CQ202" t="s">
        <v>203</v>
      </c>
      <c r="CR202" t="s">
        <v>203</v>
      </c>
      <c r="CS202" t="s">
        <v>203</v>
      </c>
      <c r="CT202" t="s">
        <v>203</v>
      </c>
      <c r="CU202" t="s">
        <v>203</v>
      </c>
      <c r="CV202">
        <v>0</v>
      </c>
      <c r="CW202">
        <v>0</v>
      </c>
      <c r="CX202" t="s">
        <v>198</v>
      </c>
      <c r="CY202" t="s">
        <v>198</v>
      </c>
      <c r="CZ202" t="s">
        <v>198</v>
      </c>
      <c r="DA202" t="s">
        <v>198</v>
      </c>
      <c r="DB202" t="s">
        <v>198</v>
      </c>
      <c r="DC202">
        <v>0</v>
      </c>
      <c r="DD202">
        <v>0</v>
      </c>
      <c r="DE202">
        <v>0</v>
      </c>
      <c r="DF202">
        <v>0</v>
      </c>
      <c r="DG202">
        <v>-35.3631166</v>
      </c>
      <c r="DH202">
        <v>149.1639735</v>
      </c>
      <c r="DI202" t="s">
        <v>360</v>
      </c>
      <c r="DJ202">
        <v>1.2</v>
      </c>
      <c r="DK202">
        <v>2</v>
      </c>
      <c r="DL202">
        <v>159.8</v>
      </c>
      <c r="DM202">
        <v>0</v>
      </c>
      <c r="DN202">
        <v>6</v>
      </c>
      <c r="DO202">
        <v>10</v>
      </c>
      <c r="DP202">
        <v>0</v>
      </c>
      <c r="DQ202">
        <v>255</v>
      </c>
      <c r="DR202">
        <v>255</v>
      </c>
      <c r="DS202">
        <v>255</v>
      </c>
      <c r="DT202">
        <v>255</v>
      </c>
      <c r="DU202">
        <v>255</v>
      </c>
      <c r="DV202">
        <v>255</v>
      </c>
      <c r="DW202">
        <v>255</v>
      </c>
      <c r="DX202" t="s">
        <v>206</v>
      </c>
      <c r="DY202" t="s">
        <v>206</v>
      </c>
      <c r="DZ202" t="s">
        <v>207</v>
      </c>
      <c r="EA202" t="s">
        <v>198</v>
      </c>
      <c r="EB202" t="s">
        <v>198</v>
      </c>
      <c r="EC202" t="s">
        <v>198</v>
      </c>
      <c r="ED202">
        <v>0</v>
      </c>
      <c r="EE202">
        <v>0</v>
      </c>
      <c r="EF202">
        <v>0</v>
      </c>
      <c r="EG202">
        <v>0</v>
      </c>
      <c r="EH202">
        <v>255</v>
      </c>
      <c r="EI202">
        <v>255</v>
      </c>
      <c r="EJ202">
        <v>255</v>
      </c>
      <c r="EK202">
        <v>255</v>
      </c>
      <c r="EL202">
        <v>255</v>
      </c>
      <c r="EM202">
        <v>255</v>
      </c>
      <c r="EN202">
        <v>255</v>
      </c>
      <c r="EO202">
        <v>255</v>
      </c>
      <c r="EP202">
        <v>255</v>
      </c>
      <c r="EQ202">
        <v>255</v>
      </c>
      <c r="ER202" t="s">
        <v>208</v>
      </c>
      <c r="ES202" t="s">
        <v>209</v>
      </c>
      <c r="ET202" t="s">
        <v>209</v>
      </c>
      <c r="EU202">
        <v>0</v>
      </c>
      <c r="EV202">
        <v>16.2</v>
      </c>
      <c r="EW202">
        <v>-114.7</v>
      </c>
      <c r="EX202">
        <v>-0.2</v>
      </c>
      <c r="EY202">
        <v>0</v>
      </c>
      <c r="EZ202">
        <v>0</v>
      </c>
      <c r="FA202">
        <v>0</v>
      </c>
      <c r="FB202" t="s">
        <v>198</v>
      </c>
      <c r="FC202" t="s">
        <v>198</v>
      </c>
      <c r="FD202" t="s">
        <v>198</v>
      </c>
      <c r="FE202" t="s">
        <v>198</v>
      </c>
      <c r="FF202" t="s">
        <v>198</v>
      </c>
      <c r="FG202" t="s">
        <v>198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 t="s">
        <v>203</v>
      </c>
      <c r="FP202" t="s">
        <v>203</v>
      </c>
      <c r="FQ202" t="s">
        <v>203</v>
      </c>
      <c r="FR202" t="s">
        <v>203</v>
      </c>
      <c r="FS202" t="s">
        <v>203</v>
      </c>
      <c r="FT202" t="s">
        <v>203</v>
      </c>
      <c r="FU202" t="s">
        <v>198</v>
      </c>
      <c r="FV202" t="s">
        <v>198</v>
      </c>
      <c r="FW202" t="s">
        <v>198</v>
      </c>
      <c r="FX202" t="s">
        <v>198</v>
      </c>
      <c r="FY202" t="s">
        <v>198</v>
      </c>
      <c r="FZ202" t="s">
        <v>198</v>
      </c>
      <c r="GA202">
        <v>31.2</v>
      </c>
      <c r="GB202">
        <v>31.2</v>
      </c>
      <c r="GC202" t="s">
        <v>203</v>
      </c>
      <c r="GD202">
        <v>0</v>
      </c>
      <c r="GE202">
        <v>504</v>
      </c>
      <c r="GF202">
        <v>0</v>
      </c>
      <c r="GG202">
        <v>0</v>
      </c>
      <c r="GH202">
        <v>0</v>
      </c>
      <c r="GI202">
        <v>1</v>
      </c>
      <c r="GJ202">
        <v>1</v>
      </c>
      <c r="GK202">
        <v>0</v>
      </c>
      <c r="GL202" t="s">
        <v>198</v>
      </c>
      <c r="GM202" t="s">
        <v>198</v>
      </c>
      <c r="GN202" t="s">
        <v>198</v>
      </c>
    </row>
    <row r="203" spans="1:196">
      <c r="A203" s="19">
        <v>46316.90623082176</v>
      </c>
      <c r="B203">
        <v>0</v>
      </c>
      <c r="C203">
        <v>0</v>
      </c>
      <c r="D203">
        <v>277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584.2</v>
      </c>
      <c r="N203">
        <v>-0.5</v>
      </c>
      <c r="O203">
        <v>0</v>
      </c>
      <c r="P203">
        <v>0</v>
      </c>
      <c r="Q203">
        <v>0</v>
      </c>
      <c r="R203">
        <v>0</v>
      </c>
      <c r="S203">
        <v>115.6</v>
      </c>
      <c r="T203" t="s">
        <v>485</v>
      </c>
      <c r="U203">
        <v>115.7</v>
      </c>
      <c r="V203">
        <v>1762727256586.8</v>
      </c>
      <c r="W203">
        <v>1</v>
      </c>
      <c r="X203" t="s">
        <v>197</v>
      </c>
      <c r="Y203">
        <v>0</v>
      </c>
      <c r="Z203">
        <v>98</v>
      </c>
      <c r="AA203">
        <v>278</v>
      </c>
      <c r="AB203" t="s">
        <v>197</v>
      </c>
      <c r="AC203" t="s">
        <v>198</v>
      </c>
      <c r="AD203" t="s">
        <v>199</v>
      </c>
      <c r="AE203">
        <v>0</v>
      </c>
      <c r="AF203">
        <v>44</v>
      </c>
      <c r="AG203">
        <v>255</v>
      </c>
      <c r="AH203">
        <v>0</v>
      </c>
      <c r="AI203">
        <v>0</v>
      </c>
      <c r="AJ203">
        <v>0</v>
      </c>
      <c r="AK203">
        <v>12.6</v>
      </c>
      <c r="AL203">
        <v>0</v>
      </c>
      <c r="AM203">
        <v>0</v>
      </c>
      <c r="AN203" t="s">
        <v>197</v>
      </c>
      <c r="AO203">
        <v>100</v>
      </c>
      <c r="AP203" t="s">
        <v>197</v>
      </c>
      <c r="AQ203" t="s">
        <v>200</v>
      </c>
      <c r="AR203">
        <v>1</v>
      </c>
      <c r="AS203">
        <v>0</v>
      </c>
      <c r="AT203" t="s">
        <v>549</v>
      </c>
      <c r="AU203" t="s">
        <v>549</v>
      </c>
      <c r="AV203" t="s">
        <v>202</v>
      </c>
      <c r="AW203" t="s">
        <v>203</v>
      </c>
      <c r="AX203" t="s">
        <v>203</v>
      </c>
      <c r="AY203" t="s">
        <v>203</v>
      </c>
      <c r="AZ203" t="s">
        <v>203</v>
      </c>
      <c r="BA203" t="s">
        <v>203</v>
      </c>
      <c r="BB203" t="s">
        <v>203</v>
      </c>
      <c r="BC203" t="s">
        <v>203</v>
      </c>
      <c r="BD203" t="s">
        <v>203</v>
      </c>
      <c r="BE203" t="s">
        <v>203</v>
      </c>
      <c r="BF203">
        <v>0</v>
      </c>
      <c r="BG203">
        <v>0.2</v>
      </c>
      <c r="BH203">
        <v>50</v>
      </c>
      <c r="BI203">
        <v>0</v>
      </c>
      <c r="BJ203" t="s">
        <v>198</v>
      </c>
      <c r="BK203" t="s">
        <v>198</v>
      </c>
      <c r="BL203" t="s">
        <v>198</v>
      </c>
      <c r="BM203" t="s">
        <v>198</v>
      </c>
      <c r="BN203" t="s">
        <v>198</v>
      </c>
      <c r="BO203" t="s">
        <v>198</v>
      </c>
      <c r="BP203" t="s">
        <v>198</v>
      </c>
      <c r="BQ203" t="s">
        <v>198</v>
      </c>
      <c r="BR203" t="s">
        <v>198</v>
      </c>
      <c r="BS203" t="s">
        <v>198</v>
      </c>
      <c r="BT203" t="s">
        <v>198</v>
      </c>
      <c r="BU203" t="s">
        <v>198</v>
      </c>
      <c r="BV203" t="s">
        <v>198</v>
      </c>
      <c r="BW203" t="s">
        <v>198</v>
      </c>
      <c r="BX203" t="s">
        <v>198</v>
      </c>
      <c r="BY203" t="s">
        <v>198</v>
      </c>
      <c r="BZ203" t="s">
        <v>198</v>
      </c>
      <c r="CA203" t="s">
        <v>198</v>
      </c>
      <c r="CB203" t="s">
        <v>204</v>
      </c>
      <c r="CC203" t="s">
        <v>204</v>
      </c>
      <c r="CD203" t="s">
        <v>204</v>
      </c>
      <c r="CE203" t="s">
        <v>204</v>
      </c>
      <c r="CF203" t="s">
        <v>204</v>
      </c>
      <c r="CG203" t="s">
        <v>204</v>
      </c>
      <c r="CH203" t="s">
        <v>204</v>
      </c>
      <c r="CI203" t="s">
        <v>204</v>
      </c>
      <c r="CJ203" t="s">
        <v>204</v>
      </c>
      <c r="CK203" t="s">
        <v>204</v>
      </c>
      <c r="CL203" t="s">
        <v>204</v>
      </c>
      <c r="CM203" t="s">
        <v>204</v>
      </c>
      <c r="CN203" t="s">
        <v>203</v>
      </c>
      <c r="CO203" t="s">
        <v>203</v>
      </c>
      <c r="CP203" t="s">
        <v>203</v>
      </c>
      <c r="CQ203" t="s">
        <v>203</v>
      </c>
      <c r="CR203" t="s">
        <v>203</v>
      </c>
      <c r="CS203" t="s">
        <v>203</v>
      </c>
      <c r="CT203" t="s">
        <v>203</v>
      </c>
      <c r="CU203" t="s">
        <v>203</v>
      </c>
      <c r="CV203">
        <v>0</v>
      </c>
      <c r="CW203">
        <v>0</v>
      </c>
      <c r="CX203" t="s">
        <v>198</v>
      </c>
      <c r="CY203" t="s">
        <v>198</v>
      </c>
      <c r="CZ203" t="s">
        <v>198</v>
      </c>
      <c r="DA203" t="s">
        <v>198</v>
      </c>
      <c r="DB203" t="s">
        <v>198</v>
      </c>
      <c r="DC203">
        <v>0</v>
      </c>
      <c r="DD203">
        <v>0</v>
      </c>
      <c r="DE203">
        <v>0</v>
      </c>
      <c r="DF203">
        <v>0</v>
      </c>
      <c r="DG203">
        <v>-35.3631166</v>
      </c>
      <c r="DH203">
        <v>149.1639735</v>
      </c>
      <c r="DI203" t="s">
        <v>360</v>
      </c>
      <c r="DJ203">
        <v>1.2</v>
      </c>
      <c r="DK203">
        <v>2</v>
      </c>
      <c r="DL203">
        <v>159.8</v>
      </c>
      <c r="DM203">
        <v>0</v>
      </c>
      <c r="DN203">
        <v>6</v>
      </c>
      <c r="DO203">
        <v>10</v>
      </c>
      <c r="DP203">
        <v>0</v>
      </c>
      <c r="DQ203">
        <v>255</v>
      </c>
      <c r="DR203">
        <v>255</v>
      </c>
      <c r="DS203">
        <v>255</v>
      </c>
      <c r="DT203">
        <v>255</v>
      </c>
      <c r="DU203">
        <v>255</v>
      </c>
      <c r="DV203">
        <v>255</v>
      </c>
      <c r="DW203">
        <v>255</v>
      </c>
      <c r="DX203" t="s">
        <v>206</v>
      </c>
      <c r="DY203" t="s">
        <v>206</v>
      </c>
      <c r="DZ203" t="s">
        <v>207</v>
      </c>
      <c r="EA203" t="s">
        <v>198</v>
      </c>
      <c r="EB203" t="s">
        <v>198</v>
      </c>
      <c r="EC203" t="s">
        <v>198</v>
      </c>
      <c r="ED203">
        <v>0</v>
      </c>
      <c r="EE203">
        <v>0</v>
      </c>
      <c r="EF203">
        <v>0</v>
      </c>
      <c r="EG203">
        <v>0</v>
      </c>
      <c r="EH203">
        <v>255</v>
      </c>
      <c r="EI203">
        <v>255</v>
      </c>
      <c r="EJ203">
        <v>255</v>
      </c>
      <c r="EK203">
        <v>255</v>
      </c>
      <c r="EL203">
        <v>255</v>
      </c>
      <c r="EM203">
        <v>255</v>
      </c>
      <c r="EN203">
        <v>255</v>
      </c>
      <c r="EO203">
        <v>255</v>
      </c>
      <c r="EP203">
        <v>255</v>
      </c>
      <c r="EQ203">
        <v>255</v>
      </c>
      <c r="ER203" t="s">
        <v>208</v>
      </c>
      <c r="ES203" t="s">
        <v>209</v>
      </c>
      <c r="ET203" t="s">
        <v>209</v>
      </c>
      <c r="EU203">
        <v>0</v>
      </c>
      <c r="EV203">
        <v>16.2</v>
      </c>
      <c r="EW203">
        <v>-114.7</v>
      </c>
      <c r="EX203">
        <v>-0.2</v>
      </c>
      <c r="EY203">
        <v>0</v>
      </c>
      <c r="EZ203">
        <v>0</v>
      </c>
      <c r="FA203">
        <v>0</v>
      </c>
      <c r="FB203" t="s">
        <v>198</v>
      </c>
      <c r="FC203" t="s">
        <v>198</v>
      </c>
      <c r="FD203" t="s">
        <v>198</v>
      </c>
      <c r="FE203" t="s">
        <v>198</v>
      </c>
      <c r="FF203" t="s">
        <v>198</v>
      </c>
      <c r="FG203" t="s">
        <v>198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 t="s">
        <v>203</v>
      </c>
      <c r="FP203" t="s">
        <v>203</v>
      </c>
      <c r="FQ203" t="s">
        <v>203</v>
      </c>
      <c r="FR203" t="s">
        <v>203</v>
      </c>
      <c r="FS203" t="s">
        <v>203</v>
      </c>
      <c r="FT203" t="s">
        <v>203</v>
      </c>
      <c r="FU203" t="s">
        <v>198</v>
      </c>
      <c r="FV203" t="s">
        <v>198</v>
      </c>
      <c r="FW203" t="s">
        <v>198</v>
      </c>
      <c r="FX203" t="s">
        <v>198</v>
      </c>
      <c r="FY203" t="s">
        <v>198</v>
      </c>
      <c r="FZ203" t="s">
        <v>198</v>
      </c>
      <c r="GA203">
        <v>31.2</v>
      </c>
      <c r="GB203">
        <v>31.2</v>
      </c>
      <c r="GC203" t="s">
        <v>203</v>
      </c>
      <c r="GD203">
        <v>0</v>
      </c>
      <c r="GE203">
        <v>504</v>
      </c>
      <c r="GF203">
        <v>0</v>
      </c>
      <c r="GG203">
        <v>0</v>
      </c>
      <c r="GH203">
        <v>0</v>
      </c>
      <c r="GI203">
        <v>1</v>
      </c>
      <c r="GJ203">
        <v>1</v>
      </c>
      <c r="GK203">
        <v>0</v>
      </c>
      <c r="GL203" t="s">
        <v>198</v>
      </c>
      <c r="GM203" t="s">
        <v>198</v>
      </c>
      <c r="GN203" t="s">
        <v>198</v>
      </c>
    </row>
    <row r="204" spans="1:196">
      <c r="A204" s="19">
        <v>46316.90624239583</v>
      </c>
      <c r="B204">
        <v>0</v>
      </c>
      <c r="C204">
        <v>0</v>
      </c>
      <c r="D204">
        <v>277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584.2</v>
      </c>
      <c r="N204">
        <v>-0.5</v>
      </c>
      <c r="O204">
        <v>0</v>
      </c>
      <c r="P204">
        <v>0</v>
      </c>
      <c r="Q204">
        <v>0</v>
      </c>
      <c r="R204">
        <v>0</v>
      </c>
      <c r="S204">
        <v>115.6</v>
      </c>
      <c r="T204" t="s">
        <v>485</v>
      </c>
      <c r="U204">
        <v>115.7</v>
      </c>
      <c r="V204">
        <v>1762727256586.8</v>
      </c>
      <c r="W204">
        <v>1</v>
      </c>
      <c r="X204" t="s">
        <v>197</v>
      </c>
      <c r="Y204">
        <v>0</v>
      </c>
      <c r="Z204">
        <v>98</v>
      </c>
      <c r="AA204">
        <v>278</v>
      </c>
      <c r="AB204" t="s">
        <v>197</v>
      </c>
      <c r="AC204" t="s">
        <v>198</v>
      </c>
      <c r="AD204" t="s">
        <v>199</v>
      </c>
      <c r="AE204">
        <v>0</v>
      </c>
      <c r="AF204">
        <v>44</v>
      </c>
      <c r="AG204">
        <v>255</v>
      </c>
      <c r="AH204">
        <v>0</v>
      </c>
      <c r="AI204">
        <v>0</v>
      </c>
      <c r="AJ204">
        <v>0</v>
      </c>
      <c r="AK204">
        <v>12.6</v>
      </c>
      <c r="AL204">
        <v>0</v>
      </c>
      <c r="AM204">
        <v>0</v>
      </c>
      <c r="AN204" t="s">
        <v>197</v>
      </c>
      <c r="AO204">
        <v>100</v>
      </c>
      <c r="AP204" t="s">
        <v>197</v>
      </c>
      <c r="AQ204" t="s">
        <v>200</v>
      </c>
      <c r="AR204">
        <v>1</v>
      </c>
      <c r="AS204">
        <v>0</v>
      </c>
      <c r="AT204" t="s">
        <v>550</v>
      </c>
      <c r="AU204" t="s">
        <v>550</v>
      </c>
      <c r="AV204" t="s">
        <v>202</v>
      </c>
      <c r="AW204" t="s">
        <v>203</v>
      </c>
      <c r="AX204" t="s">
        <v>203</v>
      </c>
      <c r="AY204" t="s">
        <v>203</v>
      </c>
      <c r="AZ204" t="s">
        <v>203</v>
      </c>
      <c r="BA204" t="s">
        <v>203</v>
      </c>
      <c r="BB204" t="s">
        <v>203</v>
      </c>
      <c r="BC204" t="s">
        <v>203</v>
      </c>
      <c r="BD204" t="s">
        <v>203</v>
      </c>
      <c r="BE204" t="s">
        <v>203</v>
      </c>
      <c r="BF204">
        <v>0</v>
      </c>
      <c r="BG204">
        <v>0.2</v>
      </c>
      <c r="BH204">
        <v>50</v>
      </c>
      <c r="BI204">
        <v>0</v>
      </c>
      <c r="BJ204" t="s">
        <v>198</v>
      </c>
      <c r="BK204" t="s">
        <v>198</v>
      </c>
      <c r="BL204" t="s">
        <v>198</v>
      </c>
      <c r="BM204" t="s">
        <v>198</v>
      </c>
      <c r="BN204" t="s">
        <v>198</v>
      </c>
      <c r="BO204" t="s">
        <v>198</v>
      </c>
      <c r="BP204" t="s">
        <v>198</v>
      </c>
      <c r="BQ204" t="s">
        <v>198</v>
      </c>
      <c r="BR204" t="s">
        <v>198</v>
      </c>
      <c r="BS204" t="s">
        <v>198</v>
      </c>
      <c r="BT204" t="s">
        <v>198</v>
      </c>
      <c r="BU204" t="s">
        <v>198</v>
      </c>
      <c r="BV204" t="s">
        <v>198</v>
      </c>
      <c r="BW204" t="s">
        <v>198</v>
      </c>
      <c r="BX204" t="s">
        <v>198</v>
      </c>
      <c r="BY204" t="s">
        <v>198</v>
      </c>
      <c r="BZ204" t="s">
        <v>198</v>
      </c>
      <c r="CA204" t="s">
        <v>198</v>
      </c>
      <c r="CB204" t="s">
        <v>204</v>
      </c>
      <c r="CC204" t="s">
        <v>204</v>
      </c>
      <c r="CD204" t="s">
        <v>204</v>
      </c>
      <c r="CE204" t="s">
        <v>204</v>
      </c>
      <c r="CF204" t="s">
        <v>204</v>
      </c>
      <c r="CG204" t="s">
        <v>204</v>
      </c>
      <c r="CH204" t="s">
        <v>204</v>
      </c>
      <c r="CI204" t="s">
        <v>204</v>
      </c>
      <c r="CJ204" t="s">
        <v>204</v>
      </c>
      <c r="CK204" t="s">
        <v>204</v>
      </c>
      <c r="CL204" t="s">
        <v>204</v>
      </c>
      <c r="CM204" t="s">
        <v>204</v>
      </c>
      <c r="CN204" t="s">
        <v>203</v>
      </c>
      <c r="CO204" t="s">
        <v>203</v>
      </c>
      <c r="CP204" t="s">
        <v>203</v>
      </c>
      <c r="CQ204" t="s">
        <v>203</v>
      </c>
      <c r="CR204" t="s">
        <v>203</v>
      </c>
      <c r="CS204" t="s">
        <v>203</v>
      </c>
      <c r="CT204" t="s">
        <v>203</v>
      </c>
      <c r="CU204" t="s">
        <v>203</v>
      </c>
      <c r="CV204">
        <v>0</v>
      </c>
      <c r="CW204">
        <v>0</v>
      </c>
      <c r="CX204" t="s">
        <v>198</v>
      </c>
      <c r="CY204" t="s">
        <v>198</v>
      </c>
      <c r="CZ204" t="s">
        <v>198</v>
      </c>
      <c r="DA204" t="s">
        <v>198</v>
      </c>
      <c r="DB204" t="s">
        <v>198</v>
      </c>
      <c r="DC204">
        <v>0</v>
      </c>
      <c r="DD204">
        <v>0</v>
      </c>
      <c r="DE204">
        <v>0</v>
      </c>
      <c r="DF204">
        <v>0</v>
      </c>
      <c r="DG204">
        <v>-35.3631166</v>
      </c>
      <c r="DH204">
        <v>149.1639735</v>
      </c>
      <c r="DI204" t="s">
        <v>360</v>
      </c>
      <c r="DJ204">
        <v>1.2</v>
      </c>
      <c r="DK204">
        <v>2</v>
      </c>
      <c r="DL204">
        <v>159.8</v>
      </c>
      <c r="DM204">
        <v>0</v>
      </c>
      <c r="DN204">
        <v>6</v>
      </c>
      <c r="DO204">
        <v>10</v>
      </c>
      <c r="DP204">
        <v>0</v>
      </c>
      <c r="DQ204">
        <v>255</v>
      </c>
      <c r="DR204">
        <v>255</v>
      </c>
      <c r="DS204">
        <v>255</v>
      </c>
      <c r="DT204">
        <v>255</v>
      </c>
      <c r="DU204">
        <v>255</v>
      </c>
      <c r="DV204">
        <v>255</v>
      </c>
      <c r="DW204">
        <v>255</v>
      </c>
      <c r="DX204" t="s">
        <v>206</v>
      </c>
      <c r="DY204" t="s">
        <v>206</v>
      </c>
      <c r="DZ204" t="s">
        <v>207</v>
      </c>
      <c r="EA204" t="s">
        <v>198</v>
      </c>
      <c r="EB204" t="s">
        <v>198</v>
      </c>
      <c r="EC204" t="s">
        <v>198</v>
      </c>
      <c r="ED204">
        <v>0</v>
      </c>
      <c r="EE204">
        <v>0</v>
      </c>
      <c r="EF204">
        <v>0</v>
      </c>
      <c r="EG204">
        <v>0</v>
      </c>
      <c r="EH204">
        <v>255</v>
      </c>
      <c r="EI204">
        <v>255</v>
      </c>
      <c r="EJ204">
        <v>255</v>
      </c>
      <c r="EK204">
        <v>255</v>
      </c>
      <c r="EL204">
        <v>255</v>
      </c>
      <c r="EM204">
        <v>255</v>
      </c>
      <c r="EN204">
        <v>255</v>
      </c>
      <c r="EO204">
        <v>255</v>
      </c>
      <c r="EP204">
        <v>255</v>
      </c>
      <c r="EQ204">
        <v>255</v>
      </c>
      <c r="ER204" t="s">
        <v>208</v>
      </c>
      <c r="ES204" t="s">
        <v>209</v>
      </c>
      <c r="ET204" t="s">
        <v>209</v>
      </c>
      <c r="EU204">
        <v>0</v>
      </c>
      <c r="EV204">
        <v>16.2</v>
      </c>
      <c r="EW204">
        <v>-114.7</v>
      </c>
      <c r="EX204">
        <v>-0.2</v>
      </c>
      <c r="EY204">
        <v>0</v>
      </c>
      <c r="EZ204">
        <v>0</v>
      </c>
      <c r="FA204">
        <v>0</v>
      </c>
      <c r="FB204" t="s">
        <v>198</v>
      </c>
      <c r="FC204" t="s">
        <v>198</v>
      </c>
      <c r="FD204" t="s">
        <v>198</v>
      </c>
      <c r="FE204" t="s">
        <v>198</v>
      </c>
      <c r="FF204" t="s">
        <v>198</v>
      </c>
      <c r="FG204" t="s">
        <v>198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 t="s">
        <v>203</v>
      </c>
      <c r="FP204" t="s">
        <v>203</v>
      </c>
      <c r="FQ204" t="s">
        <v>203</v>
      </c>
      <c r="FR204" t="s">
        <v>203</v>
      </c>
      <c r="FS204" t="s">
        <v>203</v>
      </c>
      <c r="FT204" t="s">
        <v>203</v>
      </c>
      <c r="FU204" t="s">
        <v>198</v>
      </c>
      <c r="FV204" t="s">
        <v>198</v>
      </c>
      <c r="FW204" t="s">
        <v>198</v>
      </c>
      <c r="FX204" t="s">
        <v>198</v>
      </c>
      <c r="FY204" t="s">
        <v>198</v>
      </c>
      <c r="FZ204" t="s">
        <v>198</v>
      </c>
      <c r="GA204">
        <v>31.2</v>
      </c>
      <c r="GB204">
        <v>31.2</v>
      </c>
      <c r="GC204" t="s">
        <v>203</v>
      </c>
      <c r="GD204">
        <v>0</v>
      </c>
      <c r="GE204">
        <v>504</v>
      </c>
      <c r="GF204">
        <v>0</v>
      </c>
      <c r="GG204">
        <v>0</v>
      </c>
      <c r="GH204">
        <v>0</v>
      </c>
      <c r="GI204">
        <v>1</v>
      </c>
      <c r="GJ204">
        <v>1</v>
      </c>
      <c r="GK204">
        <v>0</v>
      </c>
      <c r="GL204" t="s">
        <v>198</v>
      </c>
      <c r="GM204" t="s">
        <v>198</v>
      </c>
      <c r="GN204" t="s">
        <v>198</v>
      </c>
    </row>
    <row r="205" spans="1:196">
      <c r="A205" s="19">
        <v>46316.90625396991</v>
      </c>
      <c r="B205">
        <v>0</v>
      </c>
      <c r="C205">
        <v>0</v>
      </c>
      <c r="D205">
        <v>277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584.2</v>
      </c>
      <c r="N205">
        <v>-0.5</v>
      </c>
      <c r="O205">
        <v>0</v>
      </c>
      <c r="P205">
        <v>0</v>
      </c>
      <c r="Q205">
        <v>0</v>
      </c>
      <c r="R205">
        <v>0</v>
      </c>
      <c r="S205">
        <v>115.6</v>
      </c>
      <c r="T205" t="s">
        <v>485</v>
      </c>
      <c r="U205">
        <v>115.7</v>
      </c>
      <c r="V205">
        <v>1762727256586.8</v>
      </c>
      <c r="W205">
        <v>1</v>
      </c>
      <c r="X205" t="s">
        <v>197</v>
      </c>
      <c r="Y205">
        <v>0</v>
      </c>
      <c r="Z205">
        <v>98</v>
      </c>
      <c r="AA205">
        <v>278</v>
      </c>
      <c r="AB205" t="s">
        <v>197</v>
      </c>
      <c r="AC205" t="s">
        <v>198</v>
      </c>
      <c r="AD205" t="s">
        <v>199</v>
      </c>
      <c r="AE205">
        <v>0</v>
      </c>
      <c r="AF205">
        <v>44</v>
      </c>
      <c r="AG205">
        <v>255</v>
      </c>
      <c r="AH205">
        <v>0</v>
      </c>
      <c r="AI205">
        <v>0</v>
      </c>
      <c r="AJ205">
        <v>0</v>
      </c>
      <c r="AK205">
        <v>12.6</v>
      </c>
      <c r="AL205">
        <v>0</v>
      </c>
      <c r="AM205">
        <v>0</v>
      </c>
      <c r="AN205" t="s">
        <v>197</v>
      </c>
      <c r="AO205">
        <v>100</v>
      </c>
      <c r="AP205" t="s">
        <v>197</v>
      </c>
      <c r="AQ205" t="s">
        <v>200</v>
      </c>
      <c r="AR205">
        <v>1</v>
      </c>
      <c r="AS205">
        <v>0</v>
      </c>
      <c r="AT205" t="s">
        <v>551</v>
      </c>
      <c r="AU205" t="s">
        <v>551</v>
      </c>
      <c r="AV205" t="s">
        <v>202</v>
      </c>
      <c r="AW205" t="s">
        <v>203</v>
      </c>
      <c r="AX205" t="s">
        <v>203</v>
      </c>
      <c r="AY205" t="s">
        <v>203</v>
      </c>
      <c r="AZ205" t="s">
        <v>203</v>
      </c>
      <c r="BA205" t="s">
        <v>203</v>
      </c>
      <c r="BB205" t="s">
        <v>203</v>
      </c>
      <c r="BC205" t="s">
        <v>203</v>
      </c>
      <c r="BD205" t="s">
        <v>203</v>
      </c>
      <c r="BE205" t="s">
        <v>203</v>
      </c>
      <c r="BF205">
        <v>0</v>
      </c>
      <c r="BG205">
        <v>0.2</v>
      </c>
      <c r="BH205">
        <v>50</v>
      </c>
      <c r="BI205">
        <v>0</v>
      </c>
      <c r="BJ205" t="s">
        <v>198</v>
      </c>
      <c r="BK205" t="s">
        <v>198</v>
      </c>
      <c r="BL205" t="s">
        <v>198</v>
      </c>
      <c r="BM205" t="s">
        <v>198</v>
      </c>
      <c r="BN205" t="s">
        <v>198</v>
      </c>
      <c r="BO205" t="s">
        <v>198</v>
      </c>
      <c r="BP205" t="s">
        <v>198</v>
      </c>
      <c r="BQ205" t="s">
        <v>198</v>
      </c>
      <c r="BR205" t="s">
        <v>198</v>
      </c>
      <c r="BS205" t="s">
        <v>198</v>
      </c>
      <c r="BT205" t="s">
        <v>198</v>
      </c>
      <c r="BU205" t="s">
        <v>198</v>
      </c>
      <c r="BV205" t="s">
        <v>198</v>
      </c>
      <c r="BW205" t="s">
        <v>198</v>
      </c>
      <c r="BX205" t="s">
        <v>198</v>
      </c>
      <c r="BY205" t="s">
        <v>198</v>
      </c>
      <c r="BZ205" t="s">
        <v>198</v>
      </c>
      <c r="CA205" t="s">
        <v>198</v>
      </c>
      <c r="CB205" t="s">
        <v>204</v>
      </c>
      <c r="CC205" t="s">
        <v>204</v>
      </c>
      <c r="CD205" t="s">
        <v>204</v>
      </c>
      <c r="CE205" t="s">
        <v>204</v>
      </c>
      <c r="CF205" t="s">
        <v>204</v>
      </c>
      <c r="CG205" t="s">
        <v>204</v>
      </c>
      <c r="CH205" t="s">
        <v>204</v>
      </c>
      <c r="CI205" t="s">
        <v>204</v>
      </c>
      <c r="CJ205" t="s">
        <v>204</v>
      </c>
      <c r="CK205" t="s">
        <v>204</v>
      </c>
      <c r="CL205" t="s">
        <v>204</v>
      </c>
      <c r="CM205" t="s">
        <v>204</v>
      </c>
      <c r="CN205" t="s">
        <v>203</v>
      </c>
      <c r="CO205" t="s">
        <v>203</v>
      </c>
      <c r="CP205" t="s">
        <v>203</v>
      </c>
      <c r="CQ205" t="s">
        <v>203</v>
      </c>
      <c r="CR205" t="s">
        <v>203</v>
      </c>
      <c r="CS205" t="s">
        <v>203</v>
      </c>
      <c r="CT205" t="s">
        <v>203</v>
      </c>
      <c r="CU205" t="s">
        <v>203</v>
      </c>
      <c r="CV205">
        <v>0</v>
      </c>
      <c r="CW205">
        <v>0</v>
      </c>
      <c r="CX205" t="s">
        <v>198</v>
      </c>
      <c r="CY205" t="s">
        <v>198</v>
      </c>
      <c r="CZ205" t="s">
        <v>198</v>
      </c>
      <c r="DA205" t="s">
        <v>198</v>
      </c>
      <c r="DB205" t="s">
        <v>198</v>
      </c>
      <c r="DC205">
        <v>0</v>
      </c>
      <c r="DD205">
        <v>0</v>
      </c>
      <c r="DE205">
        <v>0</v>
      </c>
      <c r="DF205">
        <v>0</v>
      </c>
      <c r="DG205">
        <v>-35.3631166</v>
      </c>
      <c r="DH205">
        <v>149.1639735</v>
      </c>
      <c r="DI205" t="s">
        <v>360</v>
      </c>
      <c r="DJ205">
        <v>1.2</v>
      </c>
      <c r="DK205">
        <v>2</v>
      </c>
      <c r="DL205">
        <v>159.8</v>
      </c>
      <c r="DM205">
        <v>0</v>
      </c>
      <c r="DN205">
        <v>6</v>
      </c>
      <c r="DO205">
        <v>10</v>
      </c>
      <c r="DP205">
        <v>0</v>
      </c>
      <c r="DQ205">
        <v>255</v>
      </c>
      <c r="DR205">
        <v>255</v>
      </c>
      <c r="DS205">
        <v>255</v>
      </c>
      <c r="DT205">
        <v>255</v>
      </c>
      <c r="DU205">
        <v>255</v>
      </c>
      <c r="DV205">
        <v>255</v>
      </c>
      <c r="DW205">
        <v>255</v>
      </c>
      <c r="DX205" t="s">
        <v>206</v>
      </c>
      <c r="DY205" t="s">
        <v>206</v>
      </c>
      <c r="DZ205" t="s">
        <v>207</v>
      </c>
      <c r="EA205" t="s">
        <v>198</v>
      </c>
      <c r="EB205" t="s">
        <v>198</v>
      </c>
      <c r="EC205" t="s">
        <v>198</v>
      </c>
      <c r="ED205">
        <v>0</v>
      </c>
      <c r="EE205">
        <v>0</v>
      </c>
      <c r="EF205">
        <v>0</v>
      </c>
      <c r="EG205">
        <v>0</v>
      </c>
      <c r="EH205">
        <v>255</v>
      </c>
      <c r="EI205">
        <v>255</v>
      </c>
      <c r="EJ205">
        <v>255</v>
      </c>
      <c r="EK205">
        <v>255</v>
      </c>
      <c r="EL205">
        <v>255</v>
      </c>
      <c r="EM205">
        <v>255</v>
      </c>
      <c r="EN205">
        <v>255</v>
      </c>
      <c r="EO205">
        <v>255</v>
      </c>
      <c r="EP205">
        <v>255</v>
      </c>
      <c r="EQ205">
        <v>255</v>
      </c>
      <c r="ER205" t="s">
        <v>208</v>
      </c>
      <c r="ES205" t="s">
        <v>209</v>
      </c>
      <c r="ET205" t="s">
        <v>209</v>
      </c>
      <c r="EU205">
        <v>0</v>
      </c>
      <c r="EV205">
        <v>16.2</v>
      </c>
      <c r="EW205">
        <v>-114.7</v>
      </c>
      <c r="EX205">
        <v>-0.2</v>
      </c>
      <c r="EY205">
        <v>0</v>
      </c>
      <c r="EZ205">
        <v>0</v>
      </c>
      <c r="FA205">
        <v>0</v>
      </c>
      <c r="FB205" t="s">
        <v>198</v>
      </c>
      <c r="FC205" t="s">
        <v>198</v>
      </c>
      <c r="FD205" t="s">
        <v>198</v>
      </c>
      <c r="FE205" t="s">
        <v>198</v>
      </c>
      <c r="FF205" t="s">
        <v>198</v>
      </c>
      <c r="FG205" t="s">
        <v>198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203</v>
      </c>
      <c r="FP205" t="s">
        <v>203</v>
      </c>
      <c r="FQ205" t="s">
        <v>203</v>
      </c>
      <c r="FR205" t="s">
        <v>203</v>
      </c>
      <c r="FS205" t="s">
        <v>203</v>
      </c>
      <c r="FT205" t="s">
        <v>203</v>
      </c>
      <c r="FU205" t="s">
        <v>198</v>
      </c>
      <c r="FV205" t="s">
        <v>198</v>
      </c>
      <c r="FW205" t="s">
        <v>198</v>
      </c>
      <c r="FX205" t="s">
        <v>198</v>
      </c>
      <c r="FY205" t="s">
        <v>198</v>
      </c>
      <c r="FZ205" t="s">
        <v>198</v>
      </c>
      <c r="GA205">
        <v>31.2</v>
      </c>
      <c r="GB205">
        <v>31.2</v>
      </c>
      <c r="GC205" t="s">
        <v>203</v>
      </c>
      <c r="GD205">
        <v>0</v>
      </c>
      <c r="GE205">
        <v>504</v>
      </c>
      <c r="GF205">
        <v>0</v>
      </c>
      <c r="GG205">
        <v>0</v>
      </c>
      <c r="GH205">
        <v>0</v>
      </c>
      <c r="GI205">
        <v>1</v>
      </c>
      <c r="GJ205">
        <v>1</v>
      </c>
      <c r="GK205">
        <v>0</v>
      </c>
      <c r="GL205" t="s">
        <v>198</v>
      </c>
      <c r="GM205" t="s">
        <v>198</v>
      </c>
      <c r="GN205" t="s">
        <v>198</v>
      </c>
    </row>
    <row r="206" spans="1:196">
      <c r="A206" s="19">
        <v>46316.90626554398</v>
      </c>
      <c r="B206">
        <v>0</v>
      </c>
      <c r="C206">
        <v>0</v>
      </c>
      <c r="D206">
        <v>277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584.2</v>
      </c>
      <c r="N206">
        <v>-0.5</v>
      </c>
      <c r="O206">
        <v>0</v>
      </c>
      <c r="P206">
        <v>0</v>
      </c>
      <c r="Q206">
        <v>0</v>
      </c>
      <c r="R206">
        <v>0</v>
      </c>
      <c r="S206">
        <v>115.6</v>
      </c>
      <c r="T206" t="s">
        <v>485</v>
      </c>
      <c r="U206">
        <v>115.7</v>
      </c>
      <c r="V206">
        <v>1762727256586.8</v>
      </c>
      <c r="W206">
        <v>1</v>
      </c>
      <c r="X206" t="s">
        <v>197</v>
      </c>
      <c r="Y206">
        <v>0</v>
      </c>
      <c r="Z206">
        <v>98</v>
      </c>
      <c r="AA206">
        <v>278</v>
      </c>
      <c r="AB206" t="s">
        <v>197</v>
      </c>
      <c r="AC206" t="s">
        <v>198</v>
      </c>
      <c r="AD206" t="s">
        <v>199</v>
      </c>
      <c r="AE206">
        <v>0</v>
      </c>
      <c r="AF206">
        <v>44</v>
      </c>
      <c r="AG206">
        <v>255</v>
      </c>
      <c r="AH206">
        <v>0</v>
      </c>
      <c r="AI206">
        <v>0</v>
      </c>
      <c r="AJ206">
        <v>0</v>
      </c>
      <c r="AK206">
        <v>12.6</v>
      </c>
      <c r="AL206">
        <v>0</v>
      </c>
      <c r="AM206">
        <v>0</v>
      </c>
      <c r="AN206" t="s">
        <v>197</v>
      </c>
      <c r="AO206">
        <v>100</v>
      </c>
      <c r="AP206" t="s">
        <v>197</v>
      </c>
      <c r="AQ206" t="s">
        <v>200</v>
      </c>
      <c r="AR206">
        <v>1</v>
      </c>
      <c r="AS206">
        <v>0</v>
      </c>
      <c r="AT206" t="s">
        <v>552</v>
      </c>
      <c r="AU206" t="s">
        <v>552</v>
      </c>
      <c r="AV206" t="s">
        <v>202</v>
      </c>
      <c r="AW206" t="s">
        <v>203</v>
      </c>
      <c r="AX206" t="s">
        <v>203</v>
      </c>
      <c r="AY206" t="s">
        <v>203</v>
      </c>
      <c r="AZ206" t="s">
        <v>203</v>
      </c>
      <c r="BA206" t="s">
        <v>203</v>
      </c>
      <c r="BB206" t="s">
        <v>203</v>
      </c>
      <c r="BC206" t="s">
        <v>203</v>
      </c>
      <c r="BD206" t="s">
        <v>203</v>
      </c>
      <c r="BE206" t="s">
        <v>203</v>
      </c>
      <c r="BF206">
        <v>0</v>
      </c>
      <c r="BG206">
        <v>0.2</v>
      </c>
      <c r="BH206">
        <v>50</v>
      </c>
      <c r="BI206">
        <v>0</v>
      </c>
      <c r="BJ206" t="s">
        <v>198</v>
      </c>
      <c r="BK206" t="s">
        <v>198</v>
      </c>
      <c r="BL206" t="s">
        <v>198</v>
      </c>
      <c r="BM206" t="s">
        <v>198</v>
      </c>
      <c r="BN206" t="s">
        <v>198</v>
      </c>
      <c r="BO206" t="s">
        <v>198</v>
      </c>
      <c r="BP206" t="s">
        <v>198</v>
      </c>
      <c r="BQ206" t="s">
        <v>198</v>
      </c>
      <c r="BR206" t="s">
        <v>198</v>
      </c>
      <c r="BS206" t="s">
        <v>198</v>
      </c>
      <c r="BT206" t="s">
        <v>198</v>
      </c>
      <c r="BU206" t="s">
        <v>198</v>
      </c>
      <c r="BV206" t="s">
        <v>198</v>
      </c>
      <c r="BW206" t="s">
        <v>198</v>
      </c>
      <c r="BX206" t="s">
        <v>198</v>
      </c>
      <c r="BY206" t="s">
        <v>198</v>
      </c>
      <c r="BZ206" t="s">
        <v>198</v>
      </c>
      <c r="CA206" t="s">
        <v>198</v>
      </c>
      <c r="CB206" t="s">
        <v>204</v>
      </c>
      <c r="CC206" t="s">
        <v>204</v>
      </c>
      <c r="CD206" t="s">
        <v>204</v>
      </c>
      <c r="CE206" t="s">
        <v>204</v>
      </c>
      <c r="CF206" t="s">
        <v>204</v>
      </c>
      <c r="CG206" t="s">
        <v>204</v>
      </c>
      <c r="CH206" t="s">
        <v>204</v>
      </c>
      <c r="CI206" t="s">
        <v>204</v>
      </c>
      <c r="CJ206" t="s">
        <v>204</v>
      </c>
      <c r="CK206" t="s">
        <v>204</v>
      </c>
      <c r="CL206" t="s">
        <v>204</v>
      </c>
      <c r="CM206" t="s">
        <v>204</v>
      </c>
      <c r="CN206" t="s">
        <v>203</v>
      </c>
      <c r="CO206" t="s">
        <v>203</v>
      </c>
      <c r="CP206" t="s">
        <v>203</v>
      </c>
      <c r="CQ206" t="s">
        <v>203</v>
      </c>
      <c r="CR206" t="s">
        <v>203</v>
      </c>
      <c r="CS206" t="s">
        <v>203</v>
      </c>
      <c r="CT206" t="s">
        <v>203</v>
      </c>
      <c r="CU206" t="s">
        <v>203</v>
      </c>
      <c r="CV206">
        <v>0</v>
      </c>
      <c r="CW206">
        <v>0</v>
      </c>
      <c r="CX206" t="s">
        <v>198</v>
      </c>
      <c r="CY206" t="s">
        <v>198</v>
      </c>
      <c r="CZ206" t="s">
        <v>198</v>
      </c>
      <c r="DA206" t="s">
        <v>198</v>
      </c>
      <c r="DB206" t="s">
        <v>198</v>
      </c>
      <c r="DC206">
        <v>0</v>
      </c>
      <c r="DD206">
        <v>0</v>
      </c>
      <c r="DE206">
        <v>0</v>
      </c>
      <c r="DF206">
        <v>0</v>
      </c>
      <c r="DG206">
        <v>-35.3631166</v>
      </c>
      <c r="DH206">
        <v>149.1639735</v>
      </c>
      <c r="DI206" t="s">
        <v>360</v>
      </c>
      <c r="DJ206">
        <v>1.2</v>
      </c>
      <c r="DK206">
        <v>2</v>
      </c>
      <c r="DL206">
        <v>159.8</v>
      </c>
      <c r="DM206">
        <v>0</v>
      </c>
      <c r="DN206">
        <v>6</v>
      </c>
      <c r="DO206">
        <v>10</v>
      </c>
      <c r="DP206">
        <v>0</v>
      </c>
      <c r="DQ206">
        <v>255</v>
      </c>
      <c r="DR206">
        <v>255</v>
      </c>
      <c r="DS206">
        <v>255</v>
      </c>
      <c r="DT206">
        <v>255</v>
      </c>
      <c r="DU206">
        <v>255</v>
      </c>
      <c r="DV206">
        <v>255</v>
      </c>
      <c r="DW206">
        <v>255</v>
      </c>
      <c r="DX206" t="s">
        <v>206</v>
      </c>
      <c r="DY206" t="s">
        <v>206</v>
      </c>
      <c r="DZ206" t="s">
        <v>207</v>
      </c>
      <c r="EA206" t="s">
        <v>198</v>
      </c>
      <c r="EB206" t="s">
        <v>198</v>
      </c>
      <c r="EC206" t="s">
        <v>198</v>
      </c>
      <c r="ED206">
        <v>0</v>
      </c>
      <c r="EE206">
        <v>0</v>
      </c>
      <c r="EF206">
        <v>0</v>
      </c>
      <c r="EG206">
        <v>0</v>
      </c>
      <c r="EH206">
        <v>255</v>
      </c>
      <c r="EI206">
        <v>255</v>
      </c>
      <c r="EJ206">
        <v>255</v>
      </c>
      <c r="EK206">
        <v>255</v>
      </c>
      <c r="EL206">
        <v>255</v>
      </c>
      <c r="EM206">
        <v>255</v>
      </c>
      <c r="EN206">
        <v>255</v>
      </c>
      <c r="EO206">
        <v>255</v>
      </c>
      <c r="EP206">
        <v>255</v>
      </c>
      <c r="EQ206">
        <v>255</v>
      </c>
      <c r="ER206" t="s">
        <v>208</v>
      </c>
      <c r="ES206" t="s">
        <v>209</v>
      </c>
      <c r="ET206" t="s">
        <v>209</v>
      </c>
      <c r="EU206">
        <v>0</v>
      </c>
      <c r="EV206">
        <v>16.2</v>
      </c>
      <c r="EW206">
        <v>-114.7</v>
      </c>
      <c r="EX206">
        <v>-0.2</v>
      </c>
      <c r="EY206">
        <v>0</v>
      </c>
      <c r="EZ206">
        <v>0</v>
      </c>
      <c r="FA206">
        <v>0</v>
      </c>
      <c r="FB206" t="s">
        <v>198</v>
      </c>
      <c r="FC206" t="s">
        <v>198</v>
      </c>
      <c r="FD206" t="s">
        <v>198</v>
      </c>
      <c r="FE206" t="s">
        <v>198</v>
      </c>
      <c r="FF206" t="s">
        <v>198</v>
      </c>
      <c r="FG206" t="s">
        <v>198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203</v>
      </c>
      <c r="FP206" t="s">
        <v>203</v>
      </c>
      <c r="FQ206" t="s">
        <v>203</v>
      </c>
      <c r="FR206" t="s">
        <v>203</v>
      </c>
      <c r="FS206" t="s">
        <v>203</v>
      </c>
      <c r="FT206" t="s">
        <v>203</v>
      </c>
      <c r="FU206" t="s">
        <v>198</v>
      </c>
      <c r="FV206" t="s">
        <v>198</v>
      </c>
      <c r="FW206" t="s">
        <v>198</v>
      </c>
      <c r="FX206" t="s">
        <v>198</v>
      </c>
      <c r="FY206" t="s">
        <v>198</v>
      </c>
      <c r="FZ206" t="s">
        <v>198</v>
      </c>
      <c r="GA206">
        <v>31.2</v>
      </c>
      <c r="GB206">
        <v>31.2</v>
      </c>
      <c r="GC206" t="s">
        <v>203</v>
      </c>
      <c r="GD206">
        <v>0</v>
      </c>
      <c r="GE206">
        <v>504</v>
      </c>
      <c r="GF206">
        <v>0</v>
      </c>
      <c r="GG206">
        <v>0</v>
      </c>
      <c r="GH206">
        <v>0</v>
      </c>
      <c r="GI206">
        <v>1</v>
      </c>
      <c r="GJ206">
        <v>1</v>
      </c>
      <c r="GK206">
        <v>0</v>
      </c>
      <c r="GL206" t="s">
        <v>198</v>
      </c>
      <c r="GM206" t="s">
        <v>198</v>
      </c>
      <c r="GN206" t="s">
        <v>198</v>
      </c>
    </row>
    <row r="207" spans="1:196">
      <c r="A207" s="19">
        <v>46316.90627711805</v>
      </c>
      <c r="B207">
        <v>0</v>
      </c>
      <c r="C207">
        <v>0</v>
      </c>
      <c r="D207">
        <v>277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584.2</v>
      </c>
      <c r="N207">
        <v>-0.5</v>
      </c>
      <c r="O207">
        <v>0</v>
      </c>
      <c r="P207">
        <v>0</v>
      </c>
      <c r="Q207">
        <v>0</v>
      </c>
      <c r="R207">
        <v>0</v>
      </c>
      <c r="S207">
        <v>115.6</v>
      </c>
      <c r="T207" t="s">
        <v>485</v>
      </c>
      <c r="U207">
        <v>115.7</v>
      </c>
      <c r="V207">
        <v>1762727256586.8</v>
      </c>
      <c r="W207">
        <v>1</v>
      </c>
      <c r="X207" t="s">
        <v>197</v>
      </c>
      <c r="Y207">
        <v>0</v>
      </c>
      <c r="Z207">
        <v>98</v>
      </c>
      <c r="AA207">
        <v>278</v>
      </c>
      <c r="AB207" t="s">
        <v>197</v>
      </c>
      <c r="AC207" t="s">
        <v>198</v>
      </c>
      <c r="AD207" t="s">
        <v>199</v>
      </c>
      <c r="AE207">
        <v>0</v>
      </c>
      <c r="AF207">
        <v>44</v>
      </c>
      <c r="AG207">
        <v>255</v>
      </c>
      <c r="AH207">
        <v>0</v>
      </c>
      <c r="AI207">
        <v>0</v>
      </c>
      <c r="AJ207">
        <v>0</v>
      </c>
      <c r="AK207">
        <v>12.6</v>
      </c>
      <c r="AL207">
        <v>0</v>
      </c>
      <c r="AM207">
        <v>0</v>
      </c>
      <c r="AN207" t="s">
        <v>197</v>
      </c>
      <c r="AO207">
        <v>100</v>
      </c>
      <c r="AP207" t="s">
        <v>197</v>
      </c>
      <c r="AQ207" t="s">
        <v>200</v>
      </c>
      <c r="AR207">
        <v>1</v>
      </c>
      <c r="AS207">
        <v>0</v>
      </c>
      <c r="AT207" t="s">
        <v>553</v>
      </c>
      <c r="AU207" t="s">
        <v>553</v>
      </c>
      <c r="AV207" t="s">
        <v>202</v>
      </c>
      <c r="AW207" t="s">
        <v>203</v>
      </c>
      <c r="AX207" t="s">
        <v>203</v>
      </c>
      <c r="AY207" t="s">
        <v>203</v>
      </c>
      <c r="AZ207" t="s">
        <v>203</v>
      </c>
      <c r="BA207" t="s">
        <v>203</v>
      </c>
      <c r="BB207" t="s">
        <v>203</v>
      </c>
      <c r="BC207" t="s">
        <v>203</v>
      </c>
      <c r="BD207" t="s">
        <v>203</v>
      </c>
      <c r="BE207" t="s">
        <v>203</v>
      </c>
      <c r="BF207">
        <v>0</v>
      </c>
      <c r="BG207">
        <v>0.2</v>
      </c>
      <c r="BH207">
        <v>50</v>
      </c>
      <c r="BI207">
        <v>0</v>
      </c>
      <c r="BJ207" t="s">
        <v>198</v>
      </c>
      <c r="BK207" t="s">
        <v>198</v>
      </c>
      <c r="BL207" t="s">
        <v>198</v>
      </c>
      <c r="BM207" t="s">
        <v>198</v>
      </c>
      <c r="BN207" t="s">
        <v>198</v>
      </c>
      <c r="BO207" t="s">
        <v>198</v>
      </c>
      <c r="BP207" t="s">
        <v>198</v>
      </c>
      <c r="BQ207" t="s">
        <v>198</v>
      </c>
      <c r="BR207" t="s">
        <v>198</v>
      </c>
      <c r="BS207" t="s">
        <v>198</v>
      </c>
      <c r="BT207" t="s">
        <v>198</v>
      </c>
      <c r="BU207" t="s">
        <v>198</v>
      </c>
      <c r="BV207" t="s">
        <v>198</v>
      </c>
      <c r="BW207" t="s">
        <v>198</v>
      </c>
      <c r="BX207" t="s">
        <v>198</v>
      </c>
      <c r="BY207" t="s">
        <v>198</v>
      </c>
      <c r="BZ207" t="s">
        <v>198</v>
      </c>
      <c r="CA207" t="s">
        <v>198</v>
      </c>
      <c r="CB207" t="s">
        <v>204</v>
      </c>
      <c r="CC207" t="s">
        <v>204</v>
      </c>
      <c r="CD207" t="s">
        <v>204</v>
      </c>
      <c r="CE207" t="s">
        <v>204</v>
      </c>
      <c r="CF207" t="s">
        <v>204</v>
      </c>
      <c r="CG207" t="s">
        <v>204</v>
      </c>
      <c r="CH207" t="s">
        <v>204</v>
      </c>
      <c r="CI207" t="s">
        <v>204</v>
      </c>
      <c r="CJ207" t="s">
        <v>204</v>
      </c>
      <c r="CK207" t="s">
        <v>204</v>
      </c>
      <c r="CL207" t="s">
        <v>204</v>
      </c>
      <c r="CM207" t="s">
        <v>204</v>
      </c>
      <c r="CN207" t="s">
        <v>203</v>
      </c>
      <c r="CO207" t="s">
        <v>203</v>
      </c>
      <c r="CP207" t="s">
        <v>203</v>
      </c>
      <c r="CQ207" t="s">
        <v>203</v>
      </c>
      <c r="CR207" t="s">
        <v>203</v>
      </c>
      <c r="CS207" t="s">
        <v>203</v>
      </c>
      <c r="CT207" t="s">
        <v>203</v>
      </c>
      <c r="CU207" t="s">
        <v>203</v>
      </c>
      <c r="CV207">
        <v>0</v>
      </c>
      <c r="CW207">
        <v>0</v>
      </c>
      <c r="CX207" t="s">
        <v>198</v>
      </c>
      <c r="CY207" t="s">
        <v>198</v>
      </c>
      <c r="CZ207" t="s">
        <v>198</v>
      </c>
      <c r="DA207" t="s">
        <v>198</v>
      </c>
      <c r="DB207" t="s">
        <v>198</v>
      </c>
      <c r="DC207">
        <v>0</v>
      </c>
      <c r="DD207">
        <v>0</v>
      </c>
      <c r="DE207">
        <v>0</v>
      </c>
      <c r="DF207">
        <v>0</v>
      </c>
      <c r="DG207">
        <v>-35.3631166</v>
      </c>
      <c r="DH207">
        <v>149.1639735</v>
      </c>
      <c r="DI207" t="s">
        <v>360</v>
      </c>
      <c r="DJ207">
        <v>1.2</v>
      </c>
      <c r="DK207">
        <v>2</v>
      </c>
      <c r="DL207">
        <v>159.8</v>
      </c>
      <c r="DM207">
        <v>0</v>
      </c>
      <c r="DN207">
        <v>6</v>
      </c>
      <c r="DO207">
        <v>10</v>
      </c>
      <c r="DP207">
        <v>0</v>
      </c>
      <c r="DQ207">
        <v>255</v>
      </c>
      <c r="DR207">
        <v>255</v>
      </c>
      <c r="DS207">
        <v>255</v>
      </c>
      <c r="DT207">
        <v>255</v>
      </c>
      <c r="DU207">
        <v>255</v>
      </c>
      <c r="DV207">
        <v>255</v>
      </c>
      <c r="DW207">
        <v>255</v>
      </c>
      <c r="DX207" t="s">
        <v>206</v>
      </c>
      <c r="DY207" t="s">
        <v>206</v>
      </c>
      <c r="DZ207" t="s">
        <v>207</v>
      </c>
      <c r="EA207" t="s">
        <v>198</v>
      </c>
      <c r="EB207" t="s">
        <v>198</v>
      </c>
      <c r="EC207" t="s">
        <v>198</v>
      </c>
      <c r="ED207">
        <v>0</v>
      </c>
      <c r="EE207">
        <v>0</v>
      </c>
      <c r="EF207">
        <v>0</v>
      </c>
      <c r="EG207">
        <v>0</v>
      </c>
      <c r="EH207">
        <v>255</v>
      </c>
      <c r="EI207">
        <v>255</v>
      </c>
      <c r="EJ207">
        <v>255</v>
      </c>
      <c r="EK207">
        <v>255</v>
      </c>
      <c r="EL207">
        <v>255</v>
      </c>
      <c r="EM207">
        <v>255</v>
      </c>
      <c r="EN207">
        <v>255</v>
      </c>
      <c r="EO207">
        <v>255</v>
      </c>
      <c r="EP207">
        <v>255</v>
      </c>
      <c r="EQ207">
        <v>255</v>
      </c>
      <c r="ER207" t="s">
        <v>208</v>
      </c>
      <c r="ES207" t="s">
        <v>209</v>
      </c>
      <c r="ET207" t="s">
        <v>209</v>
      </c>
      <c r="EU207">
        <v>0</v>
      </c>
      <c r="EV207">
        <v>16.2</v>
      </c>
      <c r="EW207">
        <v>-114.7</v>
      </c>
      <c r="EX207">
        <v>-0.2</v>
      </c>
      <c r="EY207">
        <v>0</v>
      </c>
      <c r="EZ207">
        <v>0</v>
      </c>
      <c r="FA207">
        <v>0</v>
      </c>
      <c r="FB207" t="s">
        <v>198</v>
      </c>
      <c r="FC207" t="s">
        <v>198</v>
      </c>
      <c r="FD207" t="s">
        <v>198</v>
      </c>
      <c r="FE207" t="s">
        <v>198</v>
      </c>
      <c r="FF207" t="s">
        <v>198</v>
      </c>
      <c r="FG207" t="s">
        <v>198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203</v>
      </c>
      <c r="FP207" t="s">
        <v>203</v>
      </c>
      <c r="FQ207" t="s">
        <v>203</v>
      </c>
      <c r="FR207" t="s">
        <v>203</v>
      </c>
      <c r="FS207" t="s">
        <v>203</v>
      </c>
      <c r="FT207" t="s">
        <v>203</v>
      </c>
      <c r="FU207" t="s">
        <v>198</v>
      </c>
      <c r="FV207" t="s">
        <v>198</v>
      </c>
      <c r="FW207" t="s">
        <v>198</v>
      </c>
      <c r="FX207" t="s">
        <v>198</v>
      </c>
      <c r="FY207" t="s">
        <v>198</v>
      </c>
      <c r="FZ207" t="s">
        <v>198</v>
      </c>
      <c r="GA207">
        <v>31.2</v>
      </c>
      <c r="GB207">
        <v>31.2</v>
      </c>
      <c r="GC207" t="s">
        <v>203</v>
      </c>
      <c r="GD207">
        <v>0</v>
      </c>
      <c r="GE207">
        <v>504</v>
      </c>
      <c r="GF207">
        <v>0</v>
      </c>
      <c r="GG207">
        <v>0</v>
      </c>
      <c r="GH207">
        <v>0</v>
      </c>
      <c r="GI207">
        <v>1</v>
      </c>
      <c r="GJ207">
        <v>1</v>
      </c>
      <c r="GK207">
        <v>0</v>
      </c>
      <c r="GL207" t="s">
        <v>198</v>
      </c>
      <c r="GM207" t="s">
        <v>198</v>
      </c>
      <c r="GN207" t="s">
        <v>198</v>
      </c>
    </row>
    <row r="208" spans="1:196">
      <c r="A208" s="19">
        <v>46316.90628869213</v>
      </c>
      <c r="B208">
        <v>0</v>
      </c>
      <c r="C208">
        <v>0</v>
      </c>
      <c r="D208">
        <v>277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584.2</v>
      </c>
      <c r="N208">
        <v>-0.5</v>
      </c>
      <c r="O208">
        <v>0</v>
      </c>
      <c r="P208">
        <v>0</v>
      </c>
      <c r="Q208">
        <v>0</v>
      </c>
      <c r="R208">
        <v>0</v>
      </c>
      <c r="S208">
        <v>115.6</v>
      </c>
      <c r="T208" t="s">
        <v>485</v>
      </c>
      <c r="U208">
        <v>115.7</v>
      </c>
      <c r="V208">
        <v>1762727256586.8</v>
      </c>
      <c r="W208">
        <v>1</v>
      </c>
      <c r="X208" t="s">
        <v>197</v>
      </c>
      <c r="Y208">
        <v>0</v>
      </c>
      <c r="Z208">
        <v>98</v>
      </c>
      <c r="AA208">
        <v>278</v>
      </c>
      <c r="AB208" t="s">
        <v>197</v>
      </c>
      <c r="AC208" t="s">
        <v>198</v>
      </c>
      <c r="AD208" t="s">
        <v>199</v>
      </c>
      <c r="AE208">
        <v>0</v>
      </c>
      <c r="AF208">
        <v>44</v>
      </c>
      <c r="AG208">
        <v>255</v>
      </c>
      <c r="AH208">
        <v>0</v>
      </c>
      <c r="AI208">
        <v>0</v>
      </c>
      <c r="AJ208">
        <v>0</v>
      </c>
      <c r="AK208">
        <v>12.6</v>
      </c>
      <c r="AL208">
        <v>0</v>
      </c>
      <c r="AM208">
        <v>0</v>
      </c>
      <c r="AN208" t="s">
        <v>197</v>
      </c>
      <c r="AO208">
        <v>100</v>
      </c>
      <c r="AP208" t="s">
        <v>197</v>
      </c>
      <c r="AQ208" t="s">
        <v>200</v>
      </c>
      <c r="AR208">
        <v>1</v>
      </c>
      <c r="AS208">
        <v>0</v>
      </c>
      <c r="AT208" t="s">
        <v>554</v>
      </c>
      <c r="AU208" t="s">
        <v>554</v>
      </c>
      <c r="AV208" t="s">
        <v>202</v>
      </c>
      <c r="AW208" t="s">
        <v>203</v>
      </c>
      <c r="AX208" t="s">
        <v>203</v>
      </c>
      <c r="AY208" t="s">
        <v>203</v>
      </c>
      <c r="AZ208" t="s">
        <v>203</v>
      </c>
      <c r="BA208" t="s">
        <v>203</v>
      </c>
      <c r="BB208" t="s">
        <v>203</v>
      </c>
      <c r="BC208" t="s">
        <v>203</v>
      </c>
      <c r="BD208" t="s">
        <v>203</v>
      </c>
      <c r="BE208" t="s">
        <v>203</v>
      </c>
      <c r="BF208">
        <v>0</v>
      </c>
      <c r="BG208">
        <v>0.2</v>
      </c>
      <c r="BH208">
        <v>50</v>
      </c>
      <c r="BI208">
        <v>0</v>
      </c>
      <c r="BJ208" t="s">
        <v>198</v>
      </c>
      <c r="BK208" t="s">
        <v>198</v>
      </c>
      <c r="BL208" t="s">
        <v>198</v>
      </c>
      <c r="BM208" t="s">
        <v>198</v>
      </c>
      <c r="BN208" t="s">
        <v>198</v>
      </c>
      <c r="BO208" t="s">
        <v>198</v>
      </c>
      <c r="BP208" t="s">
        <v>198</v>
      </c>
      <c r="BQ208" t="s">
        <v>198</v>
      </c>
      <c r="BR208" t="s">
        <v>198</v>
      </c>
      <c r="BS208" t="s">
        <v>198</v>
      </c>
      <c r="BT208" t="s">
        <v>198</v>
      </c>
      <c r="BU208" t="s">
        <v>198</v>
      </c>
      <c r="BV208" t="s">
        <v>198</v>
      </c>
      <c r="BW208" t="s">
        <v>198</v>
      </c>
      <c r="BX208" t="s">
        <v>198</v>
      </c>
      <c r="BY208" t="s">
        <v>198</v>
      </c>
      <c r="BZ208" t="s">
        <v>198</v>
      </c>
      <c r="CA208" t="s">
        <v>198</v>
      </c>
      <c r="CB208" t="s">
        <v>204</v>
      </c>
      <c r="CC208" t="s">
        <v>204</v>
      </c>
      <c r="CD208" t="s">
        <v>204</v>
      </c>
      <c r="CE208" t="s">
        <v>204</v>
      </c>
      <c r="CF208" t="s">
        <v>204</v>
      </c>
      <c r="CG208" t="s">
        <v>204</v>
      </c>
      <c r="CH208" t="s">
        <v>204</v>
      </c>
      <c r="CI208" t="s">
        <v>204</v>
      </c>
      <c r="CJ208" t="s">
        <v>204</v>
      </c>
      <c r="CK208" t="s">
        <v>204</v>
      </c>
      <c r="CL208" t="s">
        <v>204</v>
      </c>
      <c r="CM208" t="s">
        <v>204</v>
      </c>
      <c r="CN208" t="s">
        <v>203</v>
      </c>
      <c r="CO208" t="s">
        <v>203</v>
      </c>
      <c r="CP208" t="s">
        <v>203</v>
      </c>
      <c r="CQ208" t="s">
        <v>203</v>
      </c>
      <c r="CR208" t="s">
        <v>203</v>
      </c>
      <c r="CS208" t="s">
        <v>203</v>
      </c>
      <c r="CT208" t="s">
        <v>203</v>
      </c>
      <c r="CU208" t="s">
        <v>203</v>
      </c>
      <c r="CV208">
        <v>0</v>
      </c>
      <c r="CW208">
        <v>0</v>
      </c>
      <c r="CX208" t="s">
        <v>198</v>
      </c>
      <c r="CY208" t="s">
        <v>198</v>
      </c>
      <c r="CZ208" t="s">
        <v>198</v>
      </c>
      <c r="DA208" t="s">
        <v>198</v>
      </c>
      <c r="DB208" t="s">
        <v>198</v>
      </c>
      <c r="DC208">
        <v>0</v>
      </c>
      <c r="DD208">
        <v>0</v>
      </c>
      <c r="DE208">
        <v>0</v>
      </c>
      <c r="DF208">
        <v>0</v>
      </c>
      <c r="DG208">
        <v>-35.3631166</v>
      </c>
      <c r="DH208">
        <v>149.1639735</v>
      </c>
      <c r="DI208" t="s">
        <v>360</v>
      </c>
      <c r="DJ208">
        <v>1.2</v>
      </c>
      <c r="DK208">
        <v>2</v>
      </c>
      <c r="DL208">
        <v>159.8</v>
      </c>
      <c r="DM208">
        <v>0</v>
      </c>
      <c r="DN208">
        <v>6</v>
      </c>
      <c r="DO208">
        <v>10</v>
      </c>
      <c r="DP208">
        <v>0</v>
      </c>
      <c r="DQ208">
        <v>255</v>
      </c>
      <c r="DR208">
        <v>255</v>
      </c>
      <c r="DS208">
        <v>255</v>
      </c>
      <c r="DT208">
        <v>255</v>
      </c>
      <c r="DU208">
        <v>255</v>
      </c>
      <c r="DV208">
        <v>255</v>
      </c>
      <c r="DW208">
        <v>255</v>
      </c>
      <c r="DX208" t="s">
        <v>206</v>
      </c>
      <c r="DY208" t="s">
        <v>206</v>
      </c>
      <c r="DZ208" t="s">
        <v>207</v>
      </c>
      <c r="EA208" t="s">
        <v>198</v>
      </c>
      <c r="EB208" t="s">
        <v>198</v>
      </c>
      <c r="EC208" t="s">
        <v>198</v>
      </c>
      <c r="ED208">
        <v>0</v>
      </c>
      <c r="EE208">
        <v>0</v>
      </c>
      <c r="EF208">
        <v>0</v>
      </c>
      <c r="EG208">
        <v>0</v>
      </c>
      <c r="EH208">
        <v>255</v>
      </c>
      <c r="EI208">
        <v>255</v>
      </c>
      <c r="EJ208">
        <v>255</v>
      </c>
      <c r="EK208">
        <v>255</v>
      </c>
      <c r="EL208">
        <v>255</v>
      </c>
      <c r="EM208">
        <v>255</v>
      </c>
      <c r="EN208">
        <v>255</v>
      </c>
      <c r="EO208">
        <v>255</v>
      </c>
      <c r="EP208">
        <v>255</v>
      </c>
      <c r="EQ208">
        <v>255</v>
      </c>
      <c r="ER208" t="s">
        <v>208</v>
      </c>
      <c r="ES208" t="s">
        <v>209</v>
      </c>
      <c r="ET208" t="s">
        <v>209</v>
      </c>
      <c r="EU208">
        <v>0</v>
      </c>
      <c r="EV208">
        <v>16.2</v>
      </c>
      <c r="EW208">
        <v>-114.7</v>
      </c>
      <c r="EX208">
        <v>-0.2</v>
      </c>
      <c r="EY208">
        <v>0</v>
      </c>
      <c r="EZ208">
        <v>0</v>
      </c>
      <c r="FA208">
        <v>0</v>
      </c>
      <c r="FB208" t="s">
        <v>198</v>
      </c>
      <c r="FC208" t="s">
        <v>198</v>
      </c>
      <c r="FD208" t="s">
        <v>198</v>
      </c>
      <c r="FE208" t="s">
        <v>198</v>
      </c>
      <c r="FF208" t="s">
        <v>198</v>
      </c>
      <c r="FG208" t="s">
        <v>198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203</v>
      </c>
      <c r="FP208" t="s">
        <v>203</v>
      </c>
      <c r="FQ208" t="s">
        <v>203</v>
      </c>
      <c r="FR208" t="s">
        <v>203</v>
      </c>
      <c r="FS208" t="s">
        <v>203</v>
      </c>
      <c r="FT208" t="s">
        <v>203</v>
      </c>
      <c r="FU208" t="s">
        <v>198</v>
      </c>
      <c r="FV208" t="s">
        <v>198</v>
      </c>
      <c r="FW208" t="s">
        <v>198</v>
      </c>
      <c r="FX208" t="s">
        <v>198</v>
      </c>
      <c r="FY208" t="s">
        <v>198</v>
      </c>
      <c r="FZ208" t="s">
        <v>198</v>
      </c>
      <c r="GA208">
        <v>31.2</v>
      </c>
      <c r="GB208">
        <v>31.2</v>
      </c>
      <c r="GC208" t="s">
        <v>203</v>
      </c>
      <c r="GD208">
        <v>0</v>
      </c>
      <c r="GE208">
        <v>504</v>
      </c>
      <c r="GF208">
        <v>0</v>
      </c>
      <c r="GG208">
        <v>0</v>
      </c>
      <c r="GH208">
        <v>0</v>
      </c>
      <c r="GI208">
        <v>1</v>
      </c>
      <c r="GJ208">
        <v>1</v>
      </c>
      <c r="GK208">
        <v>0</v>
      </c>
      <c r="GL208" t="s">
        <v>198</v>
      </c>
      <c r="GM208" t="s">
        <v>198</v>
      </c>
      <c r="GN208" t="s">
        <v>198</v>
      </c>
    </row>
    <row r="209" spans="1:196">
      <c r="A209" s="19">
        <v>46316.90630025463</v>
      </c>
      <c r="B209">
        <v>0</v>
      </c>
      <c r="C209">
        <v>0</v>
      </c>
      <c r="D209">
        <v>277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584.2</v>
      </c>
      <c r="N209">
        <v>-0.5</v>
      </c>
      <c r="O209">
        <v>0</v>
      </c>
      <c r="P209">
        <v>0</v>
      </c>
      <c r="Q209">
        <v>0</v>
      </c>
      <c r="R209">
        <v>0</v>
      </c>
      <c r="S209">
        <v>115.6</v>
      </c>
      <c r="T209" t="s">
        <v>485</v>
      </c>
      <c r="U209">
        <v>115.7</v>
      </c>
      <c r="V209">
        <v>1762727256586.8</v>
      </c>
      <c r="W209">
        <v>1</v>
      </c>
      <c r="X209" t="s">
        <v>197</v>
      </c>
      <c r="Y209">
        <v>0</v>
      </c>
      <c r="Z209">
        <v>98</v>
      </c>
      <c r="AA209">
        <v>278</v>
      </c>
      <c r="AB209" t="s">
        <v>197</v>
      </c>
      <c r="AC209" t="s">
        <v>198</v>
      </c>
      <c r="AD209" t="s">
        <v>199</v>
      </c>
      <c r="AE209">
        <v>0</v>
      </c>
      <c r="AF209">
        <v>44</v>
      </c>
      <c r="AG209">
        <v>255</v>
      </c>
      <c r="AH209">
        <v>0</v>
      </c>
      <c r="AI209">
        <v>0</v>
      </c>
      <c r="AJ209">
        <v>0</v>
      </c>
      <c r="AK209">
        <v>12.6</v>
      </c>
      <c r="AL209">
        <v>0</v>
      </c>
      <c r="AM209">
        <v>0</v>
      </c>
      <c r="AN209" t="s">
        <v>197</v>
      </c>
      <c r="AO209">
        <v>100</v>
      </c>
      <c r="AP209" t="s">
        <v>197</v>
      </c>
      <c r="AQ209" t="s">
        <v>200</v>
      </c>
      <c r="AR209">
        <v>1</v>
      </c>
      <c r="AS209">
        <v>0</v>
      </c>
      <c r="AT209" t="s">
        <v>555</v>
      </c>
      <c r="AU209" t="s">
        <v>555</v>
      </c>
      <c r="AV209" t="s">
        <v>202</v>
      </c>
      <c r="AW209" t="s">
        <v>203</v>
      </c>
      <c r="AX209" t="s">
        <v>203</v>
      </c>
      <c r="AY209" t="s">
        <v>203</v>
      </c>
      <c r="AZ209" t="s">
        <v>203</v>
      </c>
      <c r="BA209" t="s">
        <v>203</v>
      </c>
      <c r="BB209" t="s">
        <v>203</v>
      </c>
      <c r="BC209" t="s">
        <v>203</v>
      </c>
      <c r="BD209" t="s">
        <v>203</v>
      </c>
      <c r="BE209" t="s">
        <v>203</v>
      </c>
      <c r="BF209">
        <v>0</v>
      </c>
      <c r="BG209">
        <v>0.2</v>
      </c>
      <c r="BH209">
        <v>50</v>
      </c>
      <c r="BI209">
        <v>0</v>
      </c>
      <c r="BJ209" t="s">
        <v>198</v>
      </c>
      <c r="BK209" t="s">
        <v>198</v>
      </c>
      <c r="BL209" t="s">
        <v>198</v>
      </c>
      <c r="BM209" t="s">
        <v>198</v>
      </c>
      <c r="BN209" t="s">
        <v>198</v>
      </c>
      <c r="BO209" t="s">
        <v>198</v>
      </c>
      <c r="BP209" t="s">
        <v>198</v>
      </c>
      <c r="BQ209" t="s">
        <v>198</v>
      </c>
      <c r="BR209" t="s">
        <v>198</v>
      </c>
      <c r="BS209" t="s">
        <v>198</v>
      </c>
      <c r="BT209" t="s">
        <v>198</v>
      </c>
      <c r="BU209" t="s">
        <v>198</v>
      </c>
      <c r="BV209" t="s">
        <v>198</v>
      </c>
      <c r="BW209" t="s">
        <v>198</v>
      </c>
      <c r="BX209" t="s">
        <v>198</v>
      </c>
      <c r="BY209" t="s">
        <v>198</v>
      </c>
      <c r="BZ209" t="s">
        <v>198</v>
      </c>
      <c r="CA209" t="s">
        <v>198</v>
      </c>
      <c r="CB209" t="s">
        <v>204</v>
      </c>
      <c r="CC209" t="s">
        <v>204</v>
      </c>
      <c r="CD209" t="s">
        <v>204</v>
      </c>
      <c r="CE209" t="s">
        <v>204</v>
      </c>
      <c r="CF209" t="s">
        <v>204</v>
      </c>
      <c r="CG209" t="s">
        <v>204</v>
      </c>
      <c r="CH209" t="s">
        <v>204</v>
      </c>
      <c r="CI209" t="s">
        <v>204</v>
      </c>
      <c r="CJ209" t="s">
        <v>204</v>
      </c>
      <c r="CK209" t="s">
        <v>204</v>
      </c>
      <c r="CL209" t="s">
        <v>204</v>
      </c>
      <c r="CM209" t="s">
        <v>204</v>
      </c>
      <c r="CN209" t="s">
        <v>203</v>
      </c>
      <c r="CO209" t="s">
        <v>203</v>
      </c>
      <c r="CP209" t="s">
        <v>203</v>
      </c>
      <c r="CQ209" t="s">
        <v>203</v>
      </c>
      <c r="CR209" t="s">
        <v>203</v>
      </c>
      <c r="CS209" t="s">
        <v>203</v>
      </c>
      <c r="CT209" t="s">
        <v>203</v>
      </c>
      <c r="CU209" t="s">
        <v>203</v>
      </c>
      <c r="CV209">
        <v>0</v>
      </c>
      <c r="CW209">
        <v>0</v>
      </c>
      <c r="CX209" t="s">
        <v>198</v>
      </c>
      <c r="CY209" t="s">
        <v>198</v>
      </c>
      <c r="CZ209" t="s">
        <v>198</v>
      </c>
      <c r="DA209" t="s">
        <v>198</v>
      </c>
      <c r="DB209" t="s">
        <v>198</v>
      </c>
      <c r="DC209">
        <v>0</v>
      </c>
      <c r="DD209">
        <v>0</v>
      </c>
      <c r="DE209">
        <v>0</v>
      </c>
      <c r="DF209">
        <v>0</v>
      </c>
      <c r="DG209">
        <v>-35.3631166</v>
      </c>
      <c r="DH209">
        <v>149.1639735</v>
      </c>
      <c r="DI209" t="s">
        <v>360</v>
      </c>
      <c r="DJ209">
        <v>1.2</v>
      </c>
      <c r="DK209">
        <v>2</v>
      </c>
      <c r="DL209">
        <v>159.8</v>
      </c>
      <c r="DM209">
        <v>0</v>
      </c>
      <c r="DN209">
        <v>6</v>
      </c>
      <c r="DO209">
        <v>10</v>
      </c>
      <c r="DP209">
        <v>0</v>
      </c>
      <c r="DQ209">
        <v>255</v>
      </c>
      <c r="DR209">
        <v>255</v>
      </c>
      <c r="DS209">
        <v>255</v>
      </c>
      <c r="DT209">
        <v>255</v>
      </c>
      <c r="DU209">
        <v>255</v>
      </c>
      <c r="DV209">
        <v>255</v>
      </c>
      <c r="DW209">
        <v>255</v>
      </c>
      <c r="DX209" t="s">
        <v>206</v>
      </c>
      <c r="DY209" t="s">
        <v>206</v>
      </c>
      <c r="DZ209" t="s">
        <v>207</v>
      </c>
      <c r="EA209" t="s">
        <v>198</v>
      </c>
      <c r="EB209" t="s">
        <v>198</v>
      </c>
      <c r="EC209" t="s">
        <v>198</v>
      </c>
      <c r="ED209">
        <v>0</v>
      </c>
      <c r="EE209">
        <v>0</v>
      </c>
      <c r="EF209">
        <v>0</v>
      </c>
      <c r="EG209">
        <v>0</v>
      </c>
      <c r="EH209">
        <v>255</v>
      </c>
      <c r="EI209">
        <v>255</v>
      </c>
      <c r="EJ209">
        <v>255</v>
      </c>
      <c r="EK209">
        <v>255</v>
      </c>
      <c r="EL209">
        <v>255</v>
      </c>
      <c r="EM209">
        <v>255</v>
      </c>
      <c r="EN209">
        <v>255</v>
      </c>
      <c r="EO209">
        <v>255</v>
      </c>
      <c r="EP209">
        <v>255</v>
      </c>
      <c r="EQ209">
        <v>255</v>
      </c>
      <c r="ER209" t="s">
        <v>208</v>
      </c>
      <c r="ES209" t="s">
        <v>209</v>
      </c>
      <c r="ET209" t="s">
        <v>209</v>
      </c>
      <c r="EU209">
        <v>0</v>
      </c>
      <c r="EV209">
        <v>16.2</v>
      </c>
      <c r="EW209">
        <v>-114.7</v>
      </c>
      <c r="EX209">
        <v>-0.2</v>
      </c>
      <c r="EY209">
        <v>0</v>
      </c>
      <c r="EZ209">
        <v>0</v>
      </c>
      <c r="FA209">
        <v>0</v>
      </c>
      <c r="FB209" t="s">
        <v>198</v>
      </c>
      <c r="FC209" t="s">
        <v>198</v>
      </c>
      <c r="FD209" t="s">
        <v>198</v>
      </c>
      <c r="FE209" t="s">
        <v>198</v>
      </c>
      <c r="FF209" t="s">
        <v>198</v>
      </c>
      <c r="FG209" t="s">
        <v>198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 t="s">
        <v>203</v>
      </c>
      <c r="FP209" t="s">
        <v>203</v>
      </c>
      <c r="FQ209" t="s">
        <v>203</v>
      </c>
      <c r="FR209" t="s">
        <v>203</v>
      </c>
      <c r="FS209" t="s">
        <v>203</v>
      </c>
      <c r="FT209" t="s">
        <v>203</v>
      </c>
      <c r="FU209" t="s">
        <v>198</v>
      </c>
      <c r="FV209" t="s">
        <v>198</v>
      </c>
      <c r="FW209" t="s">
        <v>198</v>
      </c>
      <c r="FX209" t="s">
        <v>198</v>
      </c>
      <c r="FY209" t="s">
        <v>198</v>
      </c>
      <c r="FZ209" t="s">
        <v>198</v>
      </c>
      <c r="GA209">
        <v>31.2</v>
      </c>
      <c r="GB209">
        <v>31.2</v>
      </c>
      <c r="GC209" t="s">
        <v>203</v>
      </c>
      <c r="GD209">
        <v>0</v>
      </c>
      <c r="GE209">
        <v>504</v>
      </c>
      <c r="GF209">
        <v>0</v>
      </c>
      <c r="GG209">
        <v>0</v>
      </c>
      <c r="GH209">
        <v>0</v>
      </c>
      <c r="GI209">
        <v>1</v>
      </c>
      <c r="GJ209">
        <v>1</v>
      </c>
      <c r="GK209">
        <v>0</v>
      </c>
      <c r="GL209" t="s">
        <v>198</v>
      </c>
      <c r="GM209" t="s">
        <v>198</v>
      </c>
      <c r="GN209" t="s">
        <v>198</v>
      </c>
    </row>
    <row r="210" spans="1:196">
      <c r="A210" s="19">
        <v>46316.9063118287</v>
      </c>
      <c r="B210">
        <v>0</v>
      </c>
      <c r="C210">
        <v>0</v>
      </c>
      <c r="D210">
        <v>277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584.2</v>
      </c>
      <c r="N210">
        <v>-0.5</v>
      </c>
      <c r="O210">
        <v>0</v>
      </c>
      <c r="P210">
        <v>0</v>
      </c>
      <c r="Q210">
        <v>0</v>
      </c>
      <c r="R210">
        <v>0</v>
      </c>
      <c r="S210">
        <v>115.6</v>
      </c>
      <c r="T210" t="s">
        <v>485</v>
      </c>
      <c r="U210">
        <v>115.7</v>
      </c>
      <c r="V210">
        <v>1762727256586.8</v>
      </c>
      <c r="W210">
        <v>1</v>
      </c>
      <c r="X210" t="s">
        <v>197</v>
      </c>
      <c r="Y210">
        <v>0</v>
      </c>
      <c r="Z210">
        <v>98</v>
      </c>
      <c r="AA210">
        <v>278</v>
      </c>
      <c r="AB210" t="s">
        <v>197</v>
      </c>
      <c r="AC210" t="s">
        <v>198</v>
      </c>
      <c r="AD210" t="s">
        <v>199</v>
      </c>
      <c r="AE210">
        <v>0</v>
      </c>
      <c r="AF210">
        <v>44</v>
      </c>
      <c r="AG210">
        <v>255</v>
      </c>
      <c r="AH210">
        <v>0</v>
      </c>
      <c r="AI210">
        <v>0</v>
      </c>
      <c r="AJ210">
        <v>0</v>
      </c>
      <c r="AK210">
        <v>12.6</v>
      </c>
      <c r="AL210">
        <v>0</v>
      </c>
      <c r="AM210">
        <v>0</v>
      </c>
      <c r="AN210" t="s">
        <v>197</v>
      </c>
      <c r="AO210">
        <v>100</v>
      </c>
      <c r="AP210" t="s">
        <v>197</v>
      </c>
      <c r="AQ210" t="s">
        <v>200</v>
      </c>
      <c r="AR210">
        <v>1</v>
      </c>
      <c r="AS210">
        <v>0</v>
      </c>
      <c r="AT210" t="s">
        <v>556</v>
      </c>
      <c r="AU210" t="s">
        <v>556</v>
      </c>
      <c r="AV210" t="s">
        <v>202</v>
      </c>
      <c r="AW210" t="s">
        <v>203</v>
      </c>
      <c r="AX210" t="s">
        <v>203</v>
      </c>
      <c r="AY210" t="s">
        <v>203</v>
      </c>
      <c r="AZ210" t="s">
        <v>203</v>
      </c>
      <c r="BA210" t="s">
        <v>203</v>
      </c>
      <c r="BB210" t="s">
        <v>203</v>
      </c>
      <c r="BC210" t="s">
        <v>203</v>
      </c>
      <c r="BD210" t="s">
        <v>203</v>
      </c>
      <c r="BE210" t="s">
        <v>203</v>
      </c>
      <c r="BF210">
        <v>0</v>
      </c>
      <c r="BG210">
        <v>0.2</v>
      </c>
      <c r="BH210">
        <v>50</v>
      </c>
      <c r="BI210">
        <v>0</v>
      </c>
      <c r="BJ210" t="s">
        <v>198</v>
      </c>
      <c r="BK210" t="s">
        <v>198</v>
      </c>
      <c r="BL210" t="s">
        <v>198</v>
      </c>
      <c r="BM210" t="s">
        <v>198</v>
      </c>
      <c r="BN210" t="s">
        <v>198</v>
      </c>
      <c r="BO210" t="s">
        <v>198</v>
      </c>
      <c r="BP210" t="s">
        <v>198</v>
      </c>
      <c r="BQ210" t="s">
        <v>198</v>
      </c>
      <c r="BR210" t="s">
        <v>198</v>
      </c>
      <c r="BS210" t="s">
        <v>198</v>
      </c>
      <c r="BT210" t="s">
        <v>198</v>
      </c>
      <c r="BU210" t="s">
        <v>198</v>
      </c>
      <c r="BV210" t="s">
        <v>198</v>
      </c>
      <c r="BW210" t="s">
        <v>198</v>
      </c>
      <c r="BX210" t="s">
        <v>198</v>
      </c>
      <c r="BY210" t="s">
        <v>198</v>
      </c>
      <c r="BZ210" t="s">
        <v>198</v>
      </c>
      <c r="CA210" t="s">
        <v>198</v>
      </c>
      <c r="CB210" t="s">
        <v>204</v>
      </c>
      <c r="CC210" t="s">
        <v>204</v>
      </c>
      <c r="CD210" t="s">
        <v>204</v>
      </c>
      <c r="CE210" t="s">
        <v>204</v>
      </c>
      <c r="CF210" t="s">
        <v>204</v>
      </c>
      <c r="CG210" t="s">
        <v>204</v>
      </c>
      <c r="CH210" t="s">
        <v>204</v>
      </c>
      <c r="CI210" t="s">
        <v>204</v>
      </c>
      <c r="CJ210" t="s">
        <v>204</v>
      </c>
      <c r="CK210" t="s">
        <v>204</v>
      </c>
      <c r="CL210" t="s">
        <v>204</v>
      </c>
      <c r="CM210" t="s">
        <v>204</v>
      </c>
      <c r="CN210" t="s">
        <v>203</v>
      </c>
      <c r="CO210" t="s">
        <v>203</v>
      </c>
      <c r="CP210" t="s">
        <v>203</v>
      </c>
      <c r="CQ210" t="s">
        <v>203</v>
      </c>
      <c r="CR210" t="s">
        <v>203</v>
      </c>
      <c r="CS210" t="s">
        <v>203</v>
      </c>
      <c r="CT210" t="s">
        <v>203</v>
      </c>
      <c r="CU210" t="s">
        <v>203</v>
      </c>
      <c r="CV210">
        <v>0</v>
      </c>
      <c r="CW210">
        <v>0</v>
      </c>
      <c r="CX210" t="s">
        <v>198</v>
      </c>
      <c r="CY210" t="s">
        <v>198</v>
      </c>
      <c r="CZ210" t="s">
        <v>198</v>
      </c>
      <c r="DA210" t="s">
        <v>198</v>
      </c>
      <c r="DB210" t="s">
        <v>198</v>
      </c>
      <c r="DC210">
        <v>0</v>
      </c>
      <c r="DD210">
        <v>0</v>
      </c>
      <c r="DE210">
        <v>0</v>
      </c>
      <c r="DF210">
        <v>0</v>
      </c>
      <c r="DG210">
        <v>-35.3631166</v>
      </c>
      <c r="DH210">
        <v>149.1639735</v>
      </c>
      <c r="DI210" t="s">
        <v>360</v>
      </c>
      <c r="DJ210">
        <v>1.2</v>
      </c>
      <c r="DK210">
        <v>2</v>
      </c>
      <c r="DL210">
        <v>159.8</v>
      </c>
      <c r="DM210">
        <v>0</v>
      </c>
      <c r="DN210">
        <v>6</v>
      </c>
      <c r="DO210">
        <v>10</v>
      </c>
      <c r="DP210">
        <v>0</v>
      </c>
      <c r="DQ210">
        <v>255</v>
      </c>
      <c r="DR210">
        <v>255</v>
      </c>
      <c r="DS210">
        <v>255</v>
      </c>
      <c r="DT210">
        <v>255</v>
      </c>
      <c r="DU210">
        <v>255</v>
      </c>
      <c r="DV210">
        <v>255</v>
      </c>
      <c r="DW210">
        <v>255</v>
      </c>
      <c r="DX210" t="s">
        <v>206</v>
      </c>
      <c r="DY210" t="s">
        <v>206</v>
      </c>
      <c r="DZ210" t="s">
        <v>207</v>
      </c>
      <c r="EA210" t="s">
        <v>198</v>
      </c>
      <c r="EB210" t="s">
        <v>198</v>
      </c>
      <c r="EC210" t="s">
        <v>198</v>
      </c>
      <c r="ED210">
        <v>0</v>
      </c>
      <c r="EE210">
        <v>0</v>
      </c>
      <c r="EF210">
        <v>0</v>
      </c>
      <c r="EG210">
        <v>0</v>
      </c>
      <c r="EH210">
        <v>255</v>
      </c>
      <c r="EI210">
        <v>255</v>
      </c>
      <c r="EJ210">
        <v>255</v>
      </c>
      <c r="EK210">
        <v>255</v>
      </c>
      <c r="EL210">
        <v>255</v>
      </c>
      <c r="EM210">
        <v>255</v>
      </c>
      <c r="EN210">
        <v>255</v>
      </c>
      <c r="EO210">
        <v>255</v>
      </c>
      <c r="EP210">
        <v>255</v>
      </c>
      <c r="EQ210">
        <v>255</v>
      </c>
      <c r="ER210" t="s">
        <v>208</v>
      </c>
      <c r="ES210" t="s">
        <v>209</v>
      </c>
      <c r="ET210" t="s">
        <v>209</v>
      </c>
      <c r="EU210">
        <v>0</v>
      </c>
      <c r="EV210">
        <v>16.2</v>
      </c>
      <c r="EW210">
        <v>-114.7</v>
      </c>
      <c r="EX210">
        <v>-0.2</v>
      </c>
      <c r="EY210">
        <v>0</v>
      </c>
      <c r="EZ210">
        <v>0</v>
      </c>
      <c r="FA210">
        <v>0</v>
      </c>
      <c r="FB210" t="s">
        <v>198</v>
      </c>
      <c r="FC210" t="s">
        <v>198</v>
      </c>
      <c r="FD210" t="s">
        <v>198</v>
      </c>
      <c r="FE210" t="s">
        <v>198</v>
      </c>
      <c r="FF210" t="s">
        <v>198</v>
      </c>
      <c r="FG210" t="s">
        <v>198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 t="s">
        <v>203</v>
      </c>
      <c r="FP210" t="s">
        <v>203</v>
      </c>
      <c r="FQ210" t="s">
        <v>203</v>
      </c>
      <c r="FR210" t="s">
        <v>203</v>
      </c>
      <c r="FS210" t="s">
        <v>203</v>
      </c>
      <c r="FT210" t="s">
        <v>203</v>
      </c>
      <c r="FU210" t="s">
        <v>198</v>
      </c>
      <c r="FV210" t="s">
        <v>198</v>
      </c>
      <c r="FW210" t="s">
        <v>198</v>
      </c>
      <c r="FX210" t="s">
        <v>198</v>
      </c>
      <c r="FY210" t="s">
        <v>198</v>
      </c>
      <c r="FZ210" t="s">
        <v>198</v>
      </c>
      <c r="GA210">
        <v>31.2</v>
      </c>
      <c r="GB210">
        <v>31.2</v>
      </c>
      <c r="GC210" t="s">
        <v>203</v>
      </c>
      <c r="GD210">
        <v>0</v>
      </c>
      <c r="GE210">
        <v>504</v>
      </c>
      <c r="GF210">
        <v>0</v>
      </c>
      <c r="GG210">
        <v>0</v>
      </c>
      <c r="GH210">
        <v>0</v>
      </c>
      <c r="GI210">
        <v>1</v>
      </c>
      <c r="GJ210">
        <v>1</v>
      </c>
      <c r="GK210">
        <v>0</v>
      </c>
      <c r="GL210" t="s">
        <v>198</v>
      </c>
      <c r="GM210" t="s">
        <v>198</v>
      </c>
      <c r="GN210" t="s">
        <v>198</v>
      </c>
    </row>
    <row r="211" spans="1:196">
      <c r="A211" s="19">
        <v>46316.90632341435</v>
      </c>
      <c r="B211">
        <v>0</v>
      </c>
      <c r="C211">
        <v>0</v>
      </c>
      <c r="D211">
        <v>277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584.2</v>
      </c>
      <c r="N211">
        <v>-0.5</v>
      </c>
      <c r="O211">
        <v>0</v>
      </c>
      <c r="P211">
        <v>0</v>
      </c>
      <c r="Q211">
        <v>0</v>
      </c>
      <c r="R211">
        <v>0</v>
      </c>
      <c r="S211">
        <v>115.6</v>
      </c>
      <c r="T211" t="s">
        <v>485</v>
      </c>
      <c r="U211">
        <v>115.7</v>
      </c>
      <c r="V211">
        <v>1762727256586.8</v>
      </c>
      <c r="W211">
        <v>1</v>
      </c>
      <c r="X211" t="s">
        <v>197</v>
      </c>
      <c r="Y211">
        <v>0</v>
      </c>
      <c r="Z211">
        <v>98</v>
      </c>
      <c r="AA211">
        <v>278</v>
      </c>
      <c r="AB211" t="s">
        <v>197</v>
      </c>
      <c r="AC211" t="s">
        <v>198</v>
      </c>
      <c r="AD211" t="s">
        <v>199</v>
      </c>
      <c r="AE211">
        <v>0</v>
      </c>
      <c r="AF211">
        <v>44</v>
      </c>
      <c r="AG211">
        <v>255</v>
      </c>
      <c r="AH211">
        <v>0</v>
      </c>
      <c r="AI211">
        <v>0</v>
      </c>
      <c r="AJ211">
        <v>0</v>
      </c>
      <c r="AK211">
        <v>12.6</v>
      </c>
      <c r="AL211">
        <v>0</v>
      </c>
      <c r="AM211">
        <v>0</v>
      </c>
      <c r="AN211" t="s">
        <v>197</v>
      </c>
      <c r="AO211">
        <v>100</v>
      </c>
      <c r="AP211" t="s">
        <v>197</v>
      </c>
      <c r="AQ211" t="s">
        <v>200</v>
      </c>
      <c r="AR211">
        <v>1</v>
      </c>
      <c r="AS211">
        <v>0</v>
      </c>
      <c r="AT211" t="s">
        <v>557</v>
      </c>
      <c r="AU211" t="s">
        <v>557</v>
      </c>
      <c r="AV211" t="s">
        <v>202</v>
      </c>
      <c r="AW211" t="s">
        <v>203</v>
      </c>
      <c r="AX211" t="s">
        <v>203</v>
      </c>
      <c r="AY211" t="s">
        <v>203</v>
      </c>
      <c r="AZ211" t="s">
        <v>203</v>
      </c>
      <c r="BA211" t="s">
        <v>203</v>
      </c>
      <c r="BB211" t="s">
        <v>203</v>
      </c>
      <c r="BC211" t="s">
        <v>203</v>
      </c>
      <c r="BD211" t="s">
        <v>203</v>
      </c>
      <c r="BE211" t="s">
        <v>203</v>
      </c>
      <c r="BF211">
        <v>0</v>
      </c>
      <c r="BG211">
        <v>0.2</v>
      </c>
      <c r="BH211">
        <v>50</v>
      </c>
      <c r="BI211">
        <v>0</v>
      </c>
      <c r="BJ211" t="s">
        <v>198</v>
      </c>
      <c r="BK211" t="s">
        <v>198</v>
      </c>
      <c r="BL211" t="s">
        <v>198</v>
      </c>
      <c r="BM211" t="s">
        <v>198</v>
      </c>
      <c r="BN211" t="s">
        <v>198</v>
      </c>
      <c r="BO211" t="s">
        <v>198</v>
      </c>
      <c r="BP211" t="s">
        <v>198</v>
      </c>
      <c r="BQ211" t="s">
        <v>198</v>
      </c>
      <c r="BR211" t="s">
        <v>198</v>
      </c>
      <c r="BS211" t="s">
        <v>198</v>
      </c>
      <c r="BT211" t="s">
        <v>198</v>
      </c>
      <c r="BU211" t="s">
        <v>198</v>
      </c>
      <c r="BV211" t="s">
        <v>198</v>
      </c>
      <c r="BW211" t="s">
        <v>198</v>
      </c>
      <c r="BX211" t="s">
        <v>198</v>
      </c>
      <c r="BY211" t="s">
        <v>198</v>
      </c>
      <c r="BZ211" t="s">
        <v>198</v>
      </c>
      <c r="CA211" t="s">
        <v>198</v>
      </c>
      <c r="CB211" t="s">
        <v>204</v>
      </c>
      <c r="CC211" t="s">
        <v>204</v>
      </c>
      <c r="CD211" t="s">
        <v>204</v>
      </c>
      <c r="CE211" t="s">
        <v>204</v>
      </c>
      <c r="CF211" t="s">
        <v>204</v>
      </c>
      <c r="CG211" t="s">
        <v>204</v>
      </c>
      <c r="CH211" t="s">
        <v>204</v>
      </c>
      <c r="CI211" t="s">
        <v>204</v>
      </c>
      <c r="CJ211" t="s">
        <v>204</v>
      </c>
      <c r="CK211" t="s">
        <v>204</v>
      </c>
      <c r="CL211" t="s">
        <v>204</v>
      </c>
      <c r="CM211" t="s">
        <v>204</v>
      </c>
      <c r="CN211" t="s">
        <v>203</v>
      </c>
      <c r="CO211" t="s">
        <v>203</v>
      </c>
      <c r="CP211" t="s">
        <v>203</v>
      </c>
      <c r="CQ211" t="s">
        <v>203</v>
      </c>
      <c r="CR211" t="s">
        <v>203</v>
      </c>
      <c r="CS211" t="s">
        <v>203</v>
      </c>
      <c r="CT211" t="s">
        <v>203</v>
      </c>
      <c r="CU211" t="s">
        <v>203</v>
      </c>
      <c r="CV211">
        <v>0</v>
      </c>
      <c r="CW211">
        <v>0</v>
      </c>
      <c r="CX211" t="s">
        <v>198</v>
      </c>
      <c r="CY211" t="s">
        <v>198</v>
      </c>
      <c r="CZ211" t="s">
        <v>198</v>
      </c>
      <c r="DA211" t="s">
        <v>198</v>
      </c>
      <c r="DB211" t="s">
        <v>198</v>
      </c>
      <c r="DC211">
        <v>0</v>
      </c>
      <c r="DD211">
        <v>0</v>
      </c>
      <c r="DE211">
        <v>0</v>
      </c>
      <c r="DF211">
        <v>0</v>
      </c>
      <c r="DG211">
        <v>-35.3631166</v>
      </c>
      <c r="DH211">
        <v>149.1639735</v>
      </c>
      <c r="DI211" t="s">
        <v>360</v>
      </c>
      <c r="DJ211">
        <v>1.2</v>
      </c>
      <c r="DK211">
        <v>2</v>
      </c>
      <c r="DL211">
        <v>159.8</v>
      </c>
      <c r="DM211">
        <v>0</v>
      </c>
      <c r="DN211">
        <v>6</v>
      </c>
      <c r="DO211">
        <v>10</v>
      </c>
      <c r="DP211">
        <v>0</v>
      </c>
      <c r="DQ211">
        <v>255</v>
      </c>
      <c r="DR211">
        <v>255</v>
      </c>
      <c r="DS211">
        <v>255</v>
      </c>
      <c r="DT211">
        <v>255</v>
      </c>
      <c r="DU211">
        <v>255</v>
      </c>
      <c r="DV211">
        <v>255</v>
      </c>
      <c r="DW211">
        <v>255</v>
      </c>
      <c r="DX211" t="s">
        <v>206</v>
      </c>
      <c r="DY211" t="s">
        <v>206</v>
      </c>
      <c r="DZ211" t="s">
        <v>207</v>
      </c>
      <c r="EA211" t="s">
        <v>198</v>
      </c>
      <c r="EB211" t="s">
        <v>198</v>
      </c>
      <c r="EC211" t="s">
        <v>198</v>
      </c>
      <c r="ED211">
        <v>0</v>
      </c>
      <c r="EE211">
        <v>0</v>
      </c>
      <c r="EF211">
        <v>0</v>
      </c>
      <c r="EG211">
        <v>0</v>
      </c>
      <c r="EH211">
        <v>255</v>
      </c>
      <c r="EI211">
        <v>255</v>
      </c>
      <c r="EJ211">
        <v>255</v>
      </c>
      <c r="EK211">
        <v>255</v>
      </c>
      <c r="EL211">
        <v>255</v>
      </c>
      <c r="EM211">
        <v>255</v>
      </c>
      <c r="EN211">
        <v>255</v>
      </c>
      <c r="EO211">
        <v>255</v>
      </c>
      <c r="EP211">
        <v>255</v>
      </c>
      <c r="EQ211">
        <v>255</v>
      </c>
      <c r="ER211" t="s">
        <v>208</v>
      </c>
      <c r="ES211" t="s">
        <v>209</v>
      </c>
      <c r="ET211" t="s">
        <v>209</v>
      </c>
      <c r="EU211">
        <v>0</v>
      </c>
      <c r="EV211">
        <v>16.2</v>
      </c>
      <c r="EW211">
        <v>-114.7</v>
      </c>
      <c r="EX211">
        <v>-0.2</v>
      </c>
      <c r="EY211">
        <v>0</v>
      </c>
      <c r="EZ211">
        <v>0</v>
      </c>
      <c r="FA211">
        <v>0</v>
      </c>
      <c r="FB211" t="s">
        <v>198</v>
      </c>
      <c r="FC211" t="s">
        <v>198</v>
      </c>
      <c r="FD211" t="s">
        <v>198</v>
      </c>
      <c r="FE211" t="s">
        <v>198</v>
      </c>
      <c r="FF211" t="s">
        <v>198</v>
      </c>
      <c r="FG211" t="s">
        <v>198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 t="s">
        <v>203</v>
      </c>
      <c r="FP211" t="s">
        <v>203</v>
      </c>
      <c r="FQ211" t="s">
        <v>203</v>
      </c>
      <c r="FR211" t="s">
        <v>203</v>
      </c>
      <c r="FS211" t="s">
        <v>203</v>
      </c>
      <c r="FT211" t="s">
        <v>203</v>
      </c>
      <c r="FU211" t="s">
        <v>198</v>
      </c>
      <c r="FV211" t="s">
        <v>198</v>
      </c>
      <c r="FW211" t="s">
        <v>198</v>
      </c>
      <c r="FX211" t="s">
        <v>198</v>
      </c>
      <c r="FY211" t="s">
        <v>198</v>
      </c>
      <c r="FZ211" t="s">
        <v>198</v>
      </c>
      <c r="GA211">
        <v>31.2</v>
      </c>
      <c r="GB211">
        <v>31.2</v>
      </c>
      <c r="GC211" t="s">
        <v>203</v>
      </c>
      <c r="GD211">
        <v>0</v>
      </c>
      <c r="GE211">
        <v>504</v>
      </c>
      <c r="GF211">
        <v>0</v>
      </c>
      <c r="GG211">
        <v>0</v>
      </c>
      <c r="GH211">
        <v>0</v>
      </c>
      <c r="GI211">
        <v>1</v>
      </c>
      <c r="GJ211">
        <v>1</v>
      </c>
      <c r="GK211">
        <v>0</v>
      </c>
      <c r="GL211" t="s">
        <v>198</v>
      </c>
      <c r="GM211" t="s">
        <v>198</v>
      </c>
      <c r="GN211" t="s">
        <v>198</v>
      </c>
    </row>
    <row r="212" spans="1:196">
      <c r="A212" s="19">
        <v>46316.90633498842</v>
      </c>
      <c r="B212">
        <v>0</v>
      </c>
      <c r="C212">
        <v>0</v>
      </c>
      <c r="D212">
        <v>277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584.2</v>
      </c>
      <c r="N212">
        <v>-0.5</v>
      </c>
      <c r="O212">
        <v>0</v>
      </c>
      <c r="P212">
        <v>0</v>
      </c>
      <c r="Q212">
        <v>0</v>
      </c>
      <c r="R212">
        <v>0</v>
      </c>
      <c r="S212">
        <v>115.6</v>
      </c>
      <c r="T212" t="s">
        <v>485</v>
      </c>
      <c r="U212">
        <v>115.7</v>
      </c>
      <c r="V212">
        <v>1762727256586.8</v>
      </c>
      <c r="W212">
        <v>1</v>
      </c>
      <c r="X212" t="s">
        <v>197</v>
      </c>
      <c r="Y212">
        <v>0</v>
      </c>
      <c r="Z212">
        <v>98</v>
      </c>
      <c r="AA212">
        <v>278</v>
      </c>
      <c r="AB212" t="s">
        <v>197</v>
      </c>
      <c r="AC212" t="s">
        <v>198</v>
      </c>
      <c r="AD212" t="s">
        <v>199</v>
      </c>
      <c r="AE212">
        <v>0</v>
      </c>
      <c r="AF212">
        <v>44</v>
      </c>
      <c r="AG212">
        <v>255</v>
      </c>
      <c r="AH212">
        <v>0</v>
      </c>
      <c r="AI212">
        <v>0</v>
      </c>
      <c r="AJ212">
        <v>0</v>
      </c>
      <c r="AK212">
        <v>12.6</v>
      </c>
      <c r="AL212">
        <v>0</v>
      </c>
      <c r="AM212">
        <v>0</v>
      </c>
      <c r="AN212" t="s">
        <v>197</v>
      </c>
      <c r="AO212">
        <v>100</v>
      </c>
      <c r="AP212" t="s">
        <v>197</v>
      </c>
      <c r="AQ212" t="s">
        <v>200</v>
      </c>
      <c r="AR212">
        <v>1</v>
      </c>
      <c r="AS212">
        <v>0</v>
      </c>
      <c r="AT212" t="s">
        <v>558</v>
      </c>
      <c r="AU212" t="s">
        <v>558</v>
      </c>
      <c r="AV212" t="s">
        <v>202</v>
      </c>
      <c r="AW212" t="s">
        <v>203</v>
      </c>
      <c r="AX212" t="s">
        <v>203</v>
      </c>
      <c r="AY212" t="s">
        <v>203</v>
      </c>
      <c r="AZ212" t="s">
        <v>203</v>
      </c>
      <c r="BA212" t="s">
        <v>203</v>
      </c>
      <c r="BB212" t="s">
        <v>203</v>
      </c>
      <c r="BC212" t="s">
        <v>203</v>
      </c>
      <c r="BD212" t="s">
        <v>203</v>
      </c>
      <c r="BE212" t="s">
        <v>203</v>
      </c>
      <c r="BF212">
        <v>0</v>
      </c>
      <c r="BG212">
        <v>0.2</v>
      </c>
      <c r="BH212">
        <v>50</v>
      </c>
      <c r="BI212">
        <v>0</v>
      </c>
      <c r="BJ212" t="s">
        <v>198</v>
      </c>
      <c r="BK212" t="s">
        <v>198</v>
      </c>
      <c r="BL212" t="s">
        <v>198</v>
      </c>
      <c r="BM212" t="s">
        <v>198</v>
      </c>
      <c r="BN212" t="s">
        <v>198</v>
      </c>
      <c r="BO212" t="s">
        <v>198</v>
      </c>
      <c r="BP212" t="s">
        <v>198</v>
      </c>
      <c r="BQ212" t="s">
        <v>198</v>
      </c>
      <c r="BR212" t="s">
        <v>198</v>
      </c>
      <c r="BS212" t="s">
        <v>198</v>
      </c>
      <c r="BT212" t="s">
        <v>198</v>
      </c>
      <c r="BU212" t="s">
        <v>198</v>
      </c>
      <c r="BV212" t="s">
        <v>198</v>
      </c>
      <c r="BW212" t="s">
        <v>198</v>
      </c>
      <c r="BX212" t="s">
        <v>198</v>
      </c>
      <c r="BY212" t="s">
        <v>198</v>
      </c>
      <c r="BZ212" t="s">
        <v>198</v>
      </c>
      <c r="CA212" t="s">
        <v>198</v>
      </c>
      <c r="CB212" t="s">
        <v>204</v>
      </c>
      <c r="CC212" t="s">
        <v>204</v>
      </c>
      <c r="CD212" t="s">
        <v>204</v>
      </c>
      <c r="CE212" t="s">
        <v>204</v>
      </c>
      <c r="CF212" t="s">
        <v>204</v>
      </c>
      <c r="CG212" t="s">
        <v>204</v>
      </c>
      <c r="CH212" t="s">
        <v>204</v>
      </c>
      <c r="CI212" t="s">
        <v>204</v>
      </c>
      <c r="CJ212" t="s">
        <v>204</v>
      </c>
      <c r="CK212" t="s">
        <v>204</v>
      </c>
      <c r="CL212" t="s">
        <v>204</v>
      </c>
      <c r="CM212" t="s">
        <v>204</v>
      </c>
      <c r="CN212" t="s">
        <v>203</v>
      </c>
      <c r="CO212" t="s">
        <v>203</v>
      </c>
      <c r="CP212" t="s">
        <v>203</v>
      </c>
      <c r="CQ212" t="s">
        <v>203</v>
      </c>
      <c r="CR212" t="s">
        <v>203</v>
      </c>
      <c r="CS212" t="s">
        <v>203</v>
      </c>
      <c r="CT212" t="s">
        <v>203</v>
      </c>
      <c r="CU212" t="s">
        <v>203</v>
      </c>
      <c r="CV212">
        <v>0</v>
      </c>
      <c r="CW212">
        <v>0</v>
      </c>
      <c r="CX212" t="s">
        <v>198</v>
      </c>
      <c r="CY212" t="s">
        <v>198</v>
      </c>
      <c r="CZ212" t="s">
        <v>198</v>
      </c>
      <c r="DA212" t="s">
        <v>198</v>
      </c>
      <c r="DB212" t="s">
        <v>198</v>
      </c>
      <c r="DC212">
        <v>0</v>
      </c>
      <c r="DD212">
        <v>0</v>
      </c>
      <c r="DE212">
        <v>0</v>
      </c>
      <c r="DF212">
        <v>0</v>
      </c>
      <c r="DG212">
        <v>-35.3631166</v>
      </c>
      <c r="DH212">
        <v>149.1639735</v>
      </c>
      <c r="DI212" t="s">
        <v>360</v>
      </c>
      <c r="DJ212">
        <v>1.2</v>
      </c>
      <c r="DK212">
        <v>2</v>
      </c>
      <c r="DL212">
        <v>159.8</v>
      </c>
      <c r="DM212">
        <v>0</v>
      </c>
      <c r="DN212">
        <v>6</v>
      </c>
      <c r="DO212">
        <v>10</v>
      </c>
      <c r="DP212">
        <v>0</v>
      </c>
      <c r="DQ212">
        <v>255</v>
      </c>
      <c r="DR212">
        <v>255</v>
      </c>
      <c r="DS212">
        <v>255</v>
      </c>
      <c r="DT212">
        <v>255</v>
      </c>
      <c r="DU212">
        <v>255</v>
      </c>
      <c r="DV212">
        <v>255</v>
      </c>
      <c r="DW212">
        <v>255</v>
      </c>
      <c r="DX212" t="s">
        <v>206</v>
      </c>
      <c r="DY212" t="s">
        <v>206</v>
      </c>
      <c r="DZ212" t="s">
        <v>207</v>
      </c>
      <c r="EA212" t="s">
        <v>198</v>
      </c>
      <c r="EB212" t="s">
        <v>198</v>
      </c>
      <c r="EC212" t="s">
        <v>198</v>
      </c>
      <c r="ED212">
        <v>0</v>
      </c>
      <c r="EE212">
        <v>0</v>
      </c>
      <c r="EF212">
        <v>0</v>
      </c>
      <c r="EG212">
        <v>0</v>
      </c>
      <c r="EH212">
        <v>255</v>
      </c>
      <c r="EI212">
        <v>255</v>
      </c>
      <c r="EJ212">
        <v>255</v>
      </c>
      <c r="EK212">
        <v>255</v>
      </c>
      <c r="EL212">
        <v>255</v>
      </c>
      <c r="EM212">
        <v>255</v>
      </c>
      <c r="EN212">
        <v>255</v>
      </c>
      <c r="EO212">
        <v>255</v>
      </c>
      <c r="EP212">
        <v>255</v>
      </c>
      <c r="EQ212">
        <v>255</v>
      </c>
      <c r="ER212" t="s">
        <v>208</v>
      </c>
      <c r="ES212" t="s">
        <v>209</v>
      </c>
      <c r="ET212" t="s">
        <v>209</v>
      </c>
      <c r="EU212">
        <v>0</v>
      </c>
      <c r="EV212">
        <v>16.2</v>
      </c>
      <c r="EW212">
        <v>-114.7</v>
      </c>
      <c r="EX212">
        <v>-0.2</v>
      </c>
      <c r="EY212">
        <v>0</v>
      </c>
      <c r="EZ212">
        <v>0</v>
      </c>
      <c r="FA212">
        <v>0</v>
      </c>
      <c r="FB212" t="s">
        <v>198</v>
      </c>
      <c r="FC212" t="s">
        <v>198</v>
      </c>
      <c r="FD212" t="s">
        <v>198</v>
      </c>
      <c r="FE212" t="s">
        <v>198</v>
      </c>
      <c r="FF212" t="s">
        <v>198</v>
      </c>
      <c r="FG212" t="s">
        <v>198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 t="s">
        <v>203</v>
      </c>
      <c r="FP212" t="s">
        <v>203</v>
      </c>
      <c r="FQ212" t="s">
        <v>203</v>
      </c>
      <c r="FR212" t="s">
        <v>203</v>
      </c>
      <c r="FS212" t="s">
        <v>203</v>
      </c>
      <c r="FT212" t="s">
        <v>203</v>
      </c>
      <c r="FU212" t="s">
        <v>198</v>
      </c>
      <c r="FV212" t="s">
        <v>198</v>
      </c>
      <c r="FW212" t="s">
        <v>198</v>
      </c>
      <c r="FX212" t="s">
        <v>198</v>
      </c>
      <c r="FY212" t="s">
        <v>198</v>
      </c>
      <c r="FZ212" t="s">
        <v>198</v>
      </c>
      <c r="GA212">
        <v>31.2</v>
      </c>
      <c r="GB212">
        <v>31.2</v>
      </c>
      <c r="GC212" t="s">
        <v>203</v>
      </c>
      <c r="GD212">
        <v>0</v>
      </c>
      <c r="GE212">
        <v>504</v>
      </c>
      <c r="GF212">
        <v>0</v>
      </c>
      <c r="GG212">
        <v>0</v>
      </c>
      <c r="GH212">
        <v>0</v>
      </c>
      <c r="GI212">
        <v>1</v>
      </c>
      <c r="GJ212">
        <v>1</v>
      </c>
      <c r="GK212">
        <v>0</v>
      </c>
      <c r="GL212" t="s">
        <v>198</v>
      </c>
      <c r="GM212" t="s">
        <v>198</v>
      </c>
      <c r="GN212" t="s">
        <v>198</v>
      </c>
    </row>
    <row r="213" spans="1:196">
      <c r="A213" s="19">
        <v>46316.9063465625</v>
      </c>
      <c r="B213">
        <v>0</v>
      </c>
      <c r="C213">
        <v>0</v>
      </c>
      <c r="D213">
        <v>277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584.2</v>
      </c>
      <c r="N213">
        <v>-0.5</v>
      </c>
      <c r="O213">
        <v>0</v>
      </c>
      <c r="P213">
        <v>0</v>
      </c>
      <c r="Q213">
        <v>0</v>
      </c>
      <c r="R213">
        <v>0</v>
      </c>
      <c r="S213">
        <v>115.6</v>
      </c>
      <c r="T213" t="s">
        <v>485</v>
      </c>
      <c r="U213">
        <v>115.7</v>
      </c>
      <c r="V213">
        <v>1762727256586.8</v>
      </c>
      <c r="W213">
        <v>1</v>
      </c>
      <c r="X213" t="s">
        <v>197</v>
      </c>
      <c r="Y213">
        <v>0</v>
      </c>
      <c r="Z213">
        <v>98</v>
      </c>
      <c r="AA213">
        <v>278</v>
      </c>
      <c r="AB213" t="s">
        <v>197</v>
      </c>
      <c r="AC213" t="s">
        <v>198</v>
      </c>
      <c r="AD213" t="s">
        <v>199</v>
      </c>
      <c r="AE213">
        <v>0</v>
      </c>
      <c r="AF213">
        <v>44</v>
      </c>
      <c r="AG213">
        <v>255</v>
      </c>
      <c r="AH213">
        <v>0</v>
      </c>
      <c r="AI213">
        <v>0</v>
      </c>
      <c r="AJ213">
        <v>0</v>
      </c>
      <c r="AK213">
        <v>12.6</v>
      </c>
      <c r="AL213">
        <v>0</v>
      </c>
      <c r="AM213">
        <v>0</v>
      </c>
      <c r="AN213" t="s">
        <v>197</v>
      </c>
      <c r="AO213">
        <v>100</v>
      </c>
      <c r="AP213" t="s">
        <v>197</v>
      </c>
      <c r="AQ213" t="s">
        <v>200</v>
      </c>
      <c r="AR213">
        <v>1</v>
      </c>
      <c r="AS213">
        <v>0</v>
      </c>
      <c r="AT213" t="s">
        <v>559</v>
      </c>
      <c r="AU213" t="s">
        <v>559</v>
      </c>
      <c r="AV213" t="s">
        <v>202</v>
      </c>
      <c r="AW213" t="s">
        <v>203</v>
      </c>
      <c r="AX213" t="s">
        <v>203</v>
      </c>
      <c r="AY213" t="s">
        <v>203</v>
      </c>
      <c r="AZ213" t="s">
        <v>203</v>
      </c>
      <c r="BA213" t="s">
        <v>203</v>
      </c>
      <c r="BB213" t="s">
        <v>203</v>
      </c>
      <c r="BC213" t="s">
        <v>203</v>
      </c>
      <c r="BD213" t="s">
        <v>203</v>
      </c>
      <c r="BE213" t="s">
        <v>203</v>
      </c>
      <c r="BF213">
        <v>0</v>
      </c>
      <c r="BG213">
        <v>0.2</v>
      </c>
      <c r="BH213">
        <v>50</v>
      </c>
      <c r="BI213">
        <v>0</v>
      </c>
      <c r="BJ213" t="s">
        <v>198</v>
      </c>
      <c r="BK213" t="s">
        <v>198</v>
      </c>
      <c r="BL213" t="s">
        <v>198</v>
      </c>
      <c r="BM213" t="s">
        <v>198</v>
      </c>
      <c r="BN213" t="s">
        <v>198</v>
      </c>
      <c r="BO213" t="s">
        <v>198</v>
      </c>
      <c r="BP213" t="s">
        <v>198</v>
      </c>
      <c r="BQ213" t="s">
        <v>198</v>
      </c>
      <c r="BR213" t="s">
        <v>198</v>
      </c>
      <c r="BS213" t="s">
        <v>198</v>
      </c>
      <c r="BT213" t="s">
        <v>198</v>
      </c>
      <c r="BU213" t="s">
        <v>198</v>
      </c>
      <c r="BV213" t="s">
        <v>198</v>
      </c>
      <c r="BW213" t="s">
        <v>198</v>
      </c>
      <c r="BX213" t="s">
        <v>198</v>
      </c>
      <c r="BY213" t="s">
        <v>198</v>
      </c>
      <c r="BZ213" t="s">
        <v>198</v>
      </c>
      <c r="CA213" t="s">
        <v>198</v>
      </c>
      <c r="CB213" t="s">
        <v>204</v>
      </c>
      <c r="CC213" t="s">
        <v>204</v>
      </c>
      <c r="CD213" t="s">
        <v>204</v>
      </c>
      <c r="CE213" t="s">
        <v>204</v>
      </c>
      <c r="CF213" t="s">
        <v>204</v>
      </c>
      <c r="CG213" t="s">
        <v>204</v>
      </c>
      <c r="CH213" t="s">
        <v>204</v>
      </c>
      <c r="CI213" t="s">
        <v>204</v>
      </c>
      <c r="CJ213" t="s">
        <v>204</v>
      </c>
      <c r="CK213" t="s">
        <v>204</v>
      </c>
      <c r="CL213" t="s">
        <v>204</v>
      </c>
      <c r="CM213" t="s">
        <v>204</v>
      </c>
      <c r="CN213" t="s">
        <v>203</v>
      </c>
      <c r="CO213" t="s">
        <v>203</v>
      </c>
      <c r="CP213" t="s">
        <v>203</v>
      </c>
      <c r="CQ213" t="s">
        <v>203</v>
      </c>
      <c r="CR213" t="s">
        <v>203</v>
      </c>
      <c r="CS213" t="s">
        <v>203</v>
      </c>
      <c r="CT213" t="s">
        <v>203</v>
      </c>
      <c r="CU213" t="s">
        <v>203</v>
      </c>
      <c r="CV213">
        <v>0</v>
      </c>
      <c r="CW213">
        <v>0</v>
      </c>
      <c r="CX213" t="s">
        <v>198</v>
      </c>
      <c r="CY213" t="s">
        <v>198</v>
      </c>
      <c r="CZ213" t="s">
        <v>198</v>
      </c>
      <c r="DA213" t="s">
        <v>198</v>
      </c>
      <c r="DB213" t="s">
        <v>198</v>
      </c>
      <c r="DC213">
        <v>0</v>
      </c>
      <c r="DD213">
        <v>0</v>
      </c>
      <c r="DE213">
        <v>0</v>
      </c>
      <c r="DF213">
        <v>0</v>
      </c>
      <c r="DG213">
        <v>-35.3631166</v>
      </c>
      <c r="DH213">
        <v>149.1639735</v>
      </c>
      <c r="DI213" t="s">
        <v>360</v>
      </c>
      <c r="DJ213">
        <v>1.2</v>
      </c>
      <c r="DK213">
        <v>2</v>
      </c>
      <c r="DL213">
        <v>159.8</v>
      </c>
      <c r="DM213">
        <v>0</v>
      </c>
      <c r="DN213">
        <v>6</v>
      </c>
      <c r="DO213">
        <v>10</v>
      </c>
      <c r="DP213">
        <v>0</v>
      </c>
      <c r="DQ213">
        <v>255</v>
      </c>
      <c r="DR213">
        <v>255</v>
      </c>
      <c r="DS213">
        <v>255</v>
      </c>
      <c r="DT213">
        <v>255</v>
      </c>
      <c r="DU213">
        <v>255</v>
      </c>
      <c r="DV213">
        <v>255</v>
      </c>
      <c r="DW213">
        <v>255</v>
      </c>
      <c r="DX213" t="s">
        <v>206</v>
      </c>
      <c r="DY213" t="s">
        <v>206</v>
      </c>
      <c r="DZ213" t="s">
        <v>207</v>
      </c>
      <c r="EA213" t="s">
        <v>198</v>
      </c>
      <c r="EB213" t="s">
        <v>198</v>
      </c>
      <c r="EC213" t="s">
        <v>198</v>
      </c>
      <c r="ED213">
        <v>0</v>
      </c>
      <c r="EE213">
        <v>0</v>
      </c>
      <c r="EF213">
        <v>0</v>
      </c>
      <c r="EG213">
        <v>0</v>
      </c>
      <c r="EH213">
        <v>255</v>
      </c>
      <c r="EI213">
        <v>255</v>
      </c>
      <c r="EJ213">
        <v>255</v>
      </c>
      <c r="EK213">
        <v>255</v>
      </c>
      <c r="EL213">
        <v>255</v>
      </c>
      <c r="EM213">
        <v>255</v>
      </c>
      <c r="EN213">
        <v>255</v>
      </c>
      <c r="EO213">
        <v>255</v>
      </c>
      <c r="EP213">
        <v>255</v>
      </c>
      <c r="EQ213">
        <v>255</v>
      </c>
      <c r="ER213" t="s">
        <v>208</v>
      </c>
      <c r="ES213" t="s">
        <v>209</v>
      </c>
      <c r="ET213" t="s">
        <v>209</v>
      </c>
      <c r="EU213">
        <v>0</v>
      </c>
      <c r="EV213">
        <v>16.2</v>
      </c>
      <c r="EW213">
        <v>-114.7</v>
      </c>
      <c r="EX213">
        <v>-0.2</v>
      </c>
      <c r="EY213">
        <v>0</v>
      </c>
      <c r="EZ213">
        <v>0</v>
      </c>
      <c r="FA213">
        <v>0</v>
      </c>
      <c r="FB213" t="s">
        <v>198</v>
      </c>
      <c r="FC213" t="s">
        <v>198</v>
      </c>
      <c r="FD213" t="s">
        <v>198</v>
      </c>
      <c r="FE213" t="s">
        <v>198</v>
      </c>
      <c r="FF213" t="s">
        <v>198</v>
      </c>
      <c r="FG213" t="s">
        <v>198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 t="s">
        <v>203</v>
      </c>
      <c r="FP213" t="s">
        <v>203</v>
      </c>
      <c r="FQ213" t="s">
        <v>203</v>
      </c>
      <c r="FR213" t="s">
        <v>203</v>
      </c>
      <c r="FS213" t="s">
        <v>203</v>
      </c>
      <c r="FT213" t="s">
        <v>203</v>
      </c>
      <c r="FU213" t="s">
        <v>198</v>
      </c>
      <c r="FV213" t="s">
        <v>198</v>
      </c>
      <c r="FW213" t="s">
        <v>198</v>
      </c>
      <c r="FX213" t="s">
        <v>198</v>
      </c>
      <c r="FY213" t="s">
        <v>198</v>
      </c>
      <c r="FZ213" t="s">
        <v>198</v>
      </c>
      <c r="GA213">
        <v>31.2</v>
      </c>
      <c r="GB213">
        <v>31.2</v>
      </c>
      <c r="GC213" t="s">
        <v>203</v>
      </c>
      <c r="GD213">
        <v>0</v>
      </c>
      <c r="GE213">
        <v>504</v>
      </c>
      <c r="GF213">
        <v>0</v>
      </c>
      <c r="GG213">
        <v>0</v>
      </c>
      <c r="GH213">
        <v>0</v>
      </c>
      <c r="GI213">
        <v>1</v>
      </c>
      <c r="GJ213">
        <v>1</v>
      </c>
      <c r="GK213">
        <v>0</v>
      </c>
      <c r="GL213" t="s">
        <v>198</v>
      </c>
      <c r="GM213" t="s">
        <v>198</v>
      </c>
      <c r="GN213" t="s">
        <v>198</v>
      </c>
    </row>
    <row r="214" spans="1:196">
      <c r="A214" s="19">
        <v>46316.90635813658</v>
      </c>
      <c r="B214">
        <v>0</v>
      </c>
      <c r="C214">
        <v>0</v>
      </c>
      <c r="D214">
        <v>277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584.2</v>
      </c>
      <c r="N214">
        <v>-0.5</v>
      </c>
      <c r="O214">
        <v>0</v>
      </c>
      <c r="P214">
        <v>0</v>
      </c>
      <c r="Q214">
        <v>0</v>
      </c>
      <c r="R214">
        <v>0</v>
      </c>
      <c r="S214">
        <v>115.6</v>
      </c>
      <c r="T214" t="s">
        <v>485</v>
      </c>
      <c r="U214">
        <v>115.7</v>
      </c>
      <c r="V214">
        <v>1762727256586.8</v>
      </c>
      <c r="W214">
        <v>1</v>
      </c>
      <c r="X214" t="s">
        <v>197</v>
      </c>
      <c r="Y214">
        <v>0</v>
      </c>
      <c r="Z214">
        <v>98</v>
      </c>
      <c r="AA214">
        <v>278</v>
      </c>
      <c r="AB214" t="s">
        <v>197</v>
      </c>
      <c r="AC214" t="s">
        <v>198</v>
      </c>
      <c r="AD214" t="s">
        <v>199</v>
      </c>
      <c r="AE214">
        <v>0</v>
      </c>
      <c r="AF214">
        <v>44</v>
      </c>
      <c r="AG214">
        <v>255</v>
      </c>
      <c r="AH214">
        <v>0</v>
      </c>
      <c r="AI214">
        <v>0</v>
      </c>
      <c r="AJ214">
        <v>0</v>
      </c>
      <c r="AK214">
        <v>12.6</v>
      </c>
      <c r="AL214">
        <v>0</v>
      </c>
      <c r="AM214">
        <v>0</v>
      </c>
      <c r="AN214" t="s">
        <v>197</v>
      </c>
      <c r="AO214">
        <v>100</v>
      </c>
      <c r="AP214" t="s">
        <v>197</v>
      </c>
      <c r="AQ214" t="s">
        <v>200</v>
      </c>
      <c r="AR214">
        <v>1</v>
      </c>
      <c r="AS214">
        <v>0</v>
      </c>
      <c r="AT214" t="s">
        <v>560</v>
      </c>
      <c r="AU214" t="s">
        <v>560</v>
      </c>
      <c r="AV214" t="s">
        <v>202</v>
      </c>
      <c r="AW214" t="s">
        <v>203</v>
      </c>
      <c r="AX214" t="s">
        <v>203</v>
      </c>
      <c r="AY214" t="s">
        <v>203</v>
      </c>
      <c r="AZ214" t="s">
        <v>203</v>
      </c>
      <c r="BA214" t="s">
        <v>203</v>
      </c>
      <c r="BB214" t="s">
        <v>203</v>
      </c>
      <c r="BC214" t="s">
        <v>203</v>
      </c>
      <c r="BD214" t="s">
        <v>203</v>
      </c>
      <c r="BE214" t="s">
        <v>203</v>
      </c>
      <c r="BF214">
        <v>0</v>
      </c>
      <c r="BG214">
        <v>0.2</v>
      </c>
      <c r="BH214">
        <v>50</v>
      </c>
      <c r="BI214">
        <v>0</v>
      </c>
      <c r="BJ214" t="s">
        <v>198</v>
      </c>
      <c r="BK214" t="s">
        <v>198</v>
      </c>
      <c r="BL214" t="s">
        <v>198</v>
      </c>
      <c r="BM214" t="s">
        <v>198</v>
      </c>
      <c r="BN214" t="s">
        <v>198</v>
      </c>
      <c r="BO214" t="s">
        <v>198</v>
      </c>
      <c r="BP214" t="s">
        <v>198</v>
      </c>
      <c r="BQ214" t="s">
        <v>198</v>
      </c>
      <c r="BR214" t="s">
        <v>198</v>
      </c>
      <c r="BS214" t="s">
        <v>198</v>
      </c>
      <c r="BT214" t="s">
        <v>198</v>
      </c>
      <c r="BU214" t="s">
        <v>198</v>
      </c>
      <c r="BV214" t="s">
        <v>198</v>
      </c>
      <c r="BW214" t="s">
        <v>198</v>
      </c>
      <c r="BX214" t="s">
        <v>198</v>
      </c>
      <c r="BY214" t="s">
        <v>198</v>
      </c>
      <c r="BZ214" t="s">
        <v>198</v>
      </c>
      <c r="CA214" t="s">
        <v>198</v>
      </c>
      <c r="CB214" t="s">
        <v>204</v>
      </c>
      <c r="CC214" t="s">
        <v>204</v>
      </c>
      <c r="CD214" t="s">
        <v>204</v>
      </c>
      <c r="CE214" t="s">
        <v>204</v>
      </c>
      <c r="CF214" t="s">
        <v>204</v>
      </c>
      <c r="CG214" t="s">
        <v>204</v>
      </c>
      <c r="CH214" t="s">
        <v>204</v>
      </c>
      <c r="CI214" t="s">
        <v>204</v>
      </c>
      <c r="CJ214" t="s">
        <v>204</v>
      </c>
      <c r="CK214" t="s">
        <v>204</v>
      </c>
      <c r="CL214" t="s">
        <v>204</v>
      </c>
      <c r="CM214" t="s">
        <v>204</v>
      </c>
      <c r="CN214" t="s">
        <v>203</v>
      </c>
      <c r="CO214" t="s">
        <v>203</v>
      </c>
      <c r="CP214" t="s">
        <v>203</v>
      </c>
      <c r="CQ214" t="s">
        <v>203</v>
      </c>
      <c r="CR214" t="s">
        <v>203</v>
      </c>
      <c r="CS214" t="s">
        <v>203</v>
      </c>
      <c r="CT214" t="s">
        <v>203</v>
      </c>
      <c r="CU214" t="s">
        <v>203</v>
      </c>
      <c r="CV214">
        <v>0</v>
      </c>
      <c r="CW214">
        <v>0</v>
      </c>
      <c r="CX214" t="s">
        <v>198</v>
      </c>
      <c r="CY214" t="s">
        <v>198</v>
      </c>
      <c r="CZ214" t="s">
        <v>198</v>
      </c>
      <c r="DA214" t="s">
        <v>198</v>
      </c>
      <c r="DB214" t="s">
        <v>198</v>
      </c>
      <c r="DC214">
        <v>0</v>
      </c>
      <c r="DD214">
        <v>0</v>
      </c>
      <c r="DE214">
        <v>0</v>
      </c>
      <c r="DF214">
        <v>0</v>
      </c>
      <c r="DG214">
        <v>-35.3631166</v>
      </c>
      <c r="DH214">
        <v>149.1639735</v>
      </c>
      <c r="DI214" t="s">
        <v>360</v>
      </c>
      <c r="DJ214">
        <v>1.2</v>
      </c>
      <c r="DK214">
        <v>2</v>
      </c>
      <c r="DL214">
        <v>159.8</v>
      </c>
      <c r="DM214">
        <v>0</v>
      </c>
      <c r="DN214">
        <v>6</v>
      </c>
      <c r="DO214">
        <v>10</v>
      </c>
      <c r="DP214">
        <v>0</v>
      </c>
      <c r="DQ214">
        <v>255</v>
      </c>
      <c r="DR214">
        <v>255</v>
      </c>
      <c r="DS214">
        <v>255</v>
      </c>
      <c r="DT214">
        <v>255</v>
      </c>
      <c r="DU214">
        <v>255</v>
      </c>
      <c r="DV214">
        <v>255</v>
      </c>
      <c r="DW214">
        <v>255</v>
      </c>
      <c r="DX214" t="s">
        <v>206</v>
      </c>
      <c r="DY214" t="s">
        <v>206</v>
      </c>
      <c r="DZ214" t="s">
        <v>207</v>
      </c>
      <c r="EA214" t="s">
        <v>198</v>
      </c>
      <c r="EB214" t="s">
        <v>198</v>
      </c>
      <c r="EC214" t="s">
        <v>198</v>
      </c>
      <c r="ED214">
        <v>0</v>
      </c>
      <c r="EE214">
        <v>0</v>
      </c>
      <c r="EF214">
        <v>0</v>
      </c>
      <c r="EG214">
        <v>0</v>
      </c>
      <c r="EH214">
        <v>255</v>
      </c>
      <c r="EI214">
        <v>255</v>
      </c>
      <c r="EJ214">
        <v>255</v>
      </c>
      <c r="EK214">
        <v>255</v>
      </c>
      <c r="EL214">
        <v>255</v>
      </c>
      <c r="EM214">
        <v>255</v>
      </c>
      <c r="EN214">
        <v>255</v>
      </c>
      <c r="EO214">
        <v>255</v>
      </c>
      <c r="EP214">
        <v>255</v>
      </c>
      <c r="EQ214">
        <v>255</v>
      </c>
      <c r="ER214" t="s">
        <v>208</v>
      </c>
      <c r="ES214" t="s">
        <v>209</v>
      </c>
      <c r="ET214" t="s">
        <v>209</v>
      </c>
      <c r="EU214">
        <v>0</v>
      </c>
      <c r="EV214">
        <v>16.2</v>
      </c>
      <c r="EW214">
        <v>-114.7</v>
      </c>
      <c r="EX214">
        <v>-0.2</v>
      </c>
      <c r="EY214">
        <v>0</v>
      </c>
      <c r="EZ214">
        <v>0</v>
      </c>
      <c r="FA214">
        <v>0</v>
      </c>
      <c r="FB214" t="s">
        <v>198</v>
      </c>
      <c r="FC214" t="s">
        <v>198</v>
      </c>
      <c r="FD214" t="s">
        <v>198</v>
      </c>
      <c r="FE214" t="s">
        <v>198</v>
      </c>
      <c r="FF214" t="s">
        <v>198</v>
      </c>
      <c r="FG214" t="s">
        <v>198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203</v>
      </c>
      <c r="FP214" t="s">
        <v>203</v>
      </c>
      <c r="FQ214" t="s">
        <v>203</v>
      </c>
      <c r="FR214" t="s">
        <v>203</v>
      </c>
      <c r="FS214" t="s">
        <v>203</v>
      </c>
      <c r="FT214" t="s">
        <v>203</v>
      </c>
      <c r="FU214" t="s">
        <v>198</v>
      </c>
      <c r="FV214" t="s">
        <v>198</v>
      </c>
      <c r="FW214" t="s">
        <v>198</v>
      </c>
      <c r="FX214" t="s">
        <v>198</v>
      </c>
      <c r="FY214" t="s">
        <v>198</v>
      </c>
      <c r="FZ214" t="s">
        <v>198</v>
      </c>
      <c r="GA214">
        <v>31.2</v>
      </c>
      <c r="GB214">
        <v>31.2</v>
      </c>
      <c r="GC214" t="s">
        <v>203</v>
      </c>
      <c r="GD214">
        <v>0</v>
      </c>
      <c r="GE214">
        <v>504</v>
      </c>
      <c r="GF214">
        <v>0</v>
      </c>
      <c r="GG214">
        <v>0</v>
      </c>
      <c r="GH214">
        <v>0</v>
      </c>
      <c r="GI214">
        <v>1</v>
      </c>
      <c r="GJ214">
        <v>1</v>
      </c>
      <c r="GK214">
        <v>0</v>
      </c>
      <c r="GL214" t="s">
        <v>198</v>
      </c>
      <c r="GM214" t="s">
        <v>198</v>
      </c>
      <c r="GN214" t="s">
        <v>198</v>
      </c>
    </row>
    <row r="215" spans="1:196">
      <c r="A215" s="19">
        <v>46316.90636971065</v>
      </c>
      <c r="B215">
        <v>0</v>
      </c>
      <c r="C215">
        <v>0</v>
      </c>
      <c r="D215">
        <v>277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584.2</v>
      </c>
      <c r="N215">
        <v>-0.5</v>
      </c>
      <c r="O215">
        <v>0</v>
      </c>
      <c r="P215">
        <v>0</v>
      </c>
      <c r="Q215">
        <v>0</v>
      </c>
      <c r="R215">
        <v>0</v>
      </c>
      <c r="S215">
        <v>115.6</v>
      </c>
      <c r="T215" t="s">
        <v>485</v>
      </c>
      <c r="U215">
        <v>115.7</v>
      </c>
      <c r="V215">
        <v>1762727256586.8</v>
      </c>
      <c r="W215">
        <v>1</v>
      </c>
      <c r="X215" t="s">
        <v>197</v>
      </c>
      <c r="Y215">
        <v>0</v>
      </c>
      <c r="Z215">
        <v>98</v>
      </c>
      <c r="AA215">
        <v>278</v>
      </c>
      <c r="AB215" t="s">
        <v>197</v>
      </c>
      <c r="AC215" t="s">
        <v>198</v>
      </c>
      <c r="AD215" t="s">
        <v>199</v>
      </c>
      <c r="AE215">
        <v>0</v>
      </c>
      <c r="AF215">
        <v>44</v>
      </c>
      <c r="AG215">
        <v>255</v>
      </c>
      <c r="AH215">
        <v>0</v>
      </c>
      <c r="AI215">
        <v>0</v>
      </c>
      <c r="AJ215">
        <v>0</v>
      </c>
      <c r="AK215">
        <v>12.6</v>
      </c>
      <c r="AL215">
        <v>0</v>
      </c>
      <c r="AM215">
        <v>0</v>
      </c>
      <c r="AN215" t="s">
        <v>197</v>
      </c>
      <c r="AO215">
        <v>100</v>
      </c>
      <c r="AP215" t="s">
        <v>197</v>
      </c>
      <c r="AQ215" t="s">
        <v>200</v>
      </c>
      <c r="AR215">
        <v>1</v>
      </c>
      <c r="AS215">
        <v>0</v>
      </c>
      <c r="AT215" t="s">
        <v>561</v>
      </c>
      <c r="AU215" t="s">
        <v>561</v>
      </c>
      <c r="AV215" t="s">
        <v>202</v>
      </c>
      <c r="AW215" t="s">
        <v>203</v>
      </c>
      <c r="AX215" t="s">
        <v>203</v>
      </c>
      <c r="AY215" t="s">
        <v>203</v>
      </c>
      <c r="AZ215" t="s">
        <v>203</v>
      </c>
      <c r="BA215" t="s">
        <v>203</v>
      </c>
      <c r="BB215" t="s">
        <v>203</v>
      </c>
      <c r="BC215" t="s">
        <v>203</v>
      </c>
      <c r="BD215" t="s">
        <v>203</v>
      </c>
      <c r="BE215" t="s">
        <v>203</v>
      </c>
      <c r="BF215">
        <v>0</v>
      </c>
      <c r="BG215">
        <v>0.2</v>
      </c>
      <c r="BH215">
        <v>50</v>
      </c>
      <c r="BI215">
        <v>0</v>
      </c>
      <c r="BJ215" t="s">
        <v>198</v>
      </c>
      <c r="BK215" t="s">
        <v>198</v>
      </c>
      <c r="BL215" t="s">
        <v>198</v>
      </c>
      <c r="BM215" t="s">
        <v>198</v>
      </c>
      <c r="BN215" t="s">
        <v>198</v>
      </c>
      <c r="BO215" t="s">
        <v>198</v>
      </c>
      <c r="BP215" t="s">
        <v>198</v>
      </c>
      <c r="BQ215" t="s">
        <v>198</v>
      </c>
      <c r="BR215" t="s">
        <v>198</v>
      </c>
      <c r="BS215" t="s">
        <v>198</v>
      </c>
      <c r="BT215" t="s">
        <v>198</v>
      </c>
      <c r="BU215" t="s">
        <v>198</v>
      </c>
      <c r="BV215" t="s">
        <v>198</v>
      </c>
      <c r="BW215" t="s">
        <v>198</v>
      </c>
      <c r="BX215" t="s">
        <v>198</v>
      </c>
      <c r="BY215" t="s">
        <v>198</v>
      </c>
      <c r="BZ215" t="s">
        <v>198</v>
      </c>
      <c r="CA215" t="s">
        <v>198</v>
      </c>
      <c r="CB215" t="s">
        <v>204</v>
      </c>
      <c r="CC215" t="s">
        <v>204</v>
      </c>
      <c r="CD215" t="s">
        <v>204</v>
      </c>
      <c r="CE215" t="s">
        <v>204</v>
      </c>
      <c r="CF215" t="s">
        <v>204</v>
      </c>
      <c r="CG215" t="s">
        <v>204</v>
      </c>
      <c r="CH215" t="s">
        <v>204</v>
      </c>
      <c r="CI215" t="s">
        <v>204</v>
      </c>
      <c r="CJ215" t="s">
        <v>204</v>
      </c>
      <c r="CK215" t="s">
        <v>204</v>
      </c>
      <c r="CL215" t="s">
        <v>204</v>
      </c>
      <c r="CM215" t="s">
        <v>204</v>
      </c>
      <c r="CN215" t="s">
        <v>203</v>
      </c>
      <c r="CO215" t="s">
        <v>203</v>
      </c>
      <c r="CP215" t="s">
        <v>203</v>
      </c>
      <c r="CQ215" t="s">
        <v>203</v>
      </c>
      <c r="CR215" t="s">
        <v>203</v>
      </c>
      <c r="CS215" t="s">
        <v>203</v>
      </c>
      <c r="CT215" t="s">
        <v>203</v>
      </c>
      <c r="CU215" t="s">
        <v>203</v>
      </c>
      <c r="CV215">
        <v>0</v>
      </c>
      <c r="CW215">
        <v>0</v>
      </c>
      <c r="CX215" t="s">
        <v>198</v>
      </c>
      <c r="CY215" t="s">
        <v>198</v>
      </c>
      <c r="CZ215" t="s">
        <v>198</v>
      </c>
      <c r="DA215" t="s">
        <v>198</v>
      </c>
      <c r="DB215" t="s">
        <v>198</v>
      </c>
      <c r="DC215">
        <v>0</v>
      </c>
      <c r="DD215">
        <v>0</v>
      </c>
      <c r="DE215">
        <v>0</v>
      </c>
      <c r="DF215">
        <v>0</v>
      </c>
      <c r="DG215">
        <v>-35.3631166</v>
      </c>
      <c r="DH215">
        <v>149.1639735</v>
      </c>
      <c r="DI215" t="s">
        <v>360</v>
      </c>
      <c r="DJ215">
        <v>1.2</v>
      </c>
      <c r="DK215">
        <v>2</v>
      </c>
      <c r="DL215">
        <v>159.8</v>
      </c>
      <c r="DM215">
        <v>0</v>
      </c>
      <c r="DN215">
        <v>6</v>
      </c>
      <c r="DO215">
        <v>10</v>
      </c>
      <c r="DP215">
        <v>0</v>
      </c>
      <c r="DQ215">
        <v>255</v>
      </c>
      <c r="DR215">
        <v>255</v>
      </c>
      <c r="DS215">
        <v>255</v>
      </c>
      <c r="DT215">
        <v>255</v>
      </c>
      <c r="DU215">
        <v>255</v>
      </c>
      <c r="DV215">
        <v>255</v>
      </c>
      <c r="DW215">
        <v>255</v>
      </c>
      <c r="DX215" t="s">
        <v>206</v>
      </c>
      <c r="DY215" t="s">
        <v>206</v>
      </c>
      <c r="DZ215" t="s">
        <v>207</v>
      </c>
      <c r="EA215" t="s">
        <v>198</v>
      </c>
      <c r="EB215" t="s">
        <v>198</v>
      </c>
      <c r="EC215" t="s">
        <v>198</v>
      </c>
      <c r="ED215">
        <v>0</v>
      </c>
      <c r="EE215">
        <v>0</v>
      </c>
      <c r="EF215">
        <v>0</v>
      </c>
      <c r="EG215">
        <v>0</v>
      </c>
      <c r="EH215">
        <v>255</v>
      </c>
      <c r="EI215">
        <v>255</v>
      </c>
      <c r="EJ215">
        <v>255</v>
      </c>
      <c r="EK215">
        <v>255</v>
      </c>
      <c r="EL215">
        <v>255</v>
      </c>
      <c r="EM215">
        <v>255</v>
      </c>
      <c r="EN215">
        <v>255</v>
      </c>
      <c r="EO215">
        <v>255</v>
      </c>
      <c r="EP215">
        <v>255</v>
      </c>
      <c r="EQ215">
        <v>255</v>
      </c>
      <c r="ER215" t="s">
        <v>208</v>
      </c>
      <c r="ES215" t="s">
        <v>209</v>
      </c>
      <c r="ET215" t="s">
        <v>209</v>
      </c>
      <c r="EU215">
        <v>0</v>
      </c>
      <c r="EV215">
        <v>16.2</v>
      </c>
      <c r="EW215">
        <v>-114.7</v>
      </c>
      <c r="EX215">
        <v>-0.2</v>
      </c>
      <c r="EY215">
        <v>0</v>
      </c>
      <c r="EZ215">
        <v>0</v>
      </c>
      <c r="FA215">
        <v>0</v>
      </c>
      <c r="FB215" t="s">
        <v>198</v>
      </c>
      <c r="FC215" t="s">
        <v>198</v>
      </c>
      <c r="FD215" t="s">
        <v>198</v>
      </c>
      <c r="FE215" t="s">
        <v>198</v>
      </c>
      <c r="FF215" t="s">
        <v>198</v>
      </c>
      <c r="FG215" t="s">
        <v>198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 t="s">
        <v>203</v>
      </c>
      <c r="FP215" t="s">
        <v>203</v>
      </c>
      <c r="FQ215" t="s">
        <v>203</v>
      </c>
      <c r="FR215" t="s">
        <v>203</v>
      </c>
      <c r="FS215" t="s">
        <v>203</v>
      </c>
      <c r="FT215" t="s">
        <v>203</v>
      </c>
      <c r="FU215" t="s">
        <v>198</v>
      </c>
      <c r="FV215" t="s">
        <v>198</v>
      </c>
      <c r="FW215" t="s">
        <v>198</v>
      </c>
      <c r="FX215" t="s">
        <v>198</v>
      </c>
      <c r="FY215" t="s">
        <v>198</v>
      </c>
      <c r="FZ215" t="s">
        <v>198</v>
      </c>
      <c r="GA215">
        <v>31.2</v>
      </c>
      <c r="GB215">
        <v>31.2</v>
      </c>
      <c r="GC215" t="s">
        <v>203</v>
      </c>
      <c r="GD215">
        <v>0</v>
      </c>
      <c r="GE215">
        <v>504</v>
      </c>
      <c r="GF215">
        <v>0</v>
      </c>
      <c r="GG215">
        <v>0</v>
      </c>
      <c r="GH215">
        <v>0</v>
      </c>
      <c r="GI215">
        <v>1</v>
      </c>
      <c r="GJ215">
        <v>1</v>
      </c>
      <c r="GK215">
        <v>0</v>
      </c>
      <c r="GL215" t="s">
        <v>198</v>
      </c>
      <c r="GM215" t="s">
        <v>198</v>
      </c>
      <c r="GN215" t="s">
        <v>198</v>
      </c>
    </row>
    <row r="216" spans="1:196">
      <c r="A216" s="19">
        <v>46316.90638128472</v>
      </c>
      <c r="B216">
        <v>0</v>
      </c>
      <c r="C216">
        <v>0</v>
      </c>
      <c r="D216">
        <v>277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584.2</v>
      </c>
      <c r="N216">
        <v>-0.5</v>
      </c>
      <c r="O216">
        <v>0</v>
      </c>
      <c r="P216">
        <v>0</v>
      </c>
      <c r="Q216">
        <v>0</v>
      </c>
      <c r="R216">
        <v>0</v>
      </c>
      <c r="S216">
        <v>115.6</v>
      </c>
      <c r="T216" t="s">
        <v>485</v>
      </c>
      <c r="U216">
        <v>115.7</v>
      </c>
      <c r="V216">
        <v>1762727256586.8</v>
      </c>
      <c r="W216">
        <v>1</v>
      </c>
      <c r="X216" t="s">
        <v>197</v>
      </c>
      <c r="Y216">
        <v>0</v>
      </c>
      <c r="Z216">
        <v>98</v>
      </c>
      <c r="AA216">
        <v>278</v>
      </c>
      <c r="AB216" t="s">
        <v>197</v>
      </c>
      <c r="AC216" t="s">
        <v>198</v>
      </c>
      <c r="AD216" t="s">
        <v>199</v>
      </c>
      <c r="AE216">
        <v>0</v>
      </c>
      <c r="AF216">
        <v>44</v>
      </c>
      <c r="AG216">
        <v>255</v>
      </c>
      <c r="AH216">
        <v>0</v>
      </c>
      <c r="AI216">
        <v>0</v>
      </c>
      <c r="AJ216">
        <v>0</v>
      </c>
      <c r="AK216">
        <v>12.6</v>
      </c>
      <c r="AL216">
        <v>0</v>
      </c>
      <c r="AM216">
        <v>0</v>
      </c>
      <c r="AN216" t="s">
        <v>197</v>
      </c>
      <c r="AO216">
        <v>100</v>
      </c>
      <c r="AP216" t="s">
        <v>197</v>
      </c>
      <c r="AQ216" t="s">
        <v>200</v>
      </c>
      <c r="AR216">
        <v>1</v>
      </c>
      <c r="AS216">
        <v>0</v>
      </c>
      <c r="AT216" t="s">
        <v>562</v>
      </c>
      <c r="AU216" t="s">
        <v>562</v>
      </c>
      <c r="AV216" t="s">
        <v>202</v>
      </c>
      <c r="AW216" t="s">
        <v>203</v>
      </c>
      <c r="AX216" t="s">
        <v>203</v>
      </c>
      <c r="AY216" t="s">
        <v>203</v>
      </c>
      <c r="AZ216" t="s">
        <v>203</v>
      </c>
      <c r="BA216" t="s">
        <v>203</v>
      </c>
      <c r="BB216" t="s">
        <v>203</v>
      </c>
      <c r="BC216" t="s">
        <v>203</v>
      </c>
      <c r="BD216" t="s">
        <v>203</v>
      </c>
      <c r="BE216" t="s">
        <v>203</v>
      </c>
      <c r="BF216">
        <v>0</v>
      </c>
      <c r="BG216">
        <v>0.2</v>
      </c>
      <c r="BH216">
        <v>50</v>
      </c>
      <c r="BI216">
        <v>0</v>
      </c>
      <c r="BJ216" t="s">
        <v>198</v>
      </c>
      <c r="BK216" t="s">
        <v>198</v>
      </c>
      <c r="BL216" t="s">
        <v>198</v>
      </c>
      <c r="BM216" t="s">
        <v>198</v>
      </c>
      <c r="BN216" t="s">
        <v>198</v>
      </c>
      <c r="BO216" t="s">
        <v>198</v>
      </c>
      <c r="BP216" t="s">
        <v>198</v>
      </c>
      <c r="BQ216" t="s">
        <v>198</v>
      </c>
      <c r="BR216" t="s">
        <v>198</v>
      </c>
      <c r="BS216" t="s">
        <v>198</v>
      </c>
      <c r="BT216" t="s">
        <v>198</v>
      </c>
      <c r="BU216" t="s">
        <v>198</v>
      </c>
      <c r="BV216" t="s">
        <v>198</v>
      </c>
      <c r="BW216" t="s">
        <v>198</v>
      </c>
      <c r="BX216" t="s">
        <v>198</v>
      </c>
      <c r="BY216" t="s">
        <v>198</v>
      </c>
      <c r="BZ216" t="s">
        <v>198</v>
      </c>
      <c r="CA216" t="s">
        <v>198</v>
      </c>
      <c r="CB216" t="s">
        <v>204</v>
      </c>
      <c r="CC216" t="s">
        <v>204</v>
      </c>
      <c r="CD216" t="s">
        <v>204</v>
      </c>
      <c r="CE216" t="s">
        <v>204</v>
      </c>
      <c r="CF216" t="s">
        <v>204</v>
      </c>
      <c r="CG216" t="s">
        <v>204</v>
      </c>
      <c r="CH216" t="s">
        <v>204</v>
      </c>
      <c r="CI216" t="s">
        <v>204</v>
      </c>
      <c r="CJ216" t="s">
        <v>204</v>
      </c>
      <c r="CK216" t="s">
        <v>204</v>
      </c>
      <c r="CL216" t="s">
        <v>204</v>
      </c>
      <c r="CM216" t="s">
        <v>204</v>
      </c>
      <c r="CN216" t="s">
        <v>203</v>
      </c>
      <c r="CO216" t="s">
        <v>203</v>
      </c>
      <c r="CP216" t="s">
        <v>203</v>
      </c>
      <c r="CQ216" t="s">
        <v>203</v>
      </c>
      <c r="CR216" t="s">
        <v>203</v>
      </c>
      <c r="CS216" t="s">
        <v>203</v>
      </c>
      <c r="CT216" t="s">
        <v>203</v>
      </c>
      <c r="CU216" t="s">
        <v>203</v>
      </c>
      <c r="CV216">
        <v>0</v>
      </c>
      <c r="CW216">
        <v>0</v>
      </c>
      <c r="CX216" t="s">
        <v>198</v>
      </c>
      <c r="CY216" t="s">
        <v>198</v>
      </c>
      <c r="CZ216" t="s">
        <v>198</v>
      </c>
      <c r="DA216" t="s">
        <v>198</v>
      </c>
      <c r="DB216" t="s">
        <v>198</v>
      </c>
      <c r="DC216">
        <v>0</v>
      </c>
      <c r="DD216">
        <v>0</v>
      </c>
      <c r="DE216">
        <v>0</v>
      </c>
      <c r="DF216">
        <v>0</v>
      </c>
      <c r="DG216">
        <v>-35.3631166</v>
      </c>
      <c r="DH216">
        <v>149.1639735</v>
      </c>
      <c r="DI216" t="s">
        <v>360</v>
      </c>
      <c r="DJ216">
        <v>1.2</v>
      </c>
      <c r="DK216">
        <v>2</v>
      </c>
      <c r="DL216">
        <v>159.8</v>
      </c>
      <c r="DM216">
        <v>0</v>
      </c>
      <c r="DN216">
        <v>6</v>
      </c>
      <c r="DO216">
        <v>10</v>
      </c>
      <c r="DP216">
        <v>0</v>
      </c>
      <c r="DQ216">
        <v>255</v>
      </c>
      <c r="DR216">
        <v>255</v>
      </c>
      <c r="DS216">
        <v>255</v>
      </c>
      <c r="DT216">
        <v>255</v>
      </c>
      <c r="DU216">
        <v>255</v>
      </c>
      <c r="DV216">
        <v>255</v>
      </c>
      <c r="DW216">
        <v>255</v>
      </c>
      <c r="DX216" t="s">
        <v>206</v>
      </c>
      <c r="DY216" t="s">
        <v>206</v>
      </c>
      <c r="DZ216" t="s">
        <v>207</v>
      </c>
      <c r="EA216" t="s">
        <v>198</v>
      </c>
      <c r="EB216" t="s">
        <v>198</v>
      </c>
      <c r="EC216" t="s">
        <v>198</v>
      </c>
      <c r="ED216">
        <v>0</v>
      </c>
      <c r="EE216">
        <v>0</v>
      </c>
      <c r="EF216">
        <v>0</v>
      </c>
      <c r="EG216">
        <v>0</v>
      </c>
      <c r="EH216">
        <v>255</v>
      </c>
      <c r="EI216">
        <v>255</v>
      </c>
      <c r="EJ216">
        <v>255</v>
      </c>
      <c r="EK216">
        <v>255</v>
      </c>
      <c r="EL216">
        <v>255</v>
      </c>
      <c r="EM216">
        <v>255</v>
      </c>
      <c r="EN216">
        <v>255</v>
      </c>
      <c r="EO216">
        <v>255</v>
      </c>
      <c r="EP216">
        <v>255</v>
      </c>
      <c r="EQ216">
        <v>255</v>
      </c>
      <c r="ER216" t="s">
        <v>208</v>
      </c>
      <c r="ES216" t="s">
        <v>209</v>
      </c>
      <c r="ET216" t="s">
        <v>209</v>
      </c>
      <c r="EU216">
        <v>0</v>
      </c>
      <c r="EV216">
        <v>16.2</v>
      </c>
      <c r="EW216">
        <v>-114.7</v>
      </c>
      <c r="EX216">
        <v>-0.2</v>
      </c>
      <c r="EY216">
        <v>0</v>
      </c>
      <c r="EZ216">
        <v>0</v>
      </c>
      <c r="FA216">
        <v>0</v>
      </c>
      <c r="FB216" t="s">
        <v>198</v>
      </c>
      <c r="FC216" t="s">
        <v>198</v>
      </c>
      <c r="FD216" t="s">
        <v>198</v>
      </c>
      <c r="FE216" t="s">
        <v>198</v>
      </c>
      <c r="FF216" t="s">
        <v>198</v>
      </c>
      <c r="FG216" t="s">
        <v>198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 t="s">
        <v>203</v>
      </c>
      <c r="FP216" t="s">
        <v>203</v>
      </c>
      <c r="FQ216" t="s">
        <v>203</v>
      </c>
      <c r="FR216" t="s">
        <v>203</v>
      </c>
      <c r="FS216" t="s">
        <v>203</v>
      </c>
      <c r="FT216" t="s">
        <v>203</v>
      </c>
      <c r="FU216" t="s">
        <v>198</v>
      </c>
      <c r="FV216" t="s">
        <v>198</v>
      </c>
      <c r="FW216" t="s">
        <v>198</v>
      </c>
      <c r="FX216" t="s">
        <v>198</v>
      </c>
      <c r="FY216" t="s">
        <v>198</v>
      </c>
      <c r="FZ216" t="s">
        <v>198</v>
      </c>
      <c r="GA216">
        <v>31.2</v>
      </c>
      <c r="GB216">
        <v>31.2</v>
      </c>
      <c r="GC216" t="s">
        <v>203</v>
      </c>
      <c r="GD216">
        <v>0</v>
      </c>
      <c r="GE216">
        <v>504</v>
      </c>
      <c r="GF216">
        <v>0</v>
      </c>
      <c r="GG216">
        <v>0</v>
      </c>
      <c r="GH216">
        <v>0</v>
      </c>
      <c r="GI216">
        <v>1</v>
      </c>
      <c r="GJ216">
        <v>1</v>
      </c>
      <c r="GK216">
        <v>0</v>
      </c>
      <c r="GL216" t="s">
        <v>198</v>
      </c>
      <c r="GM216" t="s">
        <v>198</v>
      </c>
      <c r="GN216" t="s">
        <v>198</v>
      </c>
    </row>
    <row r="217" spans="1:196">
      <c r="A217" s="19">
        <v>46316.90639285879</v>
      </c>
      <c r="B217">
        <v>0</v>
      </c>
      <c r="C217">
        <v>0</v>
      </c>
      <c r="D217">
        <v>277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584.2</v>
      </c>
      <c r="N217">
        <v>-0.5</v>
      </c>
      <c r="O217">
        <v>0</v>
      </c>
      <c r="P217">
        <v>0</v>
      </c>
      <c r="Q217">
        <v>0</v>
      </c>
      <c r="R217">
        <v>0</v>
      </c>
      <c r="S217">
        <v>115.6</v>
      </c>
      <c r="T217" t="s">
        <v>485</v>
      </c>
      <c r="U217">
        <v>115.7</v>
      </c>
      <c r="V217">
        <v>1762727256586.8</v>
      </c>
      <c r="W217">
        <v>1</v>
      </c>
      <c r="X217" t="s">
        <v>197</v>
      </c>
      <c r="Y217">
        <v>0</v>
      </c>
      <c r="Z217">
        <v>98</v>
      </c>
      <c r="AA217">
        <v>278</v>
      </c>
      <c r="AB217" t="s">
        <v>197</v>
      </c>
      <c r="AC217" t="s">
        <v>198</v>
      </c>
      <c r="AD217" t="s">
        <v>199</v>
      </c>
      <c r="AE217">
        <v>0</v>
      </c>
      <c r="AF217">
        <v>44</v>
      </c>
      <c r="AG217">
        <v>255</v>
      </c>
      <c r="AH217">
        <v>0</v>
      </c>
      <c r="AI217">
        <v>0</v>
      </c>
      <c r="AJ217">
        <v>0</v>
      </c>
      <c r="AK217">
        <v>12.6</v>
      </c>
      <c r="AL217">
        <v>0</v>
      </c>
      <c r="AM217">
        <v>0</v>
      </c>
      <c r="AN217" t="s">
        <v>197</v>
      </c>
      <c r="AO217">
        <v>100</v>
      </c>
      <c r="AP217" t="s">
        <v>197</v>
      </c>
      <c r="AQ217" t="s">
        <v>200</v>
      </c>
      <c r="AR217">
        <v>1</v>
      </c>
      <c r="AS217">
        <v>0</v>
      </c>
      <c r="AT217" t="s">
        <v>563</v>
      </c>
      <c r="AU217" t="s">
        <v>563</v>
      </c>
      <c r="AV217" t="s">
        <v>202</v>
      </c>
      <c r="AW217" t="s">
        <v>203</v>
      </c>
      <c r="AX217" t="s">
        <v>203</v>
      </c>
      <c r="AY217" t="s">
        <v>203</v>
      </c>
      <c r="AZ217" t="s">
        <v>203</v>
      </c>
      <c r="BA217" t="s">
        <v>203</v>
      </c>
      <c r="BB217" t="s">
        <v>203</v>
      </c>
      <c r="BC217" t="s">
        <v>203</v>
      </c>
      <c r="BD217" t="s">
        <v>203</v>
      </c>
      <c r="BE217" t="s">
        <v>203</v>
      </c>
      <c r="BF217">
        <v>0</v>
      </c>
      <c r="BG217">
        <v>0.2</v>
      </c>
      <c r="BH217">
        <v>50</v>
      </c>
      <c r="BI217">
        <v>0</v>
      </c>
      <c r="BJ217" t="s">
        <v>198</v>
      </c>
      <c r="BK217" t="s">
        <v>198</v>
      </c>
      <c r="BL217" t="s">
        <v>198</v>
      </c>
      <c r="BM217" t="s">
        <v>198</v>
      </c>
      <c r="BN217" t="s">
        <v>198</v>
      </c>
      <c r="BO217" t="s">
        <v>198</v>
      </c>
      <c r="BP217" t="s">
        <v>198</v>
      </c>
      <c r="BQ217" t="s">
        <v>198</v>
      </c>
      <c r="BR217" t="s">
        <v>198</v>
      </c>
      <c r="BS217" t="s">
        <v>198</v>
      </c>
      <c r="BT217" t="s">
        <v>198</v>
      </c>
      <c r="BU217" t="s">
        <v>198</v>
      </c>
      <c r="BV217" t="s">
        <v>198</v>
      </c>
      <c r="BW217" t="s">
        <v>198</v>
      </c>
      <c r="BX217" t="s">
        <v>198</v>
      </c>
      <c r="BY217" t="s">
        <v>198</v>
      </c>
      <c r="BZ217" t="s">
        <v>198</v>
      </c>
      <c r="CA217" t="s">
        <v>198</v>
      </c>
      <c r="CB217" t="s">
        <v>204</v>
      </c>
      <c r="CC217" t="s">
        <v>204</v>
      </c>
      <c r="CD217" t="s">
        <v>204</v>
      </c>
      <c r="CE217" t="s">
        <v>204</v>
      </c>
      <c r="CF217" t="s">
        <v>204</v>
      </c>
      <c r="CG217" t="s">
        <v>204</v>
      </c>
      <c r="CH217" t="s">
        <v>204</v>
      </c>
      <c r="CI217" t="s">
        <v>204</v>
      </c>
      <c r="CJ217" t="s">
        <v>204</v>
      </c>
      <c r="CK217" t="s">
        <v>204</v>
      </c>
      <c r="CL217" t="s">
        <v>204</v>
      </c>
      <c r="CM217" t="s">
        <v>204</v>
      </c>
      <c r="CN217" t="s">
        <v>203</v>
      </c>
      <c r="CO217" t="s">
        <v>203</v>
      </c>
      <c r="CP217" t="s">
        <v>203</v>
      </c>
      <c r="CQ217" t="s">
        <v>203</v>
      </c>
      <c r="CR217" t="s">
        <v>203</v>
      </c>
      <c r="CS217" t="s">
        <v>203</v>
      </c>
      <c r="CT217" t="s">
        <v>203</v>
      </c>
      <c r="CU217" t="s">
        <v>203</v>
      </c>
      <c r="CV217">
        <v>0</v>
      </c>
      <c r="CW217">
        <v>0</v>
      </c>
      <c r="CX217" t="s">
        <v>198</v>
      </c>
      <c r="CY217" t="s">
        <v>198</v>
      </c>
      <c r="CZ217" t="s">
        <v>198</v>
      </c>
      <c r="DA217" t="s">
        <v>198</v>
      </c>
      <c r="DB217" t="s">
        <v>198</v>
      </c>
      <c r="DC217">
        <v>0</v>
      </c>
      <c r="DD217">
        <v>0</v>
      </c>
      <c r="DE217">
        <v>0</v>
      </c>
      <c r="DF217">
        <v>0</v>
      </c>
      <c r="DG217">
        <v>-35.3631166</v>
      </c>
      <c r="DH217">
        <v>149.1639735</v>
      </c>
      <c r="DI217" t="s">
        <v>360</v>
      </c>
      <c r="DJ217">
        <v>1.2</v>
      </c>
      <c r="DK217">
        <v>2</v>
      </c>
      <c r="DL217">
        <v>159.8</v>
      </c>
      <c r="DM217">
        <v>0</v>
      </c>
      <c r="DN217">
        <v>6</v>
      </c>
      <c r="DO217">
        <v>10</v>
      </c>
      <c r="DP217">
        <v>0</v>
      </c>
      <c r="DQ217">
        <v>255</v>
      </c>
      <c r="DR217">
        <v>255</v>
      </c>
      <c r="DS217">
        <v>255</v>
      </c>
      <c r="DT217">
        <v>255</v>
      </c>
      <c r="DU217">
        <v>255</v>
      </c>
      <c r="DV217">
        <v>255</v>
      </c>
      <c r="DW217">
        <v>255</v>
      </c>
      <c r="DX217" t="s">
        <v>206</v>
      </c>
      <c r="DY217" t="s">
        <v>206</v>
      </c>
      <c r="DZ217" t="s">
        <v>207</v>
      </c>
      <c r="EA217" t="s">
        <v>198</v>
      </c>
      <c r="EB217" t="s">
        <v>198</v>
      </c>
      <c r="EC217" t="s">
        <v>198</v>
      </c>
      <c r="ED217">
        <v>0</v>
      </c>
      <c r="EE217">
        <v>0</v>
      </c>
      <c r="EF217">
        <v>0</v>
      </c>
      <c r="EG217">
        <v>0</v>
      </c>
      <c r="EH217">
        <v>255</v>
      </c>
      <c r="EI217">
        <v>255</v>
      </c>
      <c r="EJ217">
        <v>255</v>
      </c>
      <c r="EK217">
        <v>255</v>
      </c>
      <c r="EL217">
        <v>255</v>
      </c>
      <c r="EM217">
        <v>255</v>
      </c>
      <c r="EN217">
        <v>255</v>
      </c>
      <c r="EO217">
        <v>255</v>
      </c>
      <c r="EP217">
        <v>255</v>
      </c>
      <c r="EQ217">
        <v>255</v>
      </c>
      <c r="ER217" t="s">
        <v>208</v>
      </c>
      <c r="ES217" t="s">
        <v>209</v>
      </c>
      <c r="ET217" t="s">
        <v>209</v>
      </c>
      <c r="EU217">
        <v>0</v>
      </c>
      <c r="EV217">
        <v>16.2</v>
      </c>
      <c r="EW217">
        <v>-114.7</v>
      </c>
      <c r="EX217">
        <v>-0.2</v>
      </c>
      <c r="EY217">
        <v>0</v>
      </c>
      <c r="EZ217">
        <v>0</v>
      </c>
      <c r="FA217">
        <v>0</v>
      </c>
      <c r="FB217" t="s">
        <v>198</v>
      </c>
      <c r="FC217" t="s">
        <v>198</v>
      </c>
      <c r="FD217" t="s">
        <v>198</v>
      </c>
      <c r="FE217" t="s">
        <v>198</v>
      </c>
      <c r="FF217" t="s">
        <v>198</v>
      </c>
      <c r="FG217" t="s">
        <v>198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 t="s">
        <v>203</v>
      </c>
      <c r="FP217" t="s">
        <v>203</v>
      </c>
      <c r="FQ217" t="s">
        <v>203</v>
      </c>
      <c r="FR217" t="s">
        <v>203</v>
      </c>
      <c r="FS217" t="s">
        <v>203</v>
      </c>
      <c r="FT217" t="s">
        <v>203</v>
      </c>
      <c r="FU217" t="s">
        <v>198</v>
      </c>
      <c r="FV217" t="s">
        <v>198</v>
      </c>
      <c r="FW217" t="s">
        <v>198</v>
      </c>
      <c r="FX217" t="s">
        <v>198</v>
      </c>
      <c r="FY217" t="s">
        <v>198</v>
      </c>
      <c r="FZ217" t="s">
        <v>198</v>
      </c>
      <c r="GA217">
        <v>31.2</v>
      </c>
      <c r="GB217">
        <v>31.2</v>
      </c>
      <c r="GC217" t="s">
        <v>203</v>
      </c>
      <c r="GD217">
        <v>0</v>
      </c>
      <c r="GE217">
        <v>504</v>
      </c>
      <c r="GF217">
        <v>0</v>
      </c>
      <c r="GG217">
        <v>0</v>
      </c>
      <c r="GH217">
        <v>0</v>
      </c>
      <c r="GI217">
        <v>1</v>
      </c>
      <c r="GJ217">
        <v>1</v>
      </c>
      <c r="GK217">
        <v>0</v>
      </c>
      <c r="GL217" t="s">
        <v>198</v>
      </c>
      <c r="GM217" t="s">
        <v>198</v>
      </c>
      <c r="GN217" t="s">
        <v>198</v>
      </c>
    </row>
    <row r="218" spans="1:196">
      <c r="A218" s="19">
        <v>46316.90640443287</v>
      </c>
      <c r="B218">
        <v>0</v>
      </c>
      <c r="C218">
        <v>0</v>
      </c>
      <c r="D218">
        <v>277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584.2</v>
      </c>
      <c r="N218">
        <v>-0.5</v>
      </c>
      <c r="O218">
        <v>0</v>
      </c>
      <c r="P218">
        <v>0</v>
      </c>
      <c r="Q218">
        <v>0</v>
      </c>
      <c r="R218">
        <v>0</v>
      </c>
      <c r="S218">
        <v>115.6</v>
      </c>
      <c r="T218" t="s">
        <v>485</v>
      </c>
      <c r="U218">
        <v>115.7</v>
      </c>
      <c r="V218">
        <v>1762727256586.8</v>
      </c>
      <c r="W218">
        <v>1</v>
      </c>
      <c r="X218" t="s">
        <v>197</v>
      </c>
      <c r="Y218">
        <v>0</v>
      </c>
      <c r="Z218">
        <v>98</v>
      </c>
      <c r="AA218">
        <v>278</v>
      </c>
      <c r="AB218" t="s">
        <v>197</v>
      </c>
      <c r="AC218" t="s">
        <v>198</v>
      </c>
      <c r="AD218" t="s">
        <v>199</v>
      </c>
      <c r="AE218">
        <v>0</v>
      </c>
      <c r="AF218">
        <v>44</v>
      </c>
      <c r="AG218">
        <v>255</v>
      </c>
      <c r="AH218">
        <v>0</v>
      </c>
      <c r="AI218">
        <v>0</v>
      </c>
      <c r="AJ218">
        <v>0</v>
      </c>
      <c r="AK218">
        <v>12.6</v>
      </c>
      <c r="AL218">
        <v>0</v>
      </c>
      <c r="AM218">
        <v>0</v>
      </c>
      <c r="AN218" t="s">
        <v>197</v>
      </c>
      <c r="AO218">
        <v>100</v>
      </c>
      <c r="AP218" t="s">
        <v>197</v>
      </c>
      <c r="AQ218" t="s">
        <v>200</v>
      </c>
      <c r="AR218">
        <v>1</v>
      </c>
      <c r="AS218">
        <v>0</v>
      </c>
      <c r="AT218" t="s">
        <v>564</v>
      </c>
      <c r="AU218" t="s">
        <v>564</v>
      </c>
      <c r="AV218" t="s">
        <v>202</v>
      </c>
      <c r="AW218" t="s">
        <v>203</v>
      </c>
      <c r="AX218" t="s">
        <v>203</v>
      </c>
      <c r="AY218" t="s">
        <v>203</v>
      </c>
      <c r="AZ218" t="s">
        <v>203</v>
      </c>
      <c r="BA218" t="s">
        <v>203</v>
      </c>
      <c r="BB218" t="s">
        <v>203</v>
      </c>
      <c r="BC218" t="s">
        <v>203</v>
      </c>
      <c r="BD218" t="s">
        <v>203</v>
      </c>
      <c r="BE218" t="s">
        <v>203</v>
      </c>
      <c r="BF218">
        <v>0</v>
      </c>
      <c r="BG218">
        <v>0.2</v>
      </c>
      <c r="BH218">
        <v>50</v>
      </c>
      <c r="BI218">
        <v>0</v>
      </c>
      <c r="BJ218" t="s">
        <v>198</v>
      </c>
      <c r="BK218" t="s">
        <v>198</v>
      </c>
      <c r="BL218" t="s">
        <v>198</v>
      </c>
      <c r="BM218" t="s">
        <v>198</v>
      </c>
      <c r="BN218" t="s">
        <v>198</v>
      </c>
      <c r="BO218" t="s">
        <v>198</v>
      </c>
      <c r="BP218" t="s">
        <v>198</v>
      </c>
      <c r="BQ218" t="s">
        <v>198</v>
      </c>
      <c r="BR218" t="s">
        <v>198</v>
      </c>
      <c r="BS218" t="s">
        <v>198</v>
      </c>
      <c r="BT218" t="s">
        <v>198</v>
      </c>
      <c r="BU218" t="s">
        <v>198</v>
      </c>
      <c r="BV218" t="s">
        <v>198</v>
      </c>
      <c r="BW218" t="s">
        <v>198</v>
      </c>
      <c r="BX218" t="s">
        <v>198</v>
      </c>
      <c r="BY218" t="s">
        <v>198</v>
      </c>
      <c r="BZ218" t="s">
        <v>198</v>
      </c>
      <c r="CA218" t="s">
        <v>198</v>
      </c>
      <c r="CB218" t="s">
        <v>204</v>
      </c>
      <c r="CC218" t="s">
        <v>204</v>
      </c>
      <c r="CD218" t="s">
        <v>204</v>
      </c>
      <c r="CE218" t="s">
        <v>204</v>
      </c>
      <c r="CF218" t="s">
        <v>204</v>
      </c>
      <c r="CG218" t="s">
        <v>204</v>
      </c>
      <c r="CH218" t="s">
        <v>204</v>
      </c>
      <c r="CI218" t="s">
        <v>204</v>
      </c>
      <c r="CJ218" t="s">
        <v>204</v>
      </c>
      <c r="CK218" t="s">
        <v>204</v>
      </c>
      <c r="CL218" t="s">
        <v>204</v>
      </c>
      <c r="CM218" t="s">
        <v>204</v>
      </c>
      <c r="CN218" t="s">
        <v>203</v>
      </c>
      <c r="CO218" t="s">
        <v>203</v>
      </c>
      <c r="CP218" t="s">
        <v>203</v>
      </c>
      <c r="CQ218" t="s">
        <v>203</v>
      </c>
      <c r="CR218" t="s">
        <v>203</v>
      </c>
      <c r="CS218" t="s">
        <v>203</v>
      </c>
      <c r="CT218" t="s">
        <v>203</v>
      </c>
      <c r="CU218" t="s">
        <v>203</v>
      </c>
      <c r="CV218">
        <v>0</v>
      </c>
      <c r="CW218">
        <v>0</v>
      </c>
      <c r="CX218" t="s">
        <v>198</v>
      </c>
      <c r="CY218" t="s">
        <v>198</v>
      </c>
      <c r="CZ218" t="s">
        <v>198</v>
      </c>
      <c r="DA218" t="s">
        <v>198</v>
      </c>
      <c r="DB218" t="s">
        <v>198</v>
      </c>
      <c r="DC218">
        <v>0</v>
      </c>
      <c r="DD218">
        <v>0</v>
      </c>
      <c r="DE218">
        <v>0</v>
      </c>
      <c r="DF218">
        <v>0</v>
      </c>
      <c r="DG218">
        <v>-35.3631166</v>
      </c>
      <c r="DH218">
        <v>149.1639735</v>
      </c>
      <c r="DI218" t="s">
        <v>360</v>
      </c>
      <c r="DJ218">
        <v>1.2</v>
      </c>
      <c r="DK218">
        <v>2</v>
      </c>
      <c r="DL218">
        <v>159.8</v>
      </c>
      <c r="DM218">
        <v>0</v>
      </c>
      <c r="DN218">
        <v>6</v>
      </c>
      <c r="DO218">
        <v>10</v>
      </c>
      <c r="DP218">
        <v>0</v>
      </c>
      <c r="DQ218">
        <v>255</v>
      </c>
      <c r="DR218">
        <v>255</v>
      </c>
      <c r="DS218">
        <v>255</v>
      </c>
      <c r="DT218">
        <v>255</v>
      </c>
      <c r="DU218">
        <v>255</v>
      </c>
      <c r="DV218">
        <v>255</v>
      </c>
      <c r="DW218">
        <v>255</v>
      </c>
      <c r="DX218" t="s">
        <v>206</v>
      </c>
      <c r="DY218" t="s">
        <v>206</v>
      </c>
      <c r="DZ218" t="s">
        <v>207</v>
      </c>
      <c r="EA218" t="s">
        <v>198</v>
      </c>
      <c r="EB218" t="s">
        <v>198</v>
      </c>
      <c r="EC218" t="s">
        <v>198</v>
      </c>
      <c r="ED218">
        <v>0</v>
      </c>
      <c r="EE218">
        <v>0</v>
      </c>
      <c r="EF218">
        <v>0</v>
      </c>
      <c r="EG218">
        <v>0</v>
      </c>
      <c r="EH218">
        <v>255</v>
      </c>
      <c r="EI218">
        <v>255</v>
      </c>
      <c r="EJ218">
        <v>255</v>
      </c>
      <c r="EK218">
        <v>255</v>
      </c>
      <c r="EL218">
        <v>255</v>
      </c>
      <c r="EM218">
        <v>255</v>
      </c>
      <c r="EN218">
        <v>255</v>
      </c>
      <c r="EO218">
        <v>255</v>
      </c>
      <c r="EP218">
        <v>255</v>
      </c>
      <c r="EQ218">
        <v>255</v>
      </c>
      <c r="ER218" t="s">
        <v>208</v>
      </c>
      <c r="ES218" t="s">
        <v>209</v>
      </c>
      <c r="ET218" t="s">
        <v>209</v>
      </c>
      <c r="EU218">
        <v>0</v>
      </c>
      <c r="EV218">
        <v>16.2</v>
      </c>
      <c r="EW218">
        <v>-114.7</v>
      </c>
      <c r="EX218">
        <v>-0.2</v>
      </c>
      <c r="EY218">
        <v>0</v>
      </c>
      <c r="EZ218">
        <v>0</v>
      </c>
      <c r="FA218">
        <v>0</v>
      </c>
      <c r="FB218" t="s">
        <v>198</v>
      </c>
      <c r="FC218" t="s">
        <v>198</v>
      </c>
      <c r="FD218" t="s">
        <v>198</v>
      </c>
      <c r="FE218" t="s">
        <v>198</v>
      </c>
      <c r="FF218" t="s">
        <v>198</v>
      </c>
      <c r="FG218" t="s">
        <v>198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 t="s">
        <v>203</v>
      </c>
      <c r="FP218" t="s">
        <v>203</v>
      </c>
      <c r="FQ218" t="s">
        <v>203</v>
      </c>
      <c r="FR218" t="s">
        <v>203</v>
      </c>
      <c r="FS218" t="s">
        <v>203</v>
      </c>
      <c r="FT218" t="s">
        <v>203</v>
      </c>
      <c r="FU218" t="s">
        <v>198</v>
      </c>
      <c r="FV218" t="s">
        <v>198</v>
      </c>
      <c r="FW218" t="s">
        <v>198</v>
      </c>
      <c r="FX218" t="s">
        <v>198</v>
      </c>
      <c r="FY218" t="s">
        <v>198</v>
      </c>
      <c r="FZ218" t="s">
        <v>198</v>
      </c>
      <c r="GA218">
        <v>31.2</v>
      </c>
      <c r="GB218">
        <v>31.2</v>
      </c>
      <c r="GC218" t="s">
        <v>203</v>
      </c>
      <c r="GD218">
        <v>0</v>
      </c>
      <c r="GE218">
        <v>504</v>
      </c>
      <c r="GF218">
        <v>0</v>
      </c>
      <c r="GG218">
        <v>0</v>
      </c>
      <c r="GH218">
        <v>0</v>
      </c>
      <c r="GI218">
        <v>1</v>
      </c>
      <c r="GJ218">
        <v>1</v>
      </c>
      <c r="GK218">
        <v>0</v>
      </c>
      <c r="GL218" t="s">
        <v>198</v>
      </c>
      <c r="GM218" t="s">
        <v>198</v>
      </c>
      <c r="GN218" t="s">
        <v>198</v>
      </c>
    </row>
    <row r="219" spans="1:196">
      <c r="A219" s="19">
        <v>46316.90641600695</v>
      </c>
      <c r="B219">
        <v>0</v>
      </c>
      <c r="C219">
        <v>0</v>
      </c>
      <c r="D219">
        <v>277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584.2</v>
      </c>
      <c r="N219">
        <v>-0.5</v>
      </c>
      <c r="O219">
        <v>0</v>
      </c>
      <c r="P219">
        <v>0</v>
      </c>
      <c r="Q219">
        <v>0</v>
      </c>
      <c r="R219">
        <v>0</v>
      </c>
      <c r="S219">
        <v>115.6</v>
      </c>
      <c r="T219" t="s">
        <v>485</v>
      </c>
      <c r="U219">
        <v>115.7</v>
      </c>
      <c r="V219">
        <v>1762727256586.8</v>
      </c>
      <c r="W219">
        <v>1</v>
      </c>
      <c r="X219" t="s">
        <v>197</v>
      </c>
      <c r="Y219">
        <v>0</v>
      </c>
      <c r="Z219">
        <v>98</v>
      </c>
      <c r="AA219">
        <v>278</v>
      </c>
      <c r="AB219" t="s">
        <v>197</v>
      </c>
      <c r="AC219" t="s">
        <v>198</v>
      </c>
      <c r="AD219" t="s">
        <v>199</v>
      </c>
      <c r="AE219">
        <v>0</v>
      </c>
      <c r="AF219">
        <v>44</v>
      </c>
      <c r="AG219">
        <v>255</v>
      </c>
      <c r="AH219">
        <v>0</v>
      </c>
      <c r="AI219">
        <v>0</v>
      </c>
      <c r="AJ219">
        <v>0</v>
      </c>
      <c r="AK219">
        <v>12.6</v>
      </c>
      <c r="AL219">
        <v>0</v>
      </c>
      <c r="AM219">
        <v>0</v>
      </c>
      <c r="AN219" t="s">
        <v>197</v>
      </c>
      <c r="AO219">
        <v>100</v>
      </c>
      <c r="AP219" t="s">
        <v>197</v>
      </c>
      <c r="AQ219" t="s">
        <v>200</v>
      </c>
      <c r="AR219">
        <v>1</v>
      </c>
      <c r="AS219">
        <v>0</v>
      </c>
      <c r="AT219" t="s">
        <v>565</v>
      </c>
      <c r="AU219" t="s">
        <v>565</v>
      </c>
      <c r="AV219" t="s">
        <v>202</v>
      </c>
      <c r="AW219" t="s">
        <v>203</v>
      </c>
      <c r="AX219" t="s">
        <v>203</v>
      </c>
      <c r="AY219" t="s">
        <v>203</v>
      </c>
      <c r="AZ219" t="s">
        <v>203</v>
      </c>
      <c r="BA219" t="s">
        <v>203</v>
      </c>
      <c r="BB219" t="s">
        <v>203</v>
      </c>
      <c r="BC219" t="s">
        <v>203</v>
      </c>
      <c r="BD219" t="s">
        <v>203</v>
      </c>
      <c r="BE219" t="s">
        <v>203</v>
      </c>
      <c r="BF219">
        <v>0</v>
      </c>
      <c r="BG219">
        <v>0.2</v>
      </c>
      <c r="BH219">
        <v>50</v>
      </c>
      <c r="BI219">
        <v>0</v>
      </c>
      <c r="BJ219" t="s">
        <v>198</v>
      </c>
      <c r="BK219" t="s">
        <v>198</v>
      </c>
      <c r="BL219" t="s">
        <v>198</v>
      </c>
      <c r="BM219" t="s">
        <v>198</v>
      </c>
      <c r="BN219" t="s">
        <v>198</v>
      </c>
      <c r="BO219" t="s">
        <v>198</v>
      </c>
      <c r="BP219" t="s">
        <v>198</v>
      </c>
      <c r="BQ219" t="s">
        <v>198</v>
      </c>
      <c r="BR219" t="s">
        <v>198</v>
      </c>
      <c r="BS219" t="s">
        <v>198</v>
      </c>
      <c r="BT219" t="s">
        <v>198</v>
      </c>
      <c r="BU219" t="s">
        <v>198</v>
      </c>
      <c r="BV219" t="s">
        <v>198</v>
      </c>
      <c r="BW219" t="s">
        <v>198</v>
      </c>
      <c r="BX219" t="s">
        <v>198</v>
      </c>
      <c r="BY219" t="s">
        <v>198</v>
      </c>
      <c r="BZ219" t="s">
        <v>198</v>
      </c>
      <c r="CA219" t="s">
        <v>198</v>
      </c>
      <c r="CB219" t="s">
        <v>204</v>
      </c>
      <c r="CC219" t="s">
        <v>204</v>
      </c>
      <c r="CD219" t="s">
        <v>204</v>
      </c>
      <c r="CE219" t="s">
        <v>204</v>
      </c>
      <c r="CF219" t="s">
        <v>204</v>
      </c>
      <c r="CG219" t="s">
        <v>204</v>
      </c>
      <c r="CH219" t="s">
        <v>204</v>
      </c>
      <c r="CI219" t="s">
        <v>204</v>
      </c>
      <c r="CJ219" t="s">
        <v>204</v>
      </c>
      <c r="CK219" t="s">
        <v>204</v>
      </c>
      <c r="CL219" t="s">
        <v>204</v>
      </c>
      <c r="CM219" t="s">
        <v>204</v>
      </c>
      <c r="CN219" t="s">
        <v>203</v>
      </c>
      <c r="CO219" t="s">
        <v>203</v>
      </c>
      <c r="CP219" t="s">
        <v>203</v>
      </c>
      <c r="CQ219" t="s">
        <v>203</v>
      </c>
      <c r="CR219" t="s">
        <v>203</v>
      </c>
      <c r="CS219" t="s">
        <v>203</v>
      </c>
      <c r="CT219" t="s">
        <v>203</v>
      </c>
      <c r="CU219" t="s">
        <v>203</v>
      </c>
      <c r="CV219">
        <v>0</v>
      </c>
      <c r="CW219">
        <v>0</v>
      </c>
      <c r="CX219" t="s">
        <v>198</v>
      </c>
      <c r="CY219" t="s">
        <v>198</v>
      </c>
      <c r="CZ219" t="s">
        <v>198</v>
      </c>
      <c r="DA219" t="s">
        <v>198</v>
      </c>
      <c r="DB219" t="s">
        <v>198</v>
      </c>
      <c r="DC219">
        <v>0</v>
      </c>
      <c r="DD219">
        <v>0</v>
      </c>
      <c r="DE219">
        <v>0</v>
      </c>
      <c r="DF219">
        <v>0</v>
      </c>
      <c r="DG219">
        <v>-35.3631166</v>
      </c>
      <c r="DH219">
        <v>149.1639735</v>
      </c>
      <c r="DI219" t="s">
        <v>360</v>
      </c>
      <c r="DJ219">
        <v>1.2</v>
      </c>
      <c r="DK219">
        <v>2</v>
      </c>
      <c r="DL219">
        <v>159.8</v>
      </c>
      <c r="DM219">
        <v>0</v>
      </c>
      <c r="DN219">
        <v>6</v>
      </c>
      <c r="DO219">
        <v>10</v>
      </c>
      <c r="DP219">
        <v>0</v>
      </c>
      <c r="DQ219">
        <v>255</v>
      </c>
      <c r="DR219">
        <v>255</v>
      </c>
      <c r="DS219">
        <v>255</v>
      </c>
      <c r="DT219">
        <v>255</v>
      </c>
      <c r="DU219">
        <v>255</v>
      </c>
      <c r="DV219">
        <v>255</v>
      </c>
      <c r="DW219">
        <v>255</v>
      </c>
      <c r="DX219" t="s">
        <v>206</v>
      </c>
      <c r="DY219" t="s">
        <v>206</v>
      </c>
      <c r="DZ219" t="s">
        <v>207</v>
      </c>
      <c r="EA219" t="s">
        <v>198</v>
      </c>
      <c r="EB219" t="s">
        <v>198</v>
      </c>
      <c r="EC219" t="s">
        <v>198</v>
      </c>
      <c r="ED219">
        <v>0</v>
      </c>
      <c r="EE219">
        <v>0</v>
      </c>
      <c r="EF219">
        <v>0</v>
      </c>
      <c r="EG219">
        <v>0</v>
      </c>
      <c r="EH219">
        <v>255</v>
      </c>
      <c r="EI219">
        <v>255</v>
      </c>
      <c r="EJ219">
        <v>255</v>
      </c>
      <c r="EK219">
        <v>255</v>
      </c>
      <c r="EL219">
        <v>255</v>
      </c>
      <c r="EM219">
        <v>255</v>
      </c>
      <c r="EN219">
        <v>255</v>
      </c>
      <c r="EO219">
        <v>255</v>
      </c>
      <c r="EP219">
        <v>255</v>
      </c>
      <c r="EQ219">
        <v>255</v>
      </c>
      <c r="ER219" t="s">
        <v>208</v>
      </c>
      <c r="ES219" t="s">
        <v>209</v>
      </c>
      <c r="ET219" t="s">
        <v>209</v>
      </c>
      <c r="EU219">
        <v>0</v>
      </c>
      <c r="EV219">
        <v>16.2</v>
      </c>
      <c r="EW219">
        <v>-114.7</v>
      </c>
      <c r="EX219">
        <v>-0.2</v>
      </c>
      <c r="EY219">
        <v>0</v>
      </c>
      <c r="EZ219">
        <v>0</v>
      </c>
      <c r="FA219">
        <v>0</v>
      </c>
      <c r="FB219" t="s">
        <v>198</v>
      </c>
      <c r="FC219" t="s">
        <v>198</v>
      </c>
      <c r="FD219" t="s">
        <v>198</v>
      </c>
      <c r="FE219" t="s">
        <v>198</v>
      </c>
      <c r="FF219" t="s">
        <v>198</v>
      </c>
      <c r="FG219" t="s">
        <v>198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 t="s">
        <v>203</v>
      </c>
      <c r="FP219" t="s">
        <v>203</v>
      </c>
      <c r="FQ219" t="s">
        <v>203</v>
      </c>
      <c r="FR219" t="s">
        <v>203</v>
      </c>
      <c r="FS219" t="s">
        <v>203</v>
      </c>
      <c r="FT219" t="s">
        <v>203</v>
      </c>
      <c r="FU219" t="s">
        <v>198</v>
      </c>
      <c r="FV219" t="s">
        <v>198</v>
      </c>
      <c r="FW219" t="s">
        <v>198</v>
      </c>
      <c r="FX219" t="s">
        <v>198</v>
      </c>
      <c r="FY219" t="s">
        <v>198</v>
      </c>
      <c r="FZ219" t="s">
        <v>198</v>
      </c>
      <c r="GA219">
        <v>31.2</v>
      </c>
      <c r="GB219">
        <v>31.2</v>
      </c>
      <c r="GC219" t="s">
        <v>203</v>
      </c>
      <c r="GD219">
        <v>0</v>
      </c>
      <c r="GE219">
        <v>504</v>
      </c>
      <c r="GF219">
        <v>0</v>
      </c>
      <c r="GG219">
        <v>0</v>
      </c>
      <c r="GH219">
        <v>0</v>
      </c>
      <c r="GI219">
        <v>1</v>
      </c>
      <c r="GJ219">
        <v>1</v>
      </c>
      <c r="GK219">
        <v>0</v>
      </c>
      <c r="GL219" t="s">
        <v>198</v>
      </c>
      <c r="GM219" t="s">
        <v>198</v>
      </c>
      <c r="GN219" t="s">
        <v>198</v>
      </c>
    </row>
    <row r="220" spans="1:196">
      <c r="A220" s="19">
        <v>46316.90642758102</v>
      </c>
      <c r="B220">
        <v>0</v>
      </c>
      <c r="C220">
        <v>0</v>
      </c>
      <c r="D220">
        <v>277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584.2</v>
      </c>
      <c r="N220">
        <v>-0.5</v>
      </c>
      <c r="O220">
        <v>0</v>
      </c>
      <c r="P220">
        <v>0</v>
      </c>
      <c r="Q220">
        <v>0</v>
      </c>
      <c r="R220">
        <v>0</v>
      </c>
      <c r="S220">
        <v>115.6</v>
      </c>
      <c r="T220" t="s">
        <v>485</v>
      </c>
      <c r="U220">
        <v>115.7</v>
      </c>
      <c r="V220">
        <v>1762727256586.8</v>
      </c>
      <c r="W220">
        <v>1</v>
      </c>
      <c r="X220" t="s">
        <v>197</v>
      </c>
      <c r="Y220">
        <v>0</v>
      </c>
      <c r="Z220">
        <v>98</v>
      </c>
      <c r="AA220">
        <v>278</v>
      </c>
      <c r="AB220" t="s">
        <v>197</v>
      </c>
      <c r="AC220" t="s">
        <v>198</v>
      </c>
      <c r="AD220" t="s">
        <v>199</v>
      </c>
      <c r="AE220">
        <v>0</v>
      </c>
      <c r="AF220">
        <v>44</v>
      </c>
      <c r="AG220">
        <v>255</v>
      </c>
      <c r="AH220">
        <v>0</v>
      </c>
      <c r="AI220">
        <v>0</v>
      </c>
      <c r="AJ220">
        <v>0</v>
      </c>
      <c r="AK220">
        <v>12.6</v>
      </c>
      <c r="AL220">
        <v>0</v>
      </c>
      <c r="AM220">
        <v>0</v>
      </c>
      <c r="AN220" t="s">
        <v>197</v>
      </c>
      <c r="AO220">
        <v>100</v>
      </c>
      <c r="AP220" t="s">
        <v>197</v>
      </c>
      <c r="AQ220" t="s">
        <v>200</v>
      </c>
      <c r="AR220">
        <v>1</v>
      </c>
      <c r="AS220">
        <v>0</v>
      </c>
      <c r="AT220" t="s">
        <v>566</v>
      </c>
      <c r="AU220" t="s">
        <v>566</v>
      </c>
      <c r="AV220" t="s">
        <v>202</v>
      </c>
      <c r="AW220" t="s">
        <v>203</v>
      </c>
      <c r="AX220" t="s">
        <v>203</v>
      </c>
      <c r="AY220" t="s">
        <v>203</v>
      </c>
      <c r="AZ220" t="s">
        <v>203</v>
      </c>
      <c r="BA220" t="s">
        <v>203</v>
      </c>
      <c r="BB220" t="s">
        <v>203</v>
      </c>
      <c r="BC220" t="s">
        <v>203</v>
      </c>
      <c r="BD220" t="s">
        <v>203</v>
      </c>
      <c r="BE220" t="s">
        <v>203</v>
      </c>
      <c r="BF220">
        <v>0</v>
      </c>
      <c r="BG220">
        <v>0.2</v>
      </c>
      <c r="BH220">
        <v>50</v>
      </c>
      <c r="BI220">
        <v>0</v>
      </c>
      <c r="BJ220" t="s">
        <v>198</v>
      </c>
      <c r="BK220" t="s">
        <v>198</v>
      </c>
      <c r="BL220" t="s">
        <v>198</v>
      </c>
      <c r="BM220" t="s">
        <v>198</v>
      </c>
      <c r="BN220" t="s">
        <v>198</v>
      </c>
      <c r="BO220" t="s">
        <v>198</v>
      </c>
      <c r="BP220" t="s">
        <v>198</v>
      </c>
      <c r="BQ220" t="s">
        <v>198</v>
      </c>
      <c r="BR220" t="s">
        <v>198</v>
      </c>
      <c r="BS220" t="s">
        <v>198</v>
      </c>
      <c r="BT220" t="s">
        <v>198</v>
      </c>
      <c r="BU220" t="s">
        <v>198</v>
      </c>
      <c r="BV220" t="s">
        <v>198</v>
      </c>
      <c r="BW220" t="s">
        <v>198</v>
      </c>
      <c r="BX220" t="s">
        <v>198</v>
      </c>
      <c r="BY220" t="s">
        <v>198</v>
      </c>
      <c r="BZ220" t="s">
        <v>198</v>
      </c>
      <c r="CA220" t="s">
        <v>198</v>
      </c>
      <c r="CB220" t="s">
        <v>204</v>
      </c>
      <c r="CC220" t="s">
        <v>204</v>
      </c>
      <c r="CD220" t="s">
        <v>204</v>
      </c>
      <c r="CE220" t="s">
        <v>204</v>
      </c>
      <c r="CF220" t="s">
        <v>204</v>
      </c>
      <c r="CG220" t="s">
        <v>204</v>
      </c>
      <c r="CH220" t="s">
        <v>204</v>
      </c>
      <c r="CI220" t="s">
        <v>204</v>
      </c>
      <c r="CJ220" t="s">
        <v>204</v>
      </c>
      <c r="CK220" t="s">
        <v>204</v>
      </c>
      <c r="CL220" t="s">
        <v>204</v>
      </c>
      <c r="CM220" t="s">
        <v>204</v>
      </c>
      <c r="CN220" t="s">
        <v>203</v>
      </c>
      <c r="CO220" t="s">
        <v>203</v>
      </c>
      <c r="CP220" t="s">
        <v>203</v>
      </c>
      <c r="CQ220" t="s">
        <v>203</v>
      </c>
      <c r="CR220" t="s">
        <v>203</v>
      </c>
      <c r="CS220" t="s">
        <v>203</v>
      </c>
      <c r="CT220" t="s">
        <v>203</v>
      </c>
      <c r="CU220" t="s">
        <v>203</v>
      </c>
      <c r="CV220">
        <v>0</v>
      </c>
      <c r="CW220">
        <v>0</v>
      </c>
      <c r="CX220" t="s">
        <v>198</v>
      </c>
      <c r="CY220" t="s">
        <v>198</v>
      </c>
      <c r="CZ220" t="s">
        <v>198</v>
      </c>
      <c r="DA220" t="s">
        <v>198</v>
      </c>
      <c r="DB220" t="s">
        <v>198</v>
      </c>
      <c r="DC220">
        <v>0</v>
      </c>
      <c r="DD220">
        <v>0</v>
      </c>
      <c r="DE220">
        <v>0</v>
      </c>
      <c r="DF220">
        <v>0</v>
      </c>
      <c r="DG220">
        <v>-35.3631166</v>
      </c>
      <c r="DH220">
        <v>149.1639735</v>
      </c>
      <c r="DI220" t="s">
        <v>360</v>
      </c>
      <c r="DJ220">
        <v>1.2</v>
      </c>
      <c r="DK220">
        <v>2</v>
      </c>
      <c r="DL220">
        <v>159.8</v>
      </c>
      <c r="DM220">
        <v>0</v>
      </c>
      <c r="DN220">
        <v>6</v>
      </c>
      <c r="DO220">
        <v>10</v>
      </c>
      <c r="DP220">
        <v>0</v>
      </c>
      <c r="DQ220">
        <v>255</v>
      </c>
      <c r="DR220">
        <v>255</v>
      </c>
      <c r="DS220">
        <v>255</v>
      </c>
      <c r="DT220">
        <v>255</v>
      </c>
      <c r="DU220">
        <v>255</v>
      </c>
      <c r="DV220">
        <v>255</v>
      </c>
      <c r="DW220">
        <v>255</v>
      </c>
      <c r="DX220" t="s">
        <v>206</v>
      </c>
      <c r="DY220" t="s">
        <v>206</v>
      </c>
      <c r="DZ220" t="s">
        <v>207</v>
      </c>
      <c r="EA220" t="s">
        <v>198</v>
      </c>
      <c r="EB220" t="s">
        <v>198</v>
      </c>
      <c r="EC220" t="s">
        <v>198</v>
      </c>
      <c r="ED220">
        <v>0</v>
      </c>
      <c r="EE220">
        <v>0</v>
      </c>
      <c r="EF220">
        <v>0</v>
      </c>
      <c r="EG220">
        <v>0</v>
      </c>
      <c r="EH220">
        <v>255</v>
      </c>
      <c r="EI220">
        <v>255</v>
      </c>
      <c r="EJ220">
        <v>255</v>
      </c>
      <c r="EK220">
        <v>255</v>
      </c>
      <c r="EL220">
        <v>255</v>
      </c>
      <c r="EM220">
        <v>255</v>
      </c>
      <c r="EN220">
        <v>255</v>
      </c>
      <c r="EO220">
        <v>255</v>
      </c>
      <c r="EP220">
        <v>255</v>
      </c>
      <c r="EQ220">
        <v>255</v>
      </c>
      <c r="ER220" t="s">
        <v>208</v>
      </c>
      <c r="ES220" t="s">
        <v>209</v>
      </c>
      <c r="ET220" t="s">
        <v>209</v>
      </c>
      <c r="EU220">
        <v>0</v>
      </c>
      <c r="EV220">
        <v>16.2</v>
      </c>
      <c r="EW220">
        <v>-114.7</v>
      </c>
      <c r="EX220">
        <v>-0.2</v>
      </c>
      <c r="EY220">
        <v>0</v>
      </c>
      <c r="EZ220">
        <v>0</v>
      </c>
      <c r="FA220">
        <v>0</v>
      </c>
      <c r="FB220" t="s">
        <v>198</v>
      </c>
      <c r="FC220" t="s">
        <v>198</v>
      </c>
      <c r="FD220" t="s">
        <v>198</v>
      </c>
      <c r="FE220" t="s">
        <v>198</v>
      </c>
      <c r="FF220" t="s">
        <v>198</v>
      </c>
      <c r="FG220" t="s">
        <v>198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 t="s">
        <v>203</v>
      </c>
      <c r="FP220" t="s">
        <v>203</v>
      </c>
      <c r="FQ220" t="s">
        <v>203</v>
      </c>
      <c r="FR220" t="s">
        <v>203</v>
      </c>
      <c r="FS220" t="s">
        <v>203</v>
      </c>
      <c r="FT220" t="s">
        <v>203</v>
      </c>
      <c r="FU220" t="s">
        <v>198</v>
      </c>
      <c r="FV220" t="s">
        <v>198</v>
      </c>
      <c r="FW220" t="s">
        <v>198</v>
      </c>
      <c r="FX220" t="s">
        <v>198</v>
      </c>
      <c r="FY220" t="s">
        <v>198</v>
      </c>
      <c r="FZ220" t="s">
        <v>198</v>
      </c>
      <c r="GA220">
        <v>31.2</v>
      </c>
      <c r="GB220">
        <v>31.2</v>
      </c>
      <c r="GC220" t="s">
        <v>203</v>
      </c>
      <c r="GD220">
        <v>0</v>
      </c>
      <c r="GE220">
        <v>504</v>
      </c>
      <c r="GF220">
        <v>0</v>
      </c>
      <c r="GG220">
        <v>0</v>
      </c>
      <c r="GH220">
        <v>0</v>
      </c>
      <c r="GI220">
        <v>1</v>
      </c>
      <c r="GJ220">
        <v>1</v>
      </c>
      <c r="GK220">
        <v>0</v>
      </c>
      <c r="GL220" t="s">
        <v>198</v>
      </c>
      <c r="GM220" t="s">
        <v>198</v>
      </c>
      <c r="GN220" t="s">
        <v>198</v>
      </c>
    </row>
    <row r="221" spans="1:196">
      <c r="A221" s="19">
        <v>46316.90643915509</v>
      </c>
      <c r="B221">
        <v>0</v>
      </c>
      <c r="C221">
        <v>0</v>
      </c>
      <c r="D221">
        <v>277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584.2</v>
      </c>
      <c r="N221">
        <v>-0.5</v>
      </c>
      <c r="O221">
        <v>0</v>
      </c>
      <c r="P221">
        <v>0</v>
      </c>
      <c r="Q221">
        <v>0</v>
      </c>
      <c r="R221">
        <v>0</v>
      </c>
      <c r="S221">
        <v>115.6</v>
      </c>
      <c r="T221" t="s">
        <v>485</v>
      </c>
      <c r="U221">
        <v>115.7</v>
      </c>
      <c r="V221">
        <v>1762727256586.8</v>
      </c>
      <c r="W221">
        <v>1</v>
      </c>
      <c r="X221" t="s">
        <v>197</v>
      </c>
      <c r="Y221">
        <v>0</v>
      </c>
      <c r="Z221">
        <v>98</v>
      </c>
      <c r="AA221">
        <v>278</v>
      </c>
      <c r="AB221" t="s">
        <v>197</v>
      </c>
      <c r="AC221" t="s">
        <v>198</v>
      </c>
      <c r="AD221" t="s">
        <v>199</v>
      </c>
      <c r="AE221">
        <v>0</v>
      </c>
      <c r="AF221">
        <v>44</v>
      </c>
      <c r="AG221">
        <v>255</v>
      </c>
      <c r="AH221">
        <v>0</v>
      </c>
      <c r="AI221">
        <v>0</v>
      </c>
      <c r="AJ221">
        <v>0</v>
      </c>
      <c r="AK221">
        <v>12.6</v>
      </c>
      <c r="AL221">
        <v>0</v>
      </c>
      <c r="AM221">
        <v>0</v>
      </c>
      <c r="AN221" t="s">
        <v>197</v>
      </c>
      <c r="AO221">
        <v>100</v>
      </c>
      <c r="AP221" t="s">
        <v>197</v>
      </c>
      <c r="AQ221" t="s">
        <v>200</v>
      </c>
      <c r="AR221">
        <v>1</v>
      </c>
      <c r="AS221">
        <v>0</v>
      </c>
      <c r="AT221" t="s">
        <v>567</v>
      </c>
      <c r="AU221" t="s">
        <v>567</v>
      </c>
      <c r="AV221" t="s">
        <v>202</v>
      </c>
      <c r="AW221" t="s">
        <v>203</v>
      </c>
      <c r="AX221" t="s">
        <v>203</v>
      </c>
      <c r="AY221" t="s">
        <v>203</v>
      </c>
      <c r="AZ221" t="s">
        <v>203</v>
      </c>
      <c r="BA221" t="s">
        <v>203</v>
      </c>
      <c r="BB221" t="s">
        <v>203</v>
      </c>
      <c r="BC221" t="s">
        <v>203</v>
      </c>
      <c r="BD221" t="s">
        <v>203</v>
      </c>
      <c r="BE221" t="s">
        <v>203</v>
      </c>
      <c r="BF221">
        <v>0</v>
      </c>
      <c r="BG221">
        <v>0.2</v>
      </c>
      <c r="BH221">
        <v>50</v>
      </c>
      <c r="BI221">
        <v>0</v>
      </c>
      <c r="BJ221" t="s">
        <v>198</v>
      </c>
      <c r="BK221" t="s">
        <v>198</v>
      </c>
      <c r="BL221" t="s">
        <v>198</v>
      </c>
      <c r="BM221" t="s">
        <v>198</v>
      </c>
      <c r="BN221" t="s">
        <v>198</v>
      </c>
      <c r="BO221" t="s">
        <v>198</v>
      </c>
      <c r="BP221" t="s">
        <v>198</v>
      </c>
      <c r="BQ221" t="s">
        <v>198</v>
      </c>
      <c r="BR221" t="s">
        <v>198</v>
      </c>
      <c r="BS221" t="s">
        <v>198</v>
      </c>
      <c r="BT221" t="s">
        <v>198</v>
      </c>
      <c r="BU221" t="s">
        <v>198</v>
      </c>
      <c r="BV221" t="s">
        <v>198</v>
      </c>
      <c r="BW221" t="s">
        <v>198</v>
      </c>
      <c r="BX221" t="s">
        <v>198</v>
      </c>
      <c r="BY221" t="s">
        <v>198</v>
      </c>
      <c r="BZ221" t="s">
        <v>198</v>
      </c>
      <c r="CA221" t="s">
        <v>198</v>
      </c>
      <c r="CB221" t="s">
        <v>204</v>
      </c>
      <c r="CC221" t="s">
        <v>204</v>
      </c>
      <c r="CD221" t="s">
        <v>204</v>
      </c>
      <c r="CE221" t="s">
        <v>204</v>
      </c>
      <c r="CF221" t="s">
        <v>204</v>
      </c>
      <c r="CG221" t="s">
        <v>204</v>
      </c>
      <c r="CH221" t="s">
        <v>204</v>
      </c>
      <c r="CI221" t="s">
        <v>204</v>
      </c>
      <c r="CJ221" t="s">
        <v>204</v>
      </c>
      <c r="CK221" t="s">
        <v>204</v>
      </c>
      <c r="CL221" t="s">
        <v>204</v>
      </c>
      <c r="CM221" t="s">
        <v>204</v>
      </c>
      <c r="CN221" t="s">
        <v>203</v>
      </c>
      <c r="CO221" t="s">
        <v>203</v>
      </c>
      <c r="CP221" t="s">
        <v>203</v>
      </c>
      <c r="CQ221" t="s">
        <v>203</v>
      </c>
      <c r="CR221" t="s">
        <v>203</v>
      </c>
      <c r="CS221" t="s">
        <v>203</v>
      </c>
      <c r="CT221" t="s">
        <v>203</v>
      </c>
      <c r="CU221" t="s">
        <v>203</v>
      </c>
      <c r="CV221">
        <v>0</v>
      </c>
      <c r="CW221">
        <v>0</v>
      </c>
      <c r="CX221" t="s">
        <v>198</v>
      </c>
      <c r="CY221" t="s">
        <v>198</v>
      </c>
      <c r="CZ221" t="s">
        <v>198</v>
      </c>
      <c r="DA221" t="s">
        <v>198</v>
      </c>
      <c r="DB221" t="s">
        <v>198</v>
      </c>
      <c r="DC221">
        <v>0</v>
      </c>
      <c r="DD221">
        <v>0</v>
      </c>
      <c r="DE221">
        <v>0</v>
      </c>
      <c r="DF221">
        <v>0</v>
      </c>
      <c r="DG221">
        <v>-35.3631166</v>
      </c>
      <c r="DH221">
        <v>149.1639735</v>
      </c>
      <c r="DI221" t="s">
        <v>360</v>
      </c>
      <c r="DJ221">
        <v>1.2</v>
      </c>
      <c r="DK221">
        <v>2</v>
      </c>
      <c r="DL221">
        <v>159.8</v>
      </c>
      <c r="DM221">
        <v>0</v>
      </c>
      <c r="DN221">
        <v>6</v>
      </c>
      <c r="DO221">
        <v>10</v>
      </c>
      <c r="DP221">
        <v>0</v>
      </c>
      <c r="DQ221">
        <v>255</v>
      </c>
      <c r="DR221">
        <v>255</v>
      </c>
      <c r="DS221">
        <v>255</v>
      </c>
      <c r="DT221">
        <v>255</v>
      </c>
      <c r="DU221">
        <v>255</v>
      </c>
      <c r="DV221">
        <v>255</v>
      </c>
      <c r="DW221">
        <v>255</v>
      </c>
      <c r="DX221" t="s">
        <v>206</v>
      </c>
      <c r="DY221" t="s">
        <v>206</v>
      </c>
      <c r="DZ221" t="s">
        <v>207</v>
      </c>
      <c r="EA221" t="s">
        <v>198</v>
      </c>
      <c r="EB221" t="s">
        <v>198</v>
      </c>
      <c r="EC221" t="s">
        <v>198</v>
      </c>
      <c r="ED221">
        <v>0</v>
      </c>
      <c r="EE221">
        <v>0</v>
      </c>
      <c r="EF221">
        <v>0</v>
      </c>
      <c r="EG221">
        <v>0</v>
      </c>
      <c r="EH221">
        <v>255</v>
      </c>
      <c r="EI221">
        <v>255</v>
      </c>
      <c r="EJ221">
        <v>255</v>
      </c>
      <c r="EK221">
        <v>255</v>
      </c>
      <c r="EL221">
        <v>255</v>
      </c>
      <c r="EM221">
        <v>255</v>
      </c>
      <c r="EN221">
        <v>255</v>
      </c>
      <c r="EO221">
        <v>255</v>
      </c>
      <c r="EP221">
        <v>255</v>
      </c>
      <c r="EQ221">
        <v>255</v>
      </c>
      <c r="ER221" t="s">
        <v>208</v>
      </c>
      <c r="ES221" t="s">
        <v>209</v>
      </c>
      <c r="ET221" t="s">
        <v>209</v>
      </c>
      <c r="EU221">
        <v>0</v>
      </c>
      <c r="EV221">
        <v>16.2</v>
      </c>
      <c r="EW221">
        <v>-114.7</v>
      </c>
      <c r="EX221">
        <v>-0.2</v>
      </c>
      <c r="EY221">
        <v>0</v>
      </c>
      <c r="EZ221">
        <v>0</v>
      </c>
      <c r="FA221">
        <v>0</v>
      </c>
      <c r="FB221" t="s">
        <v>198</v>
      </c>
      <c r="FC221" t="s">
        <v>198</v>
      </c>
      <c r="FD221" t="s">
        <v>198</v>
      </c>
      <c r="FE221" t="s">
        <v>198</v>
      </c>
      <c r="FF221" t="s">
        <v>198</v>
      </c>
      <c r="FG221" t="s">
        <v>198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 t="s">
        <v>203</v>
      </c>
      <c r="FP221" t="s">
        <v>203</v>
      </c>
      <c r="FQ221" t="s">
        <v>203</v>
      </c>
      <c r="FR221" t="s">
        <v>203</v>
      </c>
      <c r="FS221" t="s">
        <v>203</v>
      </c>
      <c r="FT221" t="s">
        <v>203</v>
      </c>
      <c r="FU221" t="s">
        <v>198</v>
      </c>
      <c r="FV221" t="s">
        <v>198</v>
      </c>
      <c r="FW221" t="s">
        <v>198</v>
      </c>
      <c r="FX221" t="s">
        <v>198</v>
      </c>
      <c r="FY221" t="s">
        <v>198</v>
      </c>
      <c r="FZ221" t="s">
        <v>198</v>
      </c>
      <c r="GA221">
        <v>31.2</v>
      </c>
      <c r="GB221">
        <v>31.2</v>
      </c>
      <c r="GC221" t="s">
        <v>203</v>
      </c>
      <c r="GD221">
        <v>0</v>
      </c>
      <c r="GE221">
        <v>504</v>
      </c>
      <c r="GF221">
        <v>0</v>
      </c>
      <c r="GG221">
        <v>0</v>
      </c>
      <c r="GH221">
        <v>0</v>
      </c>
      <c r="GI221">
        <v>1</v>
      </c>
      <c r="GJ221">
        <v>1</v>
      </c>
      <c r="GK221">
        <v>0</v>
      </c>
      <c r="GL221" t="s">
        <v>198</v>
      </c>
      <c r="GM221" t="s">
        <v>198</v>
      </c>
      <c r="GN221" t="s">
        <v>198</v>
      </c>
    </row>
    <row r="222" spans="1:196">
      <c r="A222" s="19">
        <v>46316.90645072917</v>
      </c>
      <c r="B222">
        <v>0</v>
      </c>
      <c r="C222">
        <v>0</v>
      </c>
      <c r="D222">
        <v>277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584.2</v>
      </c>
      <c r="N222">
        <v>-0.5</v>
      </c>
      <c r="O222">
        <v>0</v>
      </c>
      <c r="P222">
        <v>0</v>
      </c>
      <c r="Q222">
        <v>0</v>
      </c>
      <c r="R222">
        <v>0</v>
      </c>
      <c r="S222">
        <v>115.6</v>
      </c>
      <c r="T222" t="s">
        <v>485</v>
      </c>
      <c r="U222">
        <v>115.7</v>
      </c>
      <c r="V222">
        <v>1762727256586.8</v>
      </c>
      <c r="W222">
        <v>1</v>
      </c>
      <c r="X222" t="s">
        <v>197</v>
      </c>
      <c r="Y222">
        <v>0</v>
      </c>
      <c r="Z222">
        <v>98</v>
      </c>
      <c r="AA222">
        <v>278</v>
      </c>
      <c r="AB222" t="s">
        <v>197</v>
      </c>
      <c r="AC222" t="s">
        <v>198</v>
      </c>
      <c r="AD222" t="s">
        <v>199</v>
      </c>
      <c r="AE222">
        <v>0</v>
      </c>
      <c r="AF222">
        <v>44</v>
      </c>
      <c r="AG222">
        <v>255</v>
      </c>
      <c r="AH222">
        <v>0</v>
      </c>
      <c r="AI222">
        <v>0</v>
      </c>
      <c r="AJ222">
        <v>0</v>
      </c>
      <c r="AK222">
        <v>12.6</v>
      </c>
      <c r="AL222">
        <v>0</v>
      </c>
      <c r="AM222">
        <v>0</v>
      </c>
      <c r="AN222" t="s">
        <v>197</v>
      </c>
      <c r="AO222">
        <v>100</v>
      </c>
      <c r="AP222" t="s">
        <v>197</v>
      </c>
      <c r="AQ222" t="s">
        <v>200</v>
      </c>
      <c r="AR222">
        <v>1</v>
      </c>
      <c r="AS222">
        <v>0</v>
      </c>
      <c r="AT222" t="s">
        <v>568</v>
      </c>
      <c r="AU222" t="s">
        <v>568</v>
      </c>
      <c r="AV222" t="s">
        <v>202</v>
      </c>
      <c r="AW222" t="s">
        <v>203</v>
      </c>
      <c r="AX222" t="s">
        <v>203</v>
      </c>
      <c r="AY222" t="s">
        <v>203</v>
      </c>
      <c r="AZ222" t="s">
        <v>203</v>
      </c>
      <c r="BA222" t="s">
        <v>203</v>
      </c>
      <c r="BB222" t="s">
        <v>203</v>
      </c>
      <c r="BC222" t="s">
        <v>203</v>
      </c>
      <c r="BD222" t="s">
        <v>203</v>
      </c>
      <c r="BE222" t="s">
        <v>203</v>
      </c>
      <c r="BF222">
        <v>0</v>
      </c>
      <c r="BG222">
        <v>0.2</v>
      </c>
      <c r="BH222">
        <v>50</v>
      </c>
      <c r="BI222">
        <v>0</v>
      </c>
      <c r="BJ222" t="s">
        <v>198</v>
      </c>
      <c r="BK222" t="s">
        <v>198</v>
      </c>
      <c r="BL222" t="s">
        <v>198</v>
      </c>
      <c r="BM222" t="s">
        <v>198</v>
      </c>
      <c r="BN222" t="s">
        <v>198</v>
      </c>
      <c r="BO222" t="s">
        <v>198</v>
      </c>
      <c r="BP222" t="s">
        <v>198</v>
      </c>
      <c r="BQ222" t="s">
        <v>198</v>
      </c>
      <c r="BR222" t="s">
        <v>198</v>
      </c>
      <c r="BS222" t="s">
        <v>198</v>
      </c>
      <c r="BT222" t="s">
        <v>198</v>
      </c>
      <c r="BU222" t="s">
        <v>198</v>
      </c>
      <c r="BV222" t="s">
        <v>198</v>
      </c>
      <c r="BW222" t="s">
        <v>198</v>
      </c>
      <c r="BX222" t="s">
        <v>198</v>
      </c>
      <c r="BY222" t="s">
        <v>198</v>
      </c>
      <c r="BZ222" t="s">
        <v>198</v>
      </c>
      <c r="CA222" t="s">
        <v>198</v>
      </c>
      <c r="CB222" t="s">
        <v>204</v>
      </c>
      <c r="CC222" t="s">
        <v>204</v>
      </c>
      <c r="CD222" t="s">
        <v>204</v>
      </c>
      <c r="CE222" t="s">
        <v>204</v>
      </c>
      <c r="CF222" t="s">
        <v>204</v>
      </c>
      <c r="CG222" t="s">
        <v>204</v>
      </c>
      <c r="CH222" t="s">
        <v>204</v>
      </c>
      <c r="CI222" t="s">
        <v>204</v>
      </c>
      <c r="CJ222" t="s">
        <v>204</v>
      </c>
      <c r="CK222" t="s">
        <v>204</v>
      </c>
      <c r="CL222" t="s">
        <v>204</v>
      </c>
      <c r="CM222" t="s">
        <v>204</v>
      </c>
      <c r="CN222" t="s">
        <v>203</v>
      </c>
      <c r="CO222" t="s">
        <v>203</v>
      </c>
      <c r="CP222" t="s">
        <v>203</v>
      </c>
      <c r="CQ222" t="s">
        <v>203</v>
      </c>
      <c r="CR222" t="s">
        <v>203</v>
      </c>
      <c r="CS222" t="s">
        <v>203</v>
      </c>
      <c r="CT222" t="s">
        <v>203</v>
      </c>
      <c r="CU222" t="s">
        <v>203</v>
      </c>
      <c r="CV222">
        <v>0</v>
      </c>
      <c r="CW222">
        <v>0</v>
      </c>
      <c r="CX222" t="s">
        <v>198</v>
      </c>
      <c r="CY222" t="s">
        <v>198</v>
      </c>
      <c r="CZ222" t="s">
        <v>198</v>
      </c>
      <c r="DA222" t="s">
        <v>198</v>
      </c>
      <c r="DB222" t="s">
        <v>198</v>
      </c>
      <c r="DC222">
        <v>0</v>
      </c>
      <c r="DD222">
        <v>0</v>
      </c>
      <c r="DE222">
        <v>0</v>
      </c>
      <c r="DF222">
        <v>0</v>
      </c>
      <c r="DG222">
        <v>-35.3631166</v>
      </c>
      <c r="DH222">
        <v>149.1639735</v>
      </c>
      <c r="DI222" t="s">
        <v>360</v>
      </c>
      <c r="DJ222">
        <v>1.2</v>
      </c>
      <c r="DK222">
        <v>2</v>
      </c>
      <c r="DL222">
        <v>159.8</v>
      </c>
      <c r="DM222">
        <v>0</v>
      </c>
      <c r="DN222">
        <v>6</v>
      </c>
      <c r="DO222">
        <v>10</v>
      </c>
      <c r="DP222">
        <v>0</v>
      </c>
      <c r="DQ222">
        <v>255</v>
      </c>
      <c r="DR222">
        <v>255</v>
      </c>
      <c r="DS222">
        <v>255</v>
      </c>
      <c r="DT222">
        <v>255</v>
      </c>
      <c r="DU222">
        <v>255</v>
      </c>
      <c r="DV222">
        <v>255</v>
      </c>
      <c r="DW222">
        <v>255</v>
      </c>
      <c r="DX222" t="s">
        <v>206</v>
      </c>
      <c r="DY222" t="s">
        <v>206</v>
      </c>
      <c r="DZ222" t="s">
        <v>207</v>
      </c>
      <c r="EA222" t="s">
        <v>198</v>
      </c>
      <c r="EB222" t="s">
        <v>198</v>
      </c>
      <c r="EC222" t="s">
        <v>198</v>
      </c>
      <c r="ED222">
        <v>0</v>
      </c>
      <c r="EE222">
        <v>0</v>
      </c>
      <c r="EF222">
        <v>0</v>
      </c>
      <c r="EG222">
        <v>0</v>
      </c>
      <c r="EH222">
        <v>255</v>
      </c>
      <c r="EI222">
        <v>255</v>
      </c>
      <c r="EJ222">
        <v>255</v>
      </c>
      <c r="EK222">
        <v>255</v>
      </c>
      <c r="EL222">
        <v>255</v>
      </c>
      <c r="EM222">
        <v>255</v>
      </c>
      <c r="EN222">
        <v>255</v>
      </c>
      <c r="EO222">
        <v>255</v>
      </c>
      <c r="EP222">
        <v>255</v>
      </c>
      <c r="EQ222">
        <v>255</v>
      </c>
      <c r="ER222" t="s">
        <v>208</v>
      </c>
      <c r="ES222" t="s">
        <v>209</v>
      </c>
      <c r="ET222" t="s">
        <v>209</v>
      </c>
      <c r="EU222">
        <v>0</v>
      </c>
      <c r="EV222">
        <v>16.2</v>
      </c>
      <c r="EW222">
        <v>-114.7</v>
      </c>
      <c r="EX222">
        <v>-0.2</v>
      </c>
      <c r="EY222">
        <v>0</v>
      </c>
      <c r="EZ222">
        <v>0</v>
      </c>
      <c r="FA222">
        <v>0</v>
      </c>
      <c r="FB222" t="s">
        <v>198</v>
      </c>
      <c r="FC222" t="s">
        <v>198</v>
      </c>
      <c r="FD222" t="s">
        <v>198</v>
      </c>
      <c r="FE222" t="s">
        <v>198</v>
      </c>
      <c r="FF222" t="s">
        <v>198</v>
      </c>
      <c r="FG222" t="s">
        <v>198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 t="s">
        <v>203</v>
      </c>
      <c r="FP222" t="s">
        <v>203</v>
      </c>
      <c r="FQ222" t="s">
        <v>203</v>
      </c>
      <c r="FR222" t="s">
        <v>203</v>
      </c>
      <c r="FS222" t="s">
        <v>203</v>
      </c>
      <c r="FT222" t="s">
        <v>203</v>
      </c>
      <c r="FU222" t="s">
        <v>198</v>
      </c>
      <c r="FV222" t="s">
        <v>198</v>
      </c>
      <c r="FW222" t="s">
        <v>198</v>
      </c>
      <c r="FX222" t="s">
        <v>198</v>
      </c>
      <c r="FY222" t="s">
        <v>198</v>
      </c>
      <c r="FZ222" t="s">
        <v>198</v>
      </c>
      <c r="GA222">
        <v>31.2</v>
      </c>
      <c r="GB222">
        <v>31.2</v>
      </c>
      <c r="GC222" t="s">
        <v>203</v>
      </c>
      <c r="GD222">
        <v>0</v>
      </c>
      <c r="GE222">
        <v>504</v>
      </c>
      <c r="GF222">
        <v>0</v>
      </c>
      <c r="GG222">
        <v>0</v>
      </c>
      <c r="GH222">
        <v>0</v>
      </c>
      <c r="GI222">
        <v>1</v>
      </c>
      <c r="GJ222">
        <v>1</v>
      </c>
      <c r="GK222">
        <v>0</v>
      </c>
      <c r="GL222" t="s">
        <v>198</v>
      </c>
      <c r="GM222" t="s">
        <v>198</v>
      </c>
      <c r="GN222" t="s">
        <v>198</v>
      </c>
    </row>
    <row r="223" spans="1:196">
      <c r="A223" s="19">
        <v>46316.90646230324</v>
      </c>
      <c r="B223">
        <v>0</v>
      </c>
      <c r="C223">
        <v>0</v>
      </c>
      <c r="D223">
        <v>277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584.2</v>
      </c>
      <c r="N223">
        <v>-0.5</v>
      </c>
      <c r="O223">
        <v>0</v>
      </c>
      <c r="P223">
        <v>0</v>
      </c>
      <c r="Q223">
        <v>0</v>
      </c>
      <c r="R223">
        <v>0</v>
      </c>
      <c r="S223">
        <v>115.6</v>
      </c>
      <c r="T223" t="s">
        <v>485</v>
      </c>
      <c r="U223">
        <v>115.7</v>
      </c>
      <c r="V223">
        <v>1762727256586.8</v>
      </c>
      <c r="W223">
        <v>1</v>
      </c>
      <c r="X223" t="s">
        <v>197</v>
      </c>
      <c r="Y223">
        <v>0</v>
      </c>
      <c r="Z223">
        <v>98</v>
      </c>
      <c r="AA223">
        <v>278</v>
      </c>
      <c r="AB223" t="s">
        <v>197</v>
      </c>
      <c r="AC223" t="s">
        <v>198</v>
      </c>
      <c r="AD223" t="s">
        <v>199</v>
      </c>
      <c r="AE223">
        <v>0</v>
      </c>
      <c r="AF223">
        <v>44</v>
      </c>
      <c r="AG223">
        <v>255</v>
      </c>
      <c r="AH223">
        <v>0</v>
      </c>
      <c r="AI223">
        <v>0</v>
      </c>
      <c r="AJ223">
        <v>0</v>
      </c>
      <c r="AK223">
        <v>12.6</v>
      </c>
      <c r="AL223">
        <v>0</v>
      </c>
      <c r="AM223">
        <v>0</v>
      </c>
      <c r="AN223" t="s">
        <v>197</v>
      </c>
      <c r="AO223">
        <v>100</v>
      </c>
      <c r="AP223" t="s">
        <v>197</v>
      </c>
      <c r="AQ223" t="s">
        <v>200</v>
      </c>
      <c r="AR223">
        <v>1</v>
      </c>
      <c r="AS223">
        <v>0</v>
      </c>
      <c r="AT223" t="s">
        <v>569</v>
      </c>
      <c r="AU223" t="s">
        <v>569</v>
      </c>
      <c r="AV223" t="s">
        <v>202</v>
      </c>
      <c r="AW223" t="s">
        <v>203</v>
      </c>
      <c r="AX223" t="s">
        <v>203</v>
      </c>
      <c r="AY223" t="s">
        <v>203</v>
      </c>
      <c r="AZ223" t="s">
        <v>203</v>
      </c>
      <c r="BA223" t="s">
        <v>203</v>
      </c>
      <c r="BB223" t="s">
        <v>203</v>
      </c>
      <c r="BC223" t="s">
        <v>203</v>
      </c>
      <c r="BD223" t="s">
        <v>203</v>
      </c>
      <c r="BE223" t="s">
        <v>203</v>
      </c>
      <c r="BF223">
        <v>0</v>
      </c>
      <c r="BG223">
        <v>0.2</v>
      </c>
      <c r="BH223">
        <v>50</v>
      </c>
      <c r="BI223">
        <v>0</v>
      </c>
      <c r="BJ223" t="s">
        <v>198</v>
      </c>
      <c r="BK223" t="s">
        <v>198</v>
      </c>
      <c r="BL223" t="s">
        <v>198</v>
      </c>
      <c r="BM223" t="s">
        <v>198</v>
      </c>
      <c r="BN223" t="s">
        <v>198</v>
      </c>
      <c r="BO223" t="s">
        <v>198</v>
      </c>
      <c r="BP223" t="s">
        <v>198</v>
      </c>
      <c r="BQ223" t="s">
        <v>198</v>
      </c>
      <c r="BR223" t="s">
        <v>198</v>
      </c>
      <c r="BS223" t="s">
        <v>198</v>
      </c>
      <c r="BT223" t="s">
        <v>198</v>
      </c>
      <c r="BU223" t="s">
        <v>198</v>
      </c>
      <c r="BV223" t="s">
        <v>198</v>
      </c>
      <c r="BW223" t="s">
        <v>198</v>
      </c>
      <c r="BX223" t="s">
        <v>198</v>
      </c>
      <c r="BY223" t="s">
        <v>198</v>
      </c>
      <c r="BZ223" t="s">
        <v>198</v>
      </c>
      <c r="CA223" t="s">
        <v>198</v>
      </c>
      <c r="CB223" t="s">
        <v>204</v>
      </c>
      <c r="CC223" t="s">
        <v>204</v>
      </c>
      <c r="CD223" t="s">
        <v>204</v>
      </c>
      <c r="CE223" t="s">
        <v>204</v>
      </c>
      <c r="CF223" t="s">
        <v>204</v>
      </c>
      <c r="CG223" t="s">
        <v>204</v>
      </c>
      <c r="CH223" t="s">
        <v>204</v>
      </c>
      <c r="CI223" t="s">
        <v>204</v>
      </c>
      <c r="CJ223" t="s">
        <v>204</v>
      </c>
      <c r="CK223" t="s">
        <v>204</v>
      </c>
      <c r="CL223" t="s">
        <v>204</v>
      </c>
      <c r="CM223" t="s">
        <v>204</v>
      </c>
      <c r="CN223" t="s">
        <v>203</v>
      </c>
      <c r="CO223" t="s">
        <v>203</v>
      </c>
      <c r="CP223" t="s">
        <v>203</v>
      </c>
      <c r="CQ223" t="s">
        <v>203</v>
      </c>
      <c r="CR223" t="s">
        <v>203</v>
      </c>
      <c r="CS223" t="s">
        <v>203</v>
      </c>
      <c r="CT223" t="s">
        <v>203</v>
      </c>
      <c r="CU223" t="s">
        <v>203</v>
      </c>
      <c r="CV223">
        <v>0</v>
      </c>
      <c r="CW223">
        <v>0</v>
      </c>
      <c r="CX223" t="s">
        <v>198</v>
      </c>
      <c r="CY223" t="s">
        <v>198</v>
      </c>
      <c r="CZ223" t="s">
        <v>198</v>
      </c>
      <c r="DA223" t="s">
        <v>198</v>
      </c>
      <c r="DB223" t="s">
        <v>198</v>
      </c>
      <c r="DC223">
        <v>0</v>
      </c>
      <c r="DD223">
        <v>0</v>
      </c>
      <c r="DE223">
        <v>0</v>
      </c>
      <c r="DF223">
        <v>0</v>
      </c>
      <c r="DG223">
        <v>-35.3631166</v>
      </c>
      <c r="DH223">
        <v>149.1639735</v>
      </c>
      <c r="DI223" t="s">
        <v>360</v>
      </c>
      <c r="DJ223">
        <v>1.2</v>
      </c>
      <c r="DK223">
        <v>2</v>
      </c>
      <c r="DL223">
        <v>159.8</v>
      </c>
      <c r="DM223">
        <v>0</v>
      </c>
      <c r="DN223">
        <v>6</v>
      </c>
      <c r="DO223">
        <v>10</v>
      </c>
      <c r="DP223">
        <v>0</v>
      </c>
      <c r="DQ223">
        <v>255</v>
      </c>
      <c r="DR223">
        <v>255</v>
      </c>
      <c r="DS223">
        <v>255</v>
      </c>
      <c r="DT223">
        <v>255</v>
      </c>
      <c r="DU223">
        <v>255</v>
      </c>
      <c r="DV223">
        <v>255</v>
      </c>
      <c r="DW223">
        <v>255</v>
      </c>
      <c r="DX223" t="s">
        <v>206</v>
      </c>
      <c r="DY223" t="s">
        <v>206</v>
      </c>
      <c r="DZ223" t="s">
        <v>207</v>
      </c>
      <c r="EA223" t="s">
        <v>198</v>
      </c>
      <c r="EB223" t="s">
        <v>198</v>
      </c>
      <c r="EC223" t="s">
        <v>198</v>
      </c>
      <c r="ED223">
        <v>0</v>
      </c>
      <c r="EE223">
        <v>0</v>
      </c>
      <c r="EF223">
        <v>0</v>
      </c>
      <c r="EG223">
        <v>0</v>
      </c>
      <c r="EH223">
        <v>255</v>
      </c>
      <c r="EI223">
        <v>255</v>
      </c>
      <c r="EJ223">
        <v>255</v>
      </c>
      <c r="EK223">
        <v>255</v>
      </c>
      <c r="EL223">
        <v>255</v>
      </c>
      <c r="EM223">
        <v>255</v>
      </c>
      <c r="EN223">
        <v>255</v>
      </c>
      <c r="EO223">
        <v>255</v>
      </c>
      <c r="EP223">
        <v>255</v>
      </c>
      <c r="EQ223">
        <v>255</v>
      </c>
      <c r="ER223" t="s">
        <v>208</v>
      </c>
      <c r="ES223" t="s">
        <v>209</v>
      </c>
      <c r="ET223" t="s">
        <v>209</v>
      </c>
      <c r="EU223">
        <v>0</v>
      </c>
      <c r="EV223">
        <v>16.2</v>
      </c>
      <c r="EW223">
        <v>-114.7</v>
      </c>
      <c r="EX223">
        <v>-0.2</v>
      </c>
      <c r="EY223">
        <v>0</v>
      </c>
      <c r="EZ223">
        <v>0</v>
      </c>
      <c r="FA223">
        <v>0</v>
      </c>
      <c r="FB223" t="s">
        <v>198</v>
      </c>
      <c r="FC223" t="s">
        <v>198</v>
      </c>
      <c r="FD223" t="s">
        <v>198</v>
      </c>
      <c r="FE223" t="s">
        <v>198</v>
      </c>
      <c r="FF223" t="s">
        <v>198</v>
      </c>
      <c r="FG223" t="s">
        <v>198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 t="s">
        <v>203</v>
      </c>
      <c r="FP223" t="s">
        <v>203</v>
      </c>
      <c r="FQ223" t="s">
        <v>203</v>
      </c>
      <c r="FR223" t="s">
        <v>203</v>
      </c>
      <c r="FS223" t="s">
        <v>203</v>
      </c>
      <c r="FT223" t="s">
        <v>203</v>
      </c>
      <c r="FU223" t="s">
        <v>198</v>
      </c>
      <c r="FV223" t="s">
        <v>198</v>
      </c>
      <c r="FW223" t="s">
        <v>198</v>
      </c>
      <c r="FX223" t="s">
        <v>198</v>
      </c>
      <c r="FY223" t="s">
        <v>198</v>
      </c>
      <c r="FZ223" t="s">
        <v>198</v>
      </c>
      <c r="GA223">
        <v>31.2</v>
      </c>
      <c r="GB223">
        <v>31.2</v>
      </c>
      <c r="GC223" t="s">
        <v>203</v>
      </c>
      <c r="GD223">
        <v>0</v>
      </c>
      <c r="GE223">
        <v>504</v>
      </c>
      <c r="GF223">
        <v>0</v>
      </c>
      <c r="GG223">
        <v>0</v>
      </c>
      <c r="GH223">
        <v>0</v>
      </c>
      <c r="GI223">
        <v>1</v>
      </c>
      <c r="GJ223">
        <v>1</v>
      </c>
      <c r="GK223">
        <v>0</v>
      </c>
      <c r="GL223" t="s">
        <v>198</v>
      </c>
      <c r="GM223" t="s">
        <v>198</v>
      </c>
      <c r="GN223" t="s">
        <v>198</v>
      </c>
    </row>
    <row r="224" spans="1:196">
      <c r="A224" s="19">
        <v>46316.90647387732</v>
      </c>
      <c r="B224">
        <v>0</v>
      </c>
      <c r="C224">
        <v>0</v>
      </c>
      <c r="D224">
        <v>277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584.2</v>
      </c>
      <c r="N224">
        <v>-0.5</v>
      </c>
      <c r="O224">
        <v>0</v>
      </c>
      <c r="P224">
        <v>0</v>
      </c>
      <c r="Q224">
        <v>0</v>
      </c>
      <c r="R224">
        <v>0</v>
      </c>
      <c r="S224">
        <v>115.6</v>
      </c>
      <c r="T224" t="s">
        <v>485</v>
      </c>
      <c r="U224">
        <v>115.7</v>
      </c>
      <c r="V224">
        <v>1762727256586.8</v>
      </c>
      <c r="W224">
        <v>1</v>
      </c>
      <c r="X224" t="s">
        <v>197</v>
      </c>
      <c r="Y224">
        <v>0</v>
      </c>
      <c r="Z224">
        <v>98</v>
      </c>
      <c r="AA224">
        <v>278</v>
      </c>
      <c r="AB224" t="s">
        <v>197</v>
      </c>
      <c r="AC224" t="s">
        <v>198</v>
      </c>
      <c r="AD224" t="s">
        <v>199</v>
      </c>
      <c r="AE224">
        <v>0</v>
      </c>
      <c r="AF224">
        <v>44</v>
      </c>
      <c r="AG224">
        <v>255</v>
      </c>
      <c r="AH224">
        <v>0</v>
      </c>
      <c r="AI224">
        <v>0</v>
      </c>
      <c r="AJ224">
        <v>0</v>
      </c>
      <c r="AK224">
        <v>12.6</v>
      </c>
      <c r="AL224">
        <v>0</v>
      </c>
      <c r="AM224">
        <v>0</v>
      </c>
      <c r="AN224" t="s">
        <v>197</v>
      </c>
      <c r="AO224">
        <v>100</v>
      </c>
      <c r="AP224" t="s">
        <v>197</v>
      </c>
      <c r="AQ224" t="s">
        <v>200</v>
      </c>
      <c r="AR224">
        <v>1</v>
      </c>
      <c r="AS224">
        <v>0</v>
      </c>
      <c r="AT224" t="s">
        <v>570</v>
      </c>
      <c r="AU224" t="s">
        <v>570</v>
      </c>
      <c r="AV224" t="s">
        <v>202</v>
      </c>
      <c r="AW224" t="s">
        <v>203</v>
      </c>
      <c r="AX224" t="s">
        <v>203</v>
      </c>
      <c r="AY224" t="s">
        <v>203</v>
      </c>
      <c r="AZ224" t="s">
        <v>203</v>
      </c>
      <c r="BA224" t="s">
        <v>203</v>
      </c>
      <c r="BB224" t="s">
        <v>203</v>
      </c>
      <c r="BC224" t="s">
        <v>203</v>
      </c>
      <c r="BD224" t="s">
        <v>203</v>
      </c>
      <c r="BE224" t="s">
        <v>203</v>
      </c>
      <c r="BF224">
        <v>0</v>
      </c>
      <c r="BG224">
        <v>0.2</v>
      </c>
      <c r="BH224">
        <v>50</v>
      </c>
      <c r="BI224">
        <v>0</v>
      </c>
      <c r="BJ224" t="s">
        <v>198</v>
      </c>
      <c r="BK224" t="s">
        <v>198</v>
      </c>
      <c r="BL224" t="s">
        <v>198</v>
      </c>
      <c r="BM224" t="s">
        <v>198</v>
      </c>
      <c r="BN224" t="s">
        <v>198</v>
      </c>
      <c r="BO224" t="s">
        <v>198</v>
      </c>
      <c r="BP224" t="s">
        <v>198</v>
      </c>
      <c r="BQ224" t="s">
        <v>198</v>
      </c>
      <c r="BR224" t="s">
        <v>198</v>
      </c>
      <c r="BS224" t="s">
        <v>198</v>
      </c>
      <c r="BT224" t="s">
        <v>198</v>
      </c>
      <c r="BU224" t="s">
        <v>198</v>
      </c>
      <c r="BV224" t="s">
        <v>198</v>
      </c>
      <c r="BW224" t="s">
        <v>198</v>
      </c>
      <c r="BX224" t="s">
        <v>198</v>
      </c>
      <c r="BY224" t="s">
        <v>198</v>
      </c>
      <c r="BZ224" t="s">
        <v>198</v>
      </c>
      <c r="CA224" t="s">
        <v>198</v>
      </c>
      <c r="CB224" t="s">
        <v>204</v>
      </c>
      <c r="CC224" t="s">
        <v>204</v>
      </c>
      <c r="CD224" t="s">
        <v>204</v>
      </c>
      <c r="CE224" t="s">
        <v>204</v>
      </c>
      <c r="CF224" t="s">
        <v>204</v>
      </c>
      <c r="CG224" t="s">
        <v>204</v>
      </c>
      <c r="CH224" t="s">
        <v>204</v>
      </c>
      <c r="CI224" t="s">
        <v>204</v>
      </c>
      <c r="CJ224" t="s">
        <v>204</v>
      </c>
      <c r="CK224" t="s">
        <v>204</v>
      </c>
      <c r="CL224" t="s">
        <v>204</v>
      </c>
      <c r="CM224" t="s">
        <v>204</v>
      </c>
      <c r="CN224" t="s">
        <v>203</v>
      </c>
      <c r="CO224" t="s">
        <v>203</v>
      </c>
      <c r="CP224" t="s">
        <v>203</v>
      </c>
      <c r="CQ224" t="s">
        <v>203</v>
      </c>
      <c r="CR224" t="s">
        <v>203</v>
      </c>
      <c r="CS224" t="s">
        <v>203</v>
      </c>
      <c r="CT224" t="s">
        <v>203</v>
      </c>
      <c r="CU224" t="s">
        <v>203</v>
      </c>
      <c r="CV224">
        <v>0</v>
      </c>
      <c r="CW224">
        <v>0</v>
      </c>
      <c r="CX224" t="s">
        <v>198</v>
      </c>
      <c r="CY224" t="s">
        <v>198</v>
      </c>
      <c r="CZ224" t="s">
        <v>198</v>
      </c>
      <c r="DA224" t="s">
        <v>198</v>
      </c>
      <c r="DB224" t="s">
        <v>198</v>
      </c>
      <c r="DC224">
        <v>0</v>
      </c>
      <c r="DD224">
        <v>0</v>
      </c>
      <c r="DE224">
        <v>0</v>
      </c>
      <c r="DF224">
        <v>0</v>
      </c>
      <c r="DG224">
        <v>-35.3631166</v>
      </c>
      <c r="DH224">
        <v>149.1639735</v>
      </c>
      <c r="DI224" t="s">
        <v>360</v>
      </c>
      <c r="DJ224">
        <v>1.2</v>
      </c>
      <c r="DK224">
        <v>2</v>
      </c>
      <c r="DL224">
        <v>159.8</v>
      </c>
      <c r="DM224">
        <v>0</v>
      </c>
      <c r="DN224">
        <v>6</v>
      </c>
      <c r="DO224">
        <v>10</v>
      </c>
      <c r="DP224">
        <v>0</v>
      </c>
      <c r="DQ224">
        <v>255</v>
      </c>
      <c r="DR224">
        <v>255</v>
      </c>
      <c r="DS224">
        <v>255</v>
      </c>
      <c r="DT224">
        <v>255</v>
      </c>
      <c r="DU224">
        <v>255</v>
      </c>
      <c r="DV224">
        <v>255</v>
      </c>
      <c r="DW224">
        <v>255</v>
      </c>
      <c r="DX224" t="s">
        <v>206</v>
      </c>
      <c r="DY224" t="s">
        <v>206</v>
      </c>
      <c r="DZ224" t="s">
        <v>207</v>
      </c>
      <c r="EA224" t="s">
        <v>198</v>
      </c>
      <c r="EB224" t="s">
        <v>198</v>
      </c>
      <c r="EC224" t="s">
        <v>198</v>
      </c>
      <c r="ED224">
        <v>0</v>
      </c>
      <c r="EE224">
        <v>0</v>
      </c>
      <c r="EF224">
        <v>0</v>
      </c>
      <c r="EG224">
        <v>0</v>
      </c>
      <c r="EH224">
        <v>255</v>
      </c>
      <c r="EI224">
        <v>255</v>
      </c>
      <c r="EJ224">
        <v>255</v>
      </c>
      <c r="EK224">
        <v>255</v>
      </c>
      <c r="EL224">
        <v>255</v>
      </c>
      <c r="EM224">
        <v>255</v>
      </c>
      <c r="EN224">
        <v>255</v>
      </c>
      <c r="EO224">
        <v>255</v>
      </c>
      <c r="EP224">
        <v>255</v>
      </c>
      <c r="EQ224">
        <v>255</v>
      </c>
      <c r="ER224" t="s">
        <v>208</v>
      </c>
      <c r="ES224" t="s">
        <v>209</v>
      </c>
      <c r="ET224" t="s">
        <v>209</v>
      </c>
      <c r="EU224">
        <v>0</v>
      </c>
      <c r="EV224">
        <v>16.2</v>
      </c>
      <c r="EW224">
        <v>-114.7</v>
      </c>
      <c r="EX224">
        <v>-0.2</v>
      </c>
      <c r="EY224">
        <v>0</v>
      </c>
      <c r="EZ224">
        <v>0</v>
      </c>
      <c r="FA224">
        <v>0</v>
      </c>
      <c r="FB224" t="s">
        <v>198</v>
      </c>
      <c r="FC224" t="s">
        <v>198</v>
      </c>
      <c r="FD224" t="s">
        <v>198</v>
      </c>
      <c r="FE224" t="s">
        <v>198</v>
      </c>
      <c r="FF224" t="s">
        <v>198</v>
      </c>
      <c r="FG224" t="s">
        <v>198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 t="s">
        <v>203</v>
      </c>
      <c r="FP224" t="s">
        <v>203</v>
      </c>
      <c r="FQ224" t="s">
        <v>203</v>
      </c>
      <c r="FR224" t="s">
        <v>203</v>
      </c>
      <c r="FS224" t="s">
        <v>203</v>
      </c>
      <c r="FT224" t="s">
        <v>203</v>
      </c>
      <c r="FU224" t="s">
        <v>198</v>
      </c>
      <c r="FV224" t="s">
        <v>198</v>
      </c>
      <c r="FW224" t="s">
        <v>198</v>
      </c>
      <c r="FX224" t="s">
        <v>198</v>
      </c>
      <c r="FY224" t="s">
        <v>198</v>
      </c>
      <c r="FZ224" t="s">
        <v>198</v>
      </c>
      <c r="GA224">
        <v>31.2</v>
      </c>
      <c r="GB224">
        <v>31.2</v>
      </c>
      <c r="GC224" t="s">
        <v>203</v>
      </c>
      <c r="GD224">
        <v>0</v>
      </c>
      <c r="GE224">
        <v>504</v>
      </c>
      <c r="GF224">
        <v>0</v>
      </c>
      <c r="GG224">
        <v>0</v>
      </c>
      <c r="GH224">
        <v>0</v>
      </c>
      <c r="GI224">
        <v>1</v>
      </c>
      <c r="GJ224">
        <v>1</v>
      </c>
      <c r="GK224">
        <v>0</v>
      </c>
      <c r="GL224" t="s">
        <v>198</v>
      </c>
      <c r="GM224" t="s">
        <v>198</v>
      </c>
      <c r="GN224" t="s">
        <v>198</v>
      </c>
    </row>
    <row r="225" spans="1:196">
      <c r="A225" s="19">
        <v>46316.90648545139</v>
      </c>
      <c r="B225">
        <v>0</v>
      </c>
      <c r="C225">
        <v>0</v>
      </c>
      <c r="D225">
        <v>277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584.2</v>
      </c>
      <c r="N225">
        <v>-0.5</v>
      </c>
      <c r="O225">
        <v>0</v>
      </c>
      <c r="P225">
        <v>0</v>
      </c>
      <c r="Q225">
        <v>0</v>
      </c>
      <c r="R225">
        <v>0</v>
      </c>
      <c r="S225">
        <v>115.6</v>
      </c>
      <c r="T225" t="s">
        <v>485</v>
      </c>
      <c r="U225">
        <v>115.7</v>
      </c>
      <c r="V225">
        <v>1762727256586.8</v>
      </c>
      <c r="W225">
        <v>1</v>
      </c>
      <c r="X225" t="s">
        <v>197</v>
      </c>
      <c r="Y225">
        <v>0</v>
      </c>
      <c r="Z225">
        <v>98</v>
      </c>
      <c r="AA225">
        <v>278</v>
      </c>
      <c r="AB225" t="s">
        <v>197</v>
      </c>
      <c r="AC225" t="s">
        <v>198</v>
      </c>
      <c r="AD225" t="s">
        <v>199</v>
      </c>
      <c r="AE225">
        <v>0</v>
      </c>
      <c r="AF225">
        <v>44</v>
      </c>
      <c r="AG225">
        <v>255</v>
      </c>
      <c r="AH225">
        <v>0</v>
      </c>
      <c r="AI225">
        <v>0</v>
      </c>
      <c r="AJ225">
        <v>0</v>
      </c>
      <c r="AK225">
        <v>12.6</v>
      </c>
      <c r="AL225">
        <v>0</v>
      </c>
      <c r="AM225">
        <v>0</v>
      </c>
      <c r="AN225" t="s">
        <v>197</v>
      </c>
      <c r="AO225">
        <v>100</v>
      </c>
      <c r="AP225" t="s">
        <v>197</v>
      </c>
      <c r="AQ225" t="s">
        <v>200</v>
      </c>
      <c r="AR225">
        <v>1</v>
      </c>
      <c r="AS225">
        <v>0</v>
      </c>
      <c r="AT225" t="s">
        <v>571</v>
      </c>
      <c r="AU225" t="s">
        <v>571</v>
      </c>
      <c r="AV225" t="s">
        <v>202</v>
      </c>
      <c r="AW225" t="s">
        <v>203</v>
      </c>
      <c r="AX225" t="s">
        <v>203</v>
      </c>
      <c r="AY225" t="s">
        <v>203</v>
      </c>
      <c r="AZ225" t="s">
        <v>203</v>
      </c>
      <c r="BA225" t="s">
        <v>203</v>
      </c>
      <c r="BB225" t="s">
        <v>203</v>
      </c>
      <c r="BC225" t="s">
        <v>203</v>
      </c>
      <c r="BD225" t="s">
        <v>203</v>
      </c>
      <c r="BE225" t="s">
        <v>203</v>
      </c>
      <c r="BF225">
        <v>0</v>
      </c>
      <c r="BG225">
        <v>0.2</v>
      </c>
      <c r="BH225">
        <v>50</v>
      </c>
      <c r="BI225">
        <v>0</v>
      </c>
      <c r="BJ225" t="s">
        <v>198</v>
      </c>
      <c r="BK225" t="s">
        <v>198</v>
      </c>
      <c r="BL225" t="s">
        <v>198</v>
      </c>
      <c r="BM225" t="s">
        <v>198</v>
      </c>
      <c r="BN225" t="s">
        <v>198</v>
      </c>
      <c r="BO225" t="s">
        <v>198</v>
      </c>
      <c r="BP225" t="s">
        <v>198</v>
      </c>
      <c r="BQ225" t="s">
        <v>198</v>
      </c>
      <c r="BR225" t="s">
        <v>198</v>
      </c>
      <c r="BS225" t="s">
        <v>198</v>
      </c>
      <c r="BT225" t="s">
        <v>198</v>
      </c>
      <c r="BU225" t="s">
        <v>198</v>
      </c>
      <c r="BV225" t="s">
        <v>198</v>
      </c>
      <c r="BW225" t="s">
        <v>198</v>
      </c>
      <c r="BX225" t="s">
        <v>198</v>
      </c>
      <c r="BY225" t="s">
        <v>198</v>
      </c>
      <c r="BZ225" t="s">
        <v>198</v>
      </c>
      <c r="CA225" t="s">
        <v>198</v>
      </c>
      <c r="CB225" t="s">
        <v>204</v>
      </c>
      <c r="CC225" t="s">
        <v>204</v>
      </c>
      <c r="CD225" t="s">
        <v>204</v>
      </c>
      <c r="CE225" t="s">
        <v>204</v>
      </c>
      <c r="CF225" t="s">
        <v>204</v>
      </c>
      <c r="CG225" t="s">
        <v>204</v>
      </c>
      <c r="CH225" t="s">
        <v>204</v>
      </c>
      <c r="CI225" t="s">
        <v>204</v>
      </c>
      <c r="CJ225" t="s">
        <v>204</v>
      </c>
      <c r="CK225" t="s">
        <v>204</v>
      </c>
      <c r="CL225" t="s">
        <v>204</v>
      </c>
      <c r="CM225" t="s">
        <v>204</v>
      </c>
      <c r="CN225" t="s">
        <v>203</v>
      </c>
      <c r="CO225" t="s">
        <v>203</v>
      </c>
      <c r="CP225" t="s">
        <v>203</v>
      </c>
      <c r="CQ225" t="s">
        <v>203</v>
      </c>
      <c r="CR225" t="s">
        <v>203</v>
      </c>
      <c r="CS225" t="s">
        <v>203</v>
      </c>
      <c r="CT225" t="s">
        <v>203</v>
      </c>
      <c r="CU225" t="s">
        <v>203</v>
      </c>
      <c r="CV225">
        <v>0</v>
      </c>
      <c r="CW225">
        <v>0</v>
      </c>
      <c r="CX225" t="s">
        <v>198</v>
      </c>
      <c r="CY225" t="s">
        <v>198</v>
      </c>
      <c r="CZ225" t="s">
        <v>198</v>
      </c>
      <c r="DA225" t="s">
        <v>198</v>
      </c>
      <c r="DB225" t="s">
        <v>198</v>
      </c>
      <c r="DC225">
        <v>0</v>
      </c>
      <c r="DD225">
        <v>0</v>
      </c>
      <c r="DE225">
        <v>0</v>
      </c>
      <c r="DF225">
        <v>0</v>
      </c>
      <c r="DG225">
        <v>-35.3631166</v>
      </c>
      <c r="DH225">
        <v>149.1639735</v>
      </c>
      <c r="DI225" t="s">
        <v>360</v>
      </c>
      <c r="DJ225">
        <v>1.2</v>
      </c>
      <c r="DK225">
        <v>2</v>
      </c>
      <c r="DL225">
        <v>159.8</v>
      </c>
      <c r="DM225">
        <v>0</v>
      </c>
      <c r="DN225">
        <v>6</v>
      </c>
      <c r="DO225">
        <v>10</v>
      </c>
      <c r="DP225">
        <v>0</v>
      </c>
      <c r="DQ225">
        <v>255</v>
      </c>
      <c r="DR225">
        <v>255</v>
      </c>
      <c r="DS225">
        <v>255</v>
      </c>
      <c r="DT225">
        <v>255</v>
      </c>
      <c r="DU225">
        <v>255</v>
      </c>
      <c r="DV225">
        <v>255</v>
      </c>
      <c r="DW225">
        <v>255</v>
      </c>
      <c r="DX225" t="s">
        <v>206</v>
      </c>
      <c r="DY225" t="s">
        <v>206</v>
      </c>
      <c r="DZ225" t="s">
        <v>207</v>
      </c>
      <c r="EA225" t="s">
        <v>198</v>
      </c>
      <c r="EB225" t="s">
        <v>198</v>
      </c>
      <c r="EC225" t="s">
        <v>198</v>
      </c>
      <c r="ED225">
        <v>0</v>
      </c>
      <c r="EE225">
        <v>0</v>
      </c>
      <c r="EF225">
        <v>0</v>
      </c>
      <c r="EG225">
        <v>0</v>
      </c>
      <c r="EH225">
        <v>255</v>
      </c>
      <c r="EI225">
        <v>255</v>
      </c>
      <c r="EJ225">
        <v>255</v>
      </c>
      <c r="EK225">
        <v>255</v>
      </c>
      <c r="EL225">
        <v>255</v>
      </c>
      <c r="EM225">
        <v>255</v>
      </c>
      <c r="EN225">
        <v>255</v>
      </c>
      <c r="EO225">
        <v>255</v>
      </c>
      <c r="EP225">
        <v>255</v>
      </c>
      <c r="EQ225">
        <v>255</v>
      </c>
      <c r="ER225" t="s">
        <v>208</v>
      </c>
      <c r="ES225" t="s">
        <v>209</v>
      </c>
      <c r="ET225" t="s">
        <v>209</v>
      </c>
      <c r="EU225">
        <v>0</v>
      </c>
      <c r="EV225">
        <v>16.2</v>
      </c>
      <c r="EW225">
        <v>-114.7</v>
      </c>
      <c r="EX225">
        <v>-0.2</v>
      </c>
      <c r="EY225">
        <v>0</v>
      </c>
      <c r="EZ225">
        <v>0</v>
      </c>
      <c r="FA225">
        <v>0</v>
      </c>
      <c r="FB225" t="s">
        <v>198</v>
      </c>
      <c r="FC225" t="s">
        <v>198</v>
      </c>
      <c r="FD225" t="s">
        <v>198</v>
      </c>
      <c r="FE225" t="s">
        <v>198</v>
      </c>
      <c r="FF225" t="s">
        <v>198</v>
      </c>
      <c r="FG225" t="s">
        <v>198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203</v>
      </c>
      <c r="FP225" t="s">
        <v>203</v>
      </c>
      <c r="FQ225" t="s">
        <v>203</v>
      </c>
      <c r="FR225" t="s">
        <v>203</v>
      </c>
      <c r="FS225" t="s">
        <v>203</v>
      </c>
      <c r="FT225" t="s">
        <v>203</v>
      </c>
      <c r="FU225" t="s">
        <v>198</v>
      </c>
      <c r="FV225" t="s">
        <v>198</v>
      </c>
      <c r="FW225" t="s">
        <v>198</v>
      </c>
      <c r="FX225" t="s">
        <v>198</v>
      </c>
      <c r="FY225" t="s">
        <v>198</v>
      </c>
      <c r="FZ225" t="s">
        <v>198</v>
      </c>
      <c r="GA225">
        <v>31.2</v>
      </c>
      <c r="GB225">
        <v>31.2</v>
      </c>
      <c r="GC225" t="s">
        <v>203</v>
      </c>
      <c r="GD225">
        <v>0</v>
      </c>
      <c r="GE225">
        <v>504</v>
      </c>
      <c r="GF225">
        <v>0</v>
      </c>
      <c r="GG225">
        <v>0</v>
      </c>
      <c r="GH225">
        <v>0</v>
      </c>
      <c r="GI225">
        <v>1</v>
      </c>
      <c r="GJ225">
        <v>1</v>
      </c>
      <c r="GK225">
        <v>0</v>
      </c>
      <c r="GL225" t="s">
        <v>198</v>
      </c>
      <c r="GM225" t="s">
        <v>198</v>
      </c>
      <c r="GN225" t="s">
        <v>198</v>
      </c>
    </row>
    <row r="226" spans="1:196">
      <c r="A226" s="19">
        <v>46316.90649701389</v>
      </c>
      <c r="B226">
        <v>0</v>
      </c>
      <c r="C226">
        <v>0</v>
      </c>
      <c r="D226">
        <v>277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584.2</v>
      </c>
      <c r="N226">
        <v>-0.5</v>
      </c>
      <c r="O226">
        <v>0</v>
      </c>
      <c r="P226">
        <v>0</v>
      </c>
      <c r="Q226">
        <v>0</v>
      </c>
      <c r="R226">
        <v>0</v>
      </c>
      <c r="S226">
        <v>115.6</v>
      </c>
      <c r="T226" t="s">
        <v>485</v>
      </c>
      <c r="U226">
        <v>115.7</v>
      </c>
      <c r="V226">
        <v>1762727256586.8</v>
      </c>
      <c r="W226">
        <v>1</v>
      </c>
      <c r="X226" t="s">
        <v>197</v>
      </c>
      <c r="Y226">
        <v>0</v>
      </c>
      <c r="Z226">
        <v>98</v>
      </c>
      <c r="AA226">
        <v>278</v>
      </c>
      <c r="AB226" t="s">
        <v>197</v>
      </c>
      <c r="AC226" t="s">
        <v>198</v>
      </c>
      <c r="AD226" t="s">
        <v>199</v>
      </c>
      <c r="AE226">
        <v>0</v>
      </c>
      <c r="AF226">
        <v>44</v>
      </c>
      <c r="AG226">
        <v>255</v>
      </c>
      <c r="AH226">
        <v>0</v>
      </c>
      <c r="AI226">
        <v>0</v>
      </c>
      <c r="AJ226">
        <v>0</v>
      </c>
      <c r="AK226">
        <v>12.6</v>
      </c>
      <c r="AL226">
        <v>0</v>
      </c>
      <c r="AM226">
        <v>0</v>
      </c>
      <c r="AN226" t="s">
        <v>197</v>
      </c>
      <c r="AO226">
        <v>100</v>
      </c>
      <c r="AP226" t="s">
        <v>197</v>
      </c>
      <c r="AQ226" t="s">
        <v>200</v>
      </c>
      <c r="AR226">
        <v>1</v>
      </c>
      <c r="AS226">
        <v>0</v>
      </c>
      <c r="AT226" t="s">
        <v>572</v>
      </c>
      <c r="AU226" t="s">
        <v>572</v>
      </c>
      <c r="AV226" t="s">
        <v>202</v>
      </c>
      <c r="AW226" t="s">
        <v>203</v>
      </c>
      <c r="AX226" t="s">
        <v>203</v>
      </c>
      <c r="AY226" t="s">
        <v>203</v>
      </c>
      <c r="AZ226" t="s">
        <v>203</v>
      </c>
      <c r="BA226" t="s">
        <v>203</v>
      </c>
      <c r="BB226" t="s">
        <v>203</v>
      </c>
      <c r="BC226" t="s">
        <v>203</v>
      </c>
      <c r="BD226" t="s">
        <v>203</v>
      </c>
      <c r="BE226" t="s">
        <v>203</v>
      </c>
      <c r="BF226">
        <v>0</v>
      </c>
      <c r="BG226">
        <v>0.2</v>
      </c>
      <c r="BH226">
        <v>50</v>
      </c>
      <c r="BI226">
        <v>0</v>
      </c>
      <c r="BJ226" t="s">
        <v>198</v>
      </c>
      <c r="BK226" t="s">
        <v>198</v>
      </c>
      <c r="BL226" t="s">
        <v>198</v>
      </c>
      <c r="BM226" t="s">
        <v>198</v>
      </c>
      <c r="BN226" t="s">
        <v>198</v>
      </c>
      <c r="BO226" t="s">
        <v>198</v>
      </c>
      <c r="BP226" t="s">
        <v>198</v>
      </c>
      <c r="BQ226" t="s">
        <v>198</v>
      </c>
      <c r="BR226" t="s">
        <v>198</v>
      </c>
      <c r="BS226" t="s">
        <v>198</v>
      </c>
      <c r="BT226" t="s">
        <v>198</v>
      </c>
      <c r="BU226" t="s">
        <v>198</v>
      </c>
      <c r="BV226" t="s">
        <v>198</v>
      </c>
      <c r="BW226" t="s">
        <v>198</v>
      </c>
      <c r="BX226" t="s">
        <v>198</v>
      </c>
      <c r="BY226" t="s">
        <v>198</v>
      </c>
      <c r="BZ226" t="s">
        <v>198</v>
      </c>
      <c r="CA226" t="s">
        <v>198</v>
      </c>
      <c r="CB226" t="s">
        <v>204</v>
      </c>
      <c r="CC226" t="s">
        <v>204</v>
      </c>
      <c r="CD226" t="s">
        <v>204</v>
      </c>
      <c r="CE226" t="s">
        <v>204</v>
      </c>
      <c r="CF226" t="s">
        <v>204</v>
      </c>
      <c r="CG226" t="s">
        <v>204</v>
      </c>
      <c r="CH226" t="s">
        <v>204</v>
      </c>
      <c r="CI226" t="s">
        <v>204</v>
      </c>
      <c r="CJ226" t="s">
        <v>204</v>
      </c>
      <c r="CK226" t="s">
        <v>204</v>
      </c>
      <c r="CL226" t="s">
        <v>204</v>
      </c>
      <c r="CM226" t="s">
        <v>204</v>
      </c>
      <c r="CN226" t="s">
        <v>203</v>
      </c>
      <c r="CO226" t="s">
        <v>203</v>
      </c>
      <c r="CP226" t="s">
        <v>203</v>
      </c>
      <c r="CQ226" t="s">
        <v>203</v>
      </c>
      <c r="CR226" t="s">
        <v>203</v>
      </c>
      <c r="CS226" t="s">
        <v>203</v>
      </c>
      <c r="CT226" t="s">
        <v>203</v>
      </c>
      <c r="CU226" t="s">
        <v>203</v>
      </c>
      <c r="CV226">
        <v>0</v>
      </c>
      <c r="CW226">
        <v>0</v>
      </c>
      <c r="CX226" t="s">
        <v>198</v>
      </c>
      <c r="CY226" t="s">
        <v>198</v>
      </c>
      <c r="CZ226" t="s">
        <v>198</v>
      </c>
      <c r="DA226" t="s">
        <v>198</v>
      </c>
      <c r="DB226" t="s">
        <v>198</v>
      </c>
      <c r="DC226">
        <v>0</v>
      </c>
      <c r="DD226">
        <v>0</v>
      </c>
      <c r="DE226">
        <v>0</v>
      </c>
      <c r="DF226">
        <v>0</v>
      </c>
      <c r="DG226">
        <v>-35.3631166</v>
      </c>
      <c r="DH226">
        <v>149.1639735</v>
      </c>
      <c r="DI226" t="s">
        <v>360</v>
      </c>
      <c r="DJ226">
        <v>1.2</v>
      </c>
      <c r="DK226">
        <v>2</v>
      </c>
      <c r="DL226">
        <v>159.8</v>
      </c>
      <c r="DM226">
        <v>0</v>
      </c>
      <c r="DN226">
        <v>6</v>
      </c>
      <c r="DO226">
        <v>10</v>
      </c>
      <c r="DP226">
        <v>0</v>
      </c>
      <c r="DQ226">
        <v>255</v>
      </c>
      <c r="DR226">
        <v>255</v>
      </c>
      <c r="DS226">
        <v>255</v>
      </c>
      <c r="DT226">
        <v>255</v>
      </c>
      <c r="DU226">
        <v>255</v>
      </c>
      <c r="DV226">
        <v>255</v>
      </c>
      <c r="DW226">
        <v>255</v>
      </c>
      <c r="DX226" t="s">
        <v>206</v>
      </c>
      <c r="DY226" t="s">
        <v>206</v>
      </c>
      <c r="DZ226" t="s">
        <v>207</v>
      </c>
      <c r="EA226" t="s">
        <v>198</v>
      </c>
      <c r="EB226" t="s">
        <v>198</v>
      </c>
      <c r="EC226" t="s">
        <v>198</v>
      </c>
      <c r="ED226">
        <v>0</v>
      </c>
      <c r="EE226">
        <v>0</v>
      </c>
      <c r="EF226">
        <v>0</v>
      </c>
      <c r="EG226">
        <v>0</v>
      </c>
      <c r="EH226">
        <v>255</v>
      </c>
      <c r="EI226">
        <v>255</v>
      </c>
      <c r="EJ226">
        <v>255</v>
      </c>
      <c r="EK226">
        <v>255</v>
      </c>
      <c r="EL226">
        <v>255</v>
      </c>
      <c r="EM226">
        <v>255</v>
      </c>
      <c r="EN226">
        <v>255</v>
      </c>
      <c r="EO226">
        <v>255</v>
      </c>
      <c r="EP226">
        <v>255</v>
      </c>
      <c r="EQ226">
        <v>255</v>
      </c>
      <c r="ER226" t="s">
        <v>208</v>
      </c>
      <c r="ES226" t="s">
        <v>209</v>
      </c>
      <c r="ET226" t="s">
        <v>209</v>
      </c>
      <c r="EU226">
        <v>0</v>
      </c>
      <c r="EV226">
        <v>16.2</v>
      </c>
      <c r="EW226">
        <v>-114.7</v>
      </c>
      <c r="EX226">
        <v>-0.2</v>
      </c>
      <c r="EY226">
        <v>0</v>
      </c>
      <c r="EZ226">
        <v>0</v>
      </c>
      <c r="FA226">
        <v>0</v>
      </c>
      <c r="FB226" t="s">
        <v>198</v>
      </c>
      <c r="FC226" t="s">
        <v>198</v>
      </c>
      <c r="FD226" t="s">
        <v>198</v>
      </c>
      <c r="FE226" t="s">
        <v>198</v>
      </c>
      <c r="FF226" t="s">
        <v>198</v>
      </c>
      <c r="FG226" t="s">
        <v>198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 t="s">
        <v>203</v>
      </c>
      <c r="FP226" t="s">
        <v>203</v>
      </c>
      <c r="FQ226" t="s">
        <v>203</v>
      </c>
      <c r="FR226" t="s">
        <v>203</v>
      </c>
      <c r="FS226" t="s">
        <v>203</v>
      </c>
      <c r="FT226" t="s">
        <v>203</v>
      </c>
      <c r="FU226" t="s">
        <v>198</v>
      </c>
      <c r="FV226" t="s">
        <v>198</v>
      </c>
      <c r="FW226" t="s">
        <v>198</v>
      </c>
      <c r="FX226" t="s">
        <v>198</v>
      </c>
      <c r="FY226" t="s">
        <v>198</v>
      </c>
      <c r="FZ226" t="s">
        <v>198</v>
      </c>
      <c r="GA226">
        <v>31.2</v>
      </c>
      <c r="GB226">
        <v>31.2</v>
      </c>
      <c r="GC226" t="s">
        <v>203</v>
      </c>
      <c r="GD226">
        <v>0</v>
      </c>
      <c r="GE226">
        <v>504</v>
      </c>
      <c r="GF226">
        <v>0</v>
      </c>
      <c r="GG226">
        <v>0</v>
      </c>
      <c r="GH226">
        <v>0</v>
      </c>
      <c r="GI226">
        <v>1</v>
      </c>
      <c r="GJ226">
        <v>1</v>
      </c>
      <c r="GK226">
        <v>0</v>
      </c>
      <c r="GL226" t="s">
        <v>198</v>
      </c>
      <c r="GM226" t="s">
        <v>198</v>
      </c>
      <c r="GN226" t="s">
        <v>198</v>
      </c>
    </row>
    <row r="227" spans="1:196">
      <c r="A227" s="19">
        <v>46316.90650859954</v>
      </c>
      <c r="B227">
        <v>0</v>
      </c>
      <c r="C227">
        <v>0</v>
      </c>
      <c r="D227">
        <v>277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584.2</v>
      </c>
      <c r="N227">
        <v>-0.5</v>
      </c>
      <c r="O227">
        <v>0</v>
      </c>
      <c r="P227">
        <v>0</v>
      </c>
      <c r="Q227">
        <v>0</v>
      </c>
      <c r="R227">
        <v>0</v>
      </c>
      <c r="S227">
        <v>115.6</v>
      </c>
      <c r="T227" t="s">
        <v>485</v>
      </c>
      <c r="U227">
        <v>115.7</v>
      </c>
      <c r="V227">
        <v>1762727256586.8</v>
      </c>
      <c r="W227">
        <v>1</v>
      </c>
      <c r="X227" t="s">
        <v>197</v>
      </c>
      <c r="Y227">
        <v>0</v>
      </c>
      <c r="Z227">
        <v>98</v>
      </c>
      <c r="AA227">
        <v>278</v>
      </c>
      <c r="AB227" t="s">
        <v>197</v>
      </c>
      <c r="AC227" t="s">
        <v>198</v>
      </c>
      <c r="AD227" t="s">
        <v>199</v>
      </c>
      <c r="AE227">
        <v>0</v>
      </c>
      <c r="AF227">
        <v>44</v>
      </c>
      <c r="AG227">
        <v>255</v>
      </c>
      <c r="AH227">
        <v>0</v>
      </c>
      <c r="AI227">
        <v>0</v>
      </c>
      <c r="AJ227">
        <v>0</v>
      </c>
      <c r="AK227">
        <v>12.6</v>
      </c>
      <c r="AL227">
        <v>0</v>
      </c>
      <c r="AM227">
        <v>0</v>
      </c>
      <c r="AN227" t="s">
        <v>197</v>
      </c>
      <c r="AO227">
        <v>100</v>
      </c>
      <c r="AP227" t="s">
        <v>197</v>
      </c>
      <c r="AQ227" t="s">
        <v>200</v>
      </c>
      <c r="AR227">
        <v>1</v>
      </c>
      <c r="AS227">
        <v>0</v>
      </c>
      <c r="AT227" t="s">
        <v>573</v>
      </c>
      <c r="AU227" t="s">
        <v>573</v>
      </c>
      <c r="AV227" t="s">
        <v>202</v>
      </c>
      <c r="AW227" t="s">
        <v>203</v>
      </c>
      <c r="AX227" t="s">
        <v>203</v>
      </c>
      <c r="AY227" t="s">
        <v>203</v>
      </c>
      <c r="AZ227" t="s">
        <v>203</v>
      </c>
      <c r="BA227" t="s">
        <v>203</v>
      </c>
      <c r="BB227" t="s">
        <v>203</v>
      </c>
      <c r="BC227" t="s">
        <v>203</v>
      </c>
      <c r="BD227" t="s">
        <v>203</v>
      </c>
      <c r="BE227" t="s">
        <v>203</v>
      </c>
      <c r="BF227">
        <v>0</v>
      </c>
      <c r="BG227">
        <v>0.2</v>
      </c>
      <c r="BH227">
        <v>50</v>
      </c>
      <c r="BI227">
        <v>0</v>
      </c>
      <c r="BJ227" t="s">
        <v>198</v>
      </c>
      <c r="BK227" t="s">
        <v>198</v>
      </c>
      <c r="BL227" t="s">
        <v>198</v>
      </c>
      <c r="BM227" t="s">
        <v>198</v>
      </c>
      <c r="BN227" t="s">
        <v>198</v>
      </c>
      <c r="BO227" t="s">
        <v>198</v>
      </c>
      <c r="BP227" t="s">
        <v>198</v>
      </c>
      <c r="BQ227" t="s">
        <v>198</v>
      </c>
      <c r="BR227" t="s">
        <v>198</v>
      </c>
      <c r="BS227" t="s">
        <v>198</v>
      </c>
      <c r="BT227" t="s">
        <v>198</v>
      </c>
      <c r="BU227" t="s">
        <v>198</v>
      </c>
      <c r="BV227" t="s">
        <v>198</v>
      </c>
      <c r="BW227" t="s">
        <v>198</v>
      </c>
      <c r="BX227" t="s">
        <v>198</v>
      </c>
      <c r="BY227" t="s">
        <v>198</v>
      </c>
      <c r="BZ227" t="s">
        <v>198</v>
      </c>
      <c r="CA227" t="s">
        <v>198</v>
      </c>
      <c r="CB227" t="s">
        <v>204</v>
      </c>
      <c r="CC227" t="s">
        <v>204</v>
      </c>
      <c r="CD227" t="s">
        <v>204</v>
      </c>
      <c r="CE227" t="s">
        <v>204</v>
      </c>
      <c r="CF227" t="s">
        <v>204</v>
      </c>
      <c r="CG227" t="s">
        <v>204</v>
      </c>
      <c r="CH227" t="s">
        <v>204</v>
      </c>
      <c r="CI227" t="s">
        <v>204</v>
      </c>
      <c r="CJ227" t="s">
        <v>204</v>
      </c>
      <c r="CK227" t="s">
        <v>204</v>
      </c>
      <c r="CL227" t="s">
        <v>204</v>
      </c>
      <c r="CM227" t="s">
        <v>204</v>
      </c>
      <c r="CN227" t="s">
        <v>203</v>
      </c>
      <c r="CO227" t="s">
        <v>203</v>
      </c>
      <c r="CP227" t="s">
        <v>203</v>
      </c>
      <c r="CQ227" t="s">
        <v>203</v>
      </c>
      <c r="CR227" t="s">
        <v>203</v>
      </c>
      <c r="CS227" t="s">
        <v>203</v>
      </c>
      <c r="CT227" t="s">
        <v>203</v>
      </c>
      <c r="CU227" t="s">
        <v>203</v>
      </c>
      <c r="CV227">
        <v>0</v>
      </c>
      <c r="CW227">
        <v>0</v>
      </c>
      <c r="CX227" t="s">
        <v>198</v>
      </c>
      <c r="CY227" t="s">
        <v>198</v>
      </c>
      <c r="CZ227" t="s">
        <v>198</v>
      </c>
      <c r="DA227" t="s">
        <v>198</v>
      </c>
      <c r="DB227" t="s">
        <v>198</v>
      </c>
      <c r="DC227">
        <v>0</v>
      </c>
      <c r="DD227">
        <v>0</v>
      </c>
      <c r="DE227">
        <v>0</v>
      </c>
      <c r="DF227">
        <v>0</v>
      </c>
      <c r="DG227">
        <v>-35.3631166</v>
      </c>
      <c r="DH227">
        <v>149.1639735</v>
      </c>
      <c r="DI227" t="s">
        <v>360</v>
      </c>
      <c r="DJ227">
        <v>1.2</v>
      </c>
      <c r="DK227">
        <v>2</v>
      </c>
      <c r="DL227">
        <v>159.8</v>
      </c>
      <c r="DM227">
        <v>0</v>
      </c>
      <c r="DN227">
        <v>6</v>
      </c>
      <c r="DO227">
        <v>10</v>
      </c>
      <c r="DP227">
        <v>0</v>
      </c>
      <c r="DQ227">
        <v>255</v>
      </c>
      <c r="DR227">
        <v>255</v>
      </c>
      <c r="DS227">
        <v>255</v>
      </c>
      <c r="DT227">
        <v>255</v>
      </c>
      <c r="DU227">
        <v>255</v>
      </c>
      <c r="DV227">
        <v>255</v>
      </c>
      <c r="DW227">
        <v>255</v>
      </c>
      <c r="DX227" t="s">
        <v>206</v>
      </c>
      <c r="DY227" t="s">
        <v>206</v>
      </c>
      <c r="DZ227" t="s">
        <v>207</v>
      </c>
      <c r="EA227" t="s">
        <v>198</v>
      </c>
      <c r="EB227" t="s">
        <v>198</v>
      </c>
      <c r="EC227" t="s">
        <v>198</v>
      </c>
      <c r="ED227">
        <v>0</v>
      </c>
      <c r="EE227">
        <v>0</v>
      </c>
      <c r="EF227">
        <v>0</v>
      </c>
      <c r="EG227">
        <v>0</v>
      </c>
      <c r="EH227">
        <v>255</v>
      </c>
      <c r="EI227">
        <v>255</v>
      </c>
      <c r="EJ227">
        <v>255</v>
      </c>
      <c r="EK227">
        <v>255</v>
      </c>
      <c r="EL227">
        <v>255</v>
      </c>
      <c r="EM227">
        <v>255</v>
      </c>
      <c r="EN227">
        <v>255</v>
      </c>
      <c r="EO227">
        <v>255</v>
      </c>
      <c r="EP227">
        <v>255</v>
      </c>
      <c r="EQ227">
        <v>255</v>
      </c>
      <c r="ER227" t="s">
        <v>208</v>
      </c>
      <c r="ES227" t="s">
        <v>209</v>
      </c>
      <c r="ET227" t="s">
        <v>209</v>
      </c>
      <c r="EU227">
        <v>0</v>
      </c>
      <c r="EV227">
        <v>16.2</v>
      </c>
      <c r="EW227">
        <v>-114.7</v>
      </c>
      <c r="EX227">
        <v>-0.2</v>
      </c>
      <c r="EY227">
        <v>0</v>
      </c>
      <c r="EZ227">
        <v>0</v>
      </c>
      <c r="FA227">
        <v>0</v>
      </c>
      <c r="FB227" t="s">
        <v>198</v>
      </c>
      <c r="FC227" t="s">
        <v>198</v>
      </c>
      <c r="FD227" t="s">
        <v>198</v>
      </c>
      <c r="FE227" t="s">
        <v>198</v>
      </c>
      <c r="FF227" t="s">
        <v>198</v>
      </c>
      <c r="FG227" t="s">
        <v>198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 t="s">
        <v>203</v>
      </c>
      <c r="FP227" t="s">
        <v>203</v>
      </c>
      <c r="FQ227" t="s">
        <v>203</v>
      </c>
      <c r="FR227" t="s">
        <v>203</v>
      </c>
      <c r="FS227" t="s">
        <v>203</v>
      </c>
      <c r="FT227" t="s">
        <v>203</v>
      </c>
      <c r="FU227" t="s">
        <v>198</v>
      </c>
      <c r="FV227" t="s">
        <v>198</v>
      </c>
      <c r="FW227" t="s">
        <v>198</v>
      </c>
      <c r="FX227" t="s">
        <v>198</v>
      </c>
      <c r="FY227" t="s">
        <v>198</v>
      </c>
      <c r="FZ227" t="s">
        <v>198</v>
      </c>
      <c r="GA227">
        <v>31.2</v>
      </c>
      <c r="GB227">
        <v>31.2</v>
      </c>
      <c r="GC227" t="s">
        <v>203</v>
      </c>
      <c r="GD227">
        <v>0</v>
      </c>
      <c r="GE227">
        <v>504</v>
      </c>
      <c r="GF227">
        <v>0</v>
      </c>
      <c r="GG227">
        <v>0</v>
      </c>
      <c r="GH227">
        <v>0</v>
      </c>
      <c r="GI227">
        <v>1</v>
      </c>
      <c r="GJ227">
        <v>1</v>
      </c>
      <c r="GK227">
        <v>0</v>
      </c>
      <c r="GL227" t="s">
        <v>198</v>
      </c>
      <c r="GM227" t="s">
        <v>198</v>
      </c>
      <c r="GN227" t="s">
        <v>198</v>
      </c>
    </row>
    <row r="228" spans="1:196">
      <c r="A228" s="19">
        <v>46316.90652017361</v>
      </c>
      <c r="B228">
        <v>0</v>
      </c>
      <c r="C228">
        <v>0</v>
      </c>
      <c r="D228">
        <v>277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584.2</v>
      </c>
      <c r="N228">
        <v>-0.5</v>
      </c>
      <c r="O228">
        <v>0</v>
      </c>
      <c r="P228">
        <v>0</v>
      </c>
      <c r="Q228">
        <v>0</v>
      </c>
      <c r="R228">
        <v>0</v>
      </c>
      <c r="S228">
        <v>115.6</v>
      </c>
      <c r="T228" t="s">
        <v>485</v>
      </c>
      <c r="U228">
        <v>115.7</v>
      </c>
      <c r="V228">
        <v>1762727256586.8</v>
      </c>
      <c r="W228">
        <v>1</v>
      </c>
      <c r="X228" t="s">
        <v>197</v>
      </c>
      <c r="Y228">
        <v>0</v>
      </c>
      <c r="Z228">
        <v>98</v>
      </c>
      <c r="AA228">
        <v>278</v>
      </c>
      <c r="AB228" t="s">
        <v>197</v>
      </c>
      <c r="AC228" t="s">
        <v>198</v>
      </c>
      <c r="AD228" t="s">
        <v>199</v>
      </c>
      <c r="AE228">
        <v>0</v>
      </c>
      <c r="AF228">
        <v>44</v>
      </c>
      <c r="AG228">
        <v>255</v>
      </c>
      <c r="AH228">
        <v>0</v>
      </c>
      <c r="AI228">
        <v>0</v>
      </c>
      <c r="AJ228">
        <v>0</v>
      </c>
      <c r="AK228">
        <v>12.6</v>
      </c>
      <c r="AL228">
        <v>0</v>
      </c>
      <c r="AM228">
        <v>0</v>
      </c>
      <c r="AN228" t="s">
        <v>197</v>
      </c>
      <c r="AO228">
        <v>100</v>
      </c>
      <c r="AP228" t="s">
        <v>197</v>
      </c>
      <c r="AQ228" t="s">
        <v>200</v>
      </c>
      <c r="AR228">
        <v>1</v>
      </c>
      <c r="AS228">
        <v>0</v>
      </c>
      <c r="AT228" t="s">
        <v>574</v>
      </c>
      <c r="AU228" t="s">
        <v>574</v>
      </c>
      <c r="AV228" t="s">
        <v>202</v>
      </c>
      <c r="AW228" t="s">
        <v>203</v>
      </c>
      <c r="AX228" t="s">
        <v>203</v>
      </c>
      <c r="AY228" t="s">
        <v>203</v>
      </c>
      <c r="AZ228" t="s">
        <v>203</v>
      </c>
      <c r="BA228" t="s">
        <v>203</v>
      </c>
      <c r="BB228" t="s">
        <v>203</v>
      </c>
      <c r="BC228" t="s">
        <v>203</v>
      </c>
      <c r="BD228" t="s">
        <v>203</v>
      </c>
      <c r="BE228" t="s">
        <v>203</v>
      </c>
      <c r="BF228">
        <v>0</v>
      </c>
      <c r="BG228">
        <v>0.2</v>
      </c>
      <c r="BH228">
        <v>50</v>
      </c>
      <c r="BI228">
        <v>0</v>
      </c>
      <c r="BJ228" t="s">
        <v>198</v>
      </c>
      <c r="BK228" t="s">
        <v>198</v>
      </c>
      <c r="BL228" t="s">
        <v>198</v>
      </c>
      <c r="BM228" t="s">
        <v>198</v>
      </c>
      <c r="BN228" t="s">
        <v>198</v>
      </c>
      <c r="BO228" t="s">
        <v>198</v>
      </c>
      <c r="BP228" t="s">
        <v>198</v>
      </c>
      <c r="BQ228" t="s">
        <v>198</v>
      </c>
      <c r="BR228" t="s">
        <v>198</v>
      </c>
      <c r="BS228" t="s">
        <v>198</v>
      </c>
      <c r="BT228" t="s">
        <v>198</v>
      </c>
      <c r="BU228" t="s">
        <v>198</v>
      </c>
      <c r="BV228" t="s">
        <v>198</v>
      </c>
      <c r="BW228" t="s">
        <v>198</v>
      </c>
      <c r="BX228" t="s">
        <v>198</v>
      </c>
      <c r="BY228" t="s">
        <v>198</v>
      </c>
      <c r="BZ228" t="s">
        <v>198</v>
      </c>
      <c r="CA228" t="s">
        <v>198</v>
      </c>
      <c r="CB228" t="s">
        <v>204</v>
      </c>
      <c r="CC228" t="s">
        <v>204</v>
      </c>
      <c r="CD228" t="s">
        <v>204</v>
      </c>
      <c r="CE228" t="s">
        <v>204</v>
      </c>
      <c r="CF228" t="s">
        <v>204</v>
      </c>
      <c r="CG228" t="s">
        <v>204</v>
      </c>
      <c r="CH228" t="s">
        <v>204</v>
      </c>
      <c r="CI228" t="s">
        <v>204</v>
      </c>
      <c r="CJ228" t="s">
        <v>204</v>
      </c>
      <c r="CK228" t="s">
        <v>204</v>
      </c>
      <c r="CL228" t="s">
        <v>204</v>
      </c>
      <c r="CM228" t="s">
        <v>204</v>
      </c>
      <c r="CN228" t="s">
        <v>203</v>
      </c>
      <c r="CO228" t="s">
        <v>203</v>
      </c>
      <c r="CP228" t="s">
        <v>203</v>
      </c>
      <c r="CQ228" t="s">
        <v>203</v>
      </c>
      <c r="CR228" t="s">
        <v>203</v>
      </c>
      <c r="CS228" t="s">
        <v>203</v>
      </c>
      <c r="CT228" t="s">
        <v>203</v>
      </c>
      <c r="CU228" t="s">
        <v>203</v>
      </c>
      <c r="CV228">
        <v>0</v>
      </c>
      <c r="CW228">
        <v>0</v>
      </c>
      <c r="CX228" t="s">
        <v>198</v>
      </c>
      <c r="CY228" t="s">
        <v>198</v>
      </c>
      <c r="CZ228" t="s">
        <v>198</v>
      </c>
      <c r="DA228" t="s">
        <v>198</v>
      </c>
      <c r="DB228" t="s">
        <v>198</v>
      </c>
      <c r="DC228">
        <v>0</v>
      </c>
      <c r="DD228">
        <v>0</v>
      </c>
      <c r="DE228">
        <v>0</v>
      </c>
      <c r="DF228">
        <v>0</v>
      </c>
      <c r="DG228">
        <v>-35.3631166</v>
      </c>
      <c r="DH228">
        <v>149.1639735</v>
      </c>
      <c r="DI228" t="s">
        <v>360</v>
      </c>
      <c r="DJ228">
        <v>1.2</v>
      </c>
      <c r="DK228">
        <v>2</v>
      </c>
      <c r="DL228">
        <v>159.8</v>
      </c>
      <c r="DM228">
        <v>0</v>
      </c>
      <c r="DN228">
        <v>6</v>
      </c>
      <c r="DO228">
        <v>10</v>
      </c>
      <c r="DP228">
        <v>0</v>
      </c>
      <c r="DQ228">
        <v>255</v>
      </c>
      <c r="DR228">
        <v>255</v>
      </c>
      <c r="DS228">
        <v>255</v>
      </c>
      <c r="DT228">
        <v>255</v>
      </c>
      <c r="DU228">
        <v>255</v>
      </c>
      <c r="DV228">
        <v>255</v>
      </c>
      <c r="DW228">
        <v>255</v>
      </c>
      <c r="DX228" t="s">
        <v>206</v>
      </c>
      <c r="DY228" t="s">
        <v>206</v>
      </c>
      <c r="DZ228" t="s">
        <v>207</v>
      </c>
      <c r="EA228" t="s">
        <v>198</v>
      </c>
      <c r="EB228" t="s">
        <v>198</v>
      </c>
      <c r="EC228" t="s">
        <v>198</v>
      </c>
      <c r="ED228">
        <v>0</v>
      </c>
      <c r="EE228">
        <v>0</v>
      </c>
      <c r="EF228">
        <v>0</v>
      </c>
      <c r="EG228">
        <v>0</v>
      </c>
      <c r="EH228">
        <v>255</v>
      </c>
      <c r="EI228">
        <v>255</v>
      </c>
      <c r="EJ228">
        <v>255</v>
      </c>
      <c r="EK228">
        <v>255</v>
      </c>
      <c r="EL228">
        <v>255</v>
      </c>
      <c r="EM228">
        <v>255</v>
      </c>
      <c r="EN228">
        <v>255</v>
      </c>
      <c r="EO228">
        <v>255</v>
      </c>
      <c r="EP228">
        <v>255</v>
      </c>
      <c r="EQ228">
        <v>255</v>
      </c>
      <c r="ER228" t="s">
        <v>208</v>
      </c>
      <c r="ES228" t="s">
        <v>209</v>
      </c>
      <c r="ET228" t="s">
        <v>209</v>
      </c>
      <c r="EU228">
        <v>0</v>
      </c>
      <c r="EV228">
        <v>16.2</v>
      </c>
      <c r="EW228">
        <v>-114.7</v>
      </c>
      <c r="EX228">
        <v>-0.2</v>
      </c>
      <c r="EY228">
        <v>0</v>
      </c>
      <c r="EZ228">
        <v>0</v>
      </c>
      <c r="FA228">
        <v>0</v>
      </c>
      <c r="FB228" t="s">
        <v>198</v>
      </c>
      <c r="FC228" t="s">
        <v>198</v>
      </c>
      <c r="FD228" t="s">
        <v>198</v>
      </c>
      <c r="FE228" t="s">
        <v>198</v>
      </c>
      <c r="FF228" t="s">
        <v>198</v>
      </c>
      <c r="FG228" t="s">
        <v>198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 t="s">
        <v>203</v>
      </c>
      <c r="FP228" t="s">
        <v>203</v>
      </c>
      <c r="FQ228" t="s">
        <v>203</v>
      </c>
      <c r="FR228" t="s">
        <v>203</v>
      </c>
      <c r="FS228" t="s">
        <v>203</v>
      </c>
      <c r="FT228" t="s">
        <v>203</v>
      </c>
      <c r="FU228" t="s">
        <v>198</v>
      </c>
      <c r="FV228" t="s">
        <v>198</v>
      </c>
      <c r="FW228" t="s">
        <v>198</v>
      </c>
      <c r="FX228" t="s">
        <v>198</v>
      </c>
      <c r="FY228" t="s">
        <v>198</v>
      </c>
      <c r="FZ228" t="s">
        <v>198</v>
      </c>
      <c r="GA228">
        <v>31.2</v>
      </c>
      <c r="GB228">
        <v>31.2</v>
      </c>
      <c r="GC228" t="s">
        <v>203</v>
      </c>
      <c r="GD228">
        <v>0</v>
      </c>
      <c r="GE228">
        <v>504</v>
      </c>
      <c r="GF228">
        <v>0</v>
      </c>
      <c r="GG228">
        <v>0</v>
      </c>
      <c r="GH228">
        <v>0</v>
      </c>
      <c r="GI228">
        <v>1</v>
      </c>
      <c r="GJ228">
        <v>1</v>
      </c>
      <c r="GK228">
        <v>0</v>
      </c>
      <c r="GL228" t="s">
        <v>198</v>
      </c>
      <c r="GM228" t="s">
        <v>198</v>
      </c>
      <c r="GN228" t="s">
        <v>198</v>
      </c>
    </row>
    <row r="229" spans="1:196">
      <c r="A229" s="19">
        <v>46316.90653174769</v>
      </c>
      <c r="B229">
        <v>0</v>
      </c>
      <c r="C229">
        <v>0</v>
      </c>
      <c r="D229">
        <v>277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584.2</v>
      </c>
      <c r="N229">
        <v>-0.5</v>
      </c>
      <c r="O229">
        <v>0</v>
      </c>
      <c r="P229">
        <v>0</v>
      </c>
      <c r="Q229">
        <v>0</v>
      </c>
      <c r="R229">
        <v>0</v>
      </c>
      <c r="S229">
        <v>115.6</v>
      </c>
      <c r="T229" t="s">
        <v>485</v>
      </c>
      <c r="U229">
        <v>115.7</v>
      </c>
      <c r="V229">
        <v>1762727256586.8</v>
      </c>
      <c r="W229">
        <v>1</v>
      </c>
      <c r="X229" t="s">
        <v>197</v>
      </c>
      <c r="Y229">
        <v>0</v>
      </c>
      <c r="Z229">
        <v>98</v>
      </c>
      <c r="AA229">
        <v>278</v>
      </c>
      <c r="AB229" t="s">
        <v>197</v>
      </c>
      <c r="AC229" t="s">
        <v>198</v>
      </c>
      <c r="AD229" t="s">
        <v>199</v>
      </c>
      <c r="AE229">
        <v>0</v>
      </c>
      <c r="AF229">
        <v>44</v>
      </c>
      <c r="AG229">
        <v>255</v>
      </c>
      <c r="AH229">
        <v>0</v>
      </c>
      <c r="AI229">
        <v>0</v>
      </c>
      <c r="AJ229">
        <v>0</v>
      </c>
      <c r="AK229">
        <v>12.6</v>
      </c>
      <c r="AL229">
        <v>0</v>
      </c>
      <c r="AM229">
        <v>0</v>
      </c>
      <c r="AN229" t="s">
        <v>197</v>
      </c>
      <c r="AO229">
        <v>100</v>
      </c>
      <c r="AP229" t="s">
        <v>197</v>
      </c>
      <c r="AQ229" t="s">
        <v>200</v>
      </c>
      <c r="AR229">
        <v>1</v>
      </c>
      <c r="AS229">
        <v>0</v>
      </c>
      <c r="AT229" t="s">
        <v>575</v>
      </c>
      <c r="AU229" t="s">
        <v>575</v>
      </c>
      <c r="AV229" t="s">
        <v>202</v>
      </c>
      <c r="AW229" t="s">
        <v>203</v>
      </c>
      <c r="AX229" t="s">
        <v>203</v>
      </c>
      <c r="AY229" t="s">
        <v>203</v>
      </c>
      <c r="AZ229" t="s">
        <v>203</v>
      </c>
      <c r="BA229" t="s">
        <v>203</v>
      </c>
      <c r="BB229" t="s">
        <v>203</v>
      </c>
      <c r="BC229" t="s">
        <v>203</v>
      </c>
      <c r="BD229" t="s">
        <v>203</v>
      </c>
      <c r="BE229" t="s">
        <v>203</v>
      </c>
      <c r="BF229">
        <v>0</v>
      </c>
      <c r="BG229">
        <v>0.2</v>
      </c>
      <c r="BH229">
        <v>50</v>
      </c>
      <c r="BI229">
        <v>0</v>
      </c>
      <c r="BJ229" t="s">
        <v>198</v>
      </c>
      <c r="BK229" t="s">
        <v>198</v>
      </c>
      <c r="BL229" t="s">
        <v>198</v>
      </c>
      <c r="BM229" t="s">
        <v>198</v>
      </c>
      <c r="BN229" t="s">
        <v>198</v>
      </c>
      <c r="BO229" t="s">
        <v>198</v>
      </c>
      <c r="BP229" t="s">
        <v>198</v>
      </c>
      <c r="BQ229" t="s">
        <v>198</v>
      </c>
      <c r="BR229" t="s">
        <v>198</v>
      </c>
      <c r="BS229" t="s">
        <v>198</v>
      </c>
      <c r="BT229" t="s">
        <v>198</v>
      </c>
      <c r="BU229" t="s">
        <v>198</v>
      </c>
      <c r="BV229" t="s">
        <v>198</v>
      </c>
      <c r="BW229" t="s">
        <v>198</v>
      </c>
      <c r="BX229" t="s">
        <v>198</v>
      </c>
      <c r="BY229" t="s">
        <v>198</v>
      </c>
      <c r="BZ229" t="s">
        <v>198</v>
      </c>
      <c r="CA229" t="s">
        <v>198</v>
      </c>
      <c r="CB229" t="s">
        <v>204</v>
      </c>
      <c r="CC229" t="s">
        <v>204</v>
      </c>
      <c r="CD229" t="s">
        <v>204</v>
      </c>
      <c r="CE229" t="s">
        <v>204</v>
      </c>
      <c r="CF229" t="s">
        <v>204</v>
      </c>
      <c r="CG229" t="s">
        <v>204</v>
      </c>
      <c r="CH229" t="s">
        <v>204</v>
      </c>
      <c r="CI229" t="s">
        <v>204</v>
      </c>
      <c r="CJ229" t="s">
        <v>204</v>
      </c>
      <c r="CK229" t="s">
        <v>204</v>
      </c>
      <c r="CL229" t="s">
        <v>204</v>
      </c>
      <c r="CM229" t="s">
        <v>204</v>
      </c>
      <c r="CN229" t="s">
        <v>203</v>
      </c>
      <c r="CO229" t="s">
        <v>203</v>
      </c>
      <c r="CP229" t="s">
        <v>203</v>
      </c>
      <c r="CQ229" t="s">
        <v>203</v>
      </c>
      <c r="CR229" t="s">
        <v>203</v>
      </c>
      <c r="CS229" t="s">
        <v>203</v>
      </c>
      <c r="CT229" t="s">
        <v>203</v>
      </c>
      <c r="CU229" t="s">
        <v>203</v>
      </c>
      <c r="CV229">
        <v>0</v>
      </c>
      <c r="CW229">
        <v>0</v>
      </c>
      <c r="CX229" t="s">
        <v>198</v>
      </c>
      <c r="CY229" t="s">
        <v>198</v>
      </c>
      <c r="CZ229" t="s">
        <v>198</v>
      </c>
      <c r="DA229" t="s">
        <v>198</v>
      </c>
      <c r="DB229" t="s">
        <v>198</v>
      </c>
      <c r="DC229">
        <v>0</v>
      </c>
      <c r="DD229">
        <v>0</v>
      </c>
      <c r="DE229">
        <v>0</v>
      </c>
      <c r="DF229">
        <v>0</v>
      </c>
      <c r="DG229">
        <v>-35.3631166</v>
      </c>
      <c r="DH229">
        <v>149.1639735</v>
      </c>
      <c r="DI229" t="s">
        <v>360</v>
      </c>
      <c r="DJ229">
        <v>1.2</v>
      </c>
      <c r="DK229">
        <v>2</v>
      </c>
      <c r="DL229">
        <v>159.8</v>
      </c>
      <c r="DM229">
        <v>0</v>
      </c>
      <c r="DN229">
        <v>6</v>
      </c>
      <c r="DO229">
        <v>10</v>
      </c>
      <c r="DP229">
        <v>0</v>
      </c>
      <c r="DQ229">
        <v>255</v>
      </c>
      <c r="DR229">
        <v>255</v>
      </c>
      <c r="DS229">
        <v>255</v>
      </c>
      <c r="DT229">
        <v>255</v>
      </c>
      <c r="DU229">
        <v>255</v>
      </c>
      <c r="DV229">
        <v>255</v>
      </c>
      <c r="DW229">
        <v>255</v>
      </c>
      <c r="DX229" t="s">
        <v>206</v>
      </c>
      <c r="DY229" t="s">
        <v>206</v>
      </c>
      <c r="DZ229" t="s">
        <v>207</v>
      </c>
      <c r="EA229" t="s">
        <v>198</v>
      </c>
      <c r="EB229" t="s">
        <v>198</v>
      </c>
      <c r="EC229" t="s">
        <v>198</v>
      </c>
      <c r="ED229">
        <v>0</v>
      </c>
      <c r="EE229">
        <v>0</v>
      </c>
      <c r="EF229">
        <v>0</v>
      </c>
      <c r="EG229">
        <v>0</v>
      </c>
      <c r="EH229">
        <v>255</v>
      </c>
      <c r="EI229">
        <v>255</v>
      </c>
      <c r="EJ229">
        <v>255</v>
      </c>
      <c r="EK229">
        <v>255</v>
      </c>
      <c r="EL229">
        <v>255</v>
      </c>
      <c r="EM229">
        <v>255</v>
      </c>
      <c r="EN229">
        <v>255</v>
      </c>
      <c r="EO229">
        <v>255</v>
      </c>
      <c r="EP229">
        <v>255</v>
      </c>
      <c r="EQ229">
        <v>255</v>
      </c>
      <c r="ER229" t="s">
        <v>208</v>
      </c>
      <c r="ES229" t="s">
        <v>209</v>
      </c>
      <c r="ET229" t="s">
        <v>209</v>
      </c>
      <c r="EU229">
        <v>0</v>
      </c>
      <c r="EV229">
        <v>16.2</v>
      </c>
      <c r="EW229">
        <v>-114.7</v>
      </c>
      <c r="EX229">
        <v>-0.2</v>
      </c>
      <c r="EY229">
        <v>0</v>
      </c>
      <c r="EZ229">
        <v>0</v>
      </c>
      <c r="FA229">
        <v>0</v>
      </c>
      <c r="FB229" t="s">
        <v>198</v>
      </c>
      <c r="FC229" t="s">
        <v>198</v>
      </c>
      <c r="FD229" t="s">
        <v>198</v>
      </c>
      <c r="FE229" t="s">
        <v>198</v>
      </c>
      <c r="FF229" t="s">
        <v>198</v>
      </c>
      <c r="FG229" t="s">
        <v>198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 t="s">
        <v>203</v>
      </c>
      <c r="FP229" t="s">
        <v>203</v>
      </c>
      <c r="FQ229" t="s">
        <v>203</v>
      </c>
      <c r="FR229" t="s">
        <v>203</v>
      </c>
      <c r="FS229" t="s">
        <v>203</v>
      </c>
      <c r="FT229" t="s">
        <v>203</v>
      </c>
      <c r="FU229" t="s">
        <v>198</v>
      </c>
      <c r="FV229" t="s">
        <v>198</v>
      </c>
      <c r="FW229" t="s">
        <v>198</v>
      </c>
      <c r="FX229" t="s">
        <v>198</v>
      </c>
      <c r="FY229" t="s">
        <v>198</v>
      </c>
      <c r="FZ229" t="s">
        <v>198</v>
      </c>
      <c r="GA229">
        <v>31.2</v>
      </c>
      <c r="GB229">
        <v>31.2</v>
      </c>
      <c r="GC229" t="s">
        <v>203</v>
      </c>
      <c r="GD229">
        <v>0</v>
      </c>
      <c r="GE229">
        <v>504</v>
      </c>
      <c r="GF229">
        <v>0</v>
      </c>
      <c r="GG229">
        <v>0</v>
      </c>
      <c r="GH229">
        <v>0</v>
      </c>
      <c r="GI229">
        <v>1</v>
      </c>
      <c r="GJ229">
        <v>1</v>
      </c>
      <c r="GK229">
        <v>0</v>
      </c>
      <c r="GL229" t="s">
        <v>198</v>
      </c>
      <c r="GM229" t="s">
        <v>198</v>
      </c>
      <c r="GN229" t="s">
        <v>198</v>
      </c>
    </row>
    <row r="230" spans="1:196">
      <c r="A230" s="19">
        <v>46316.90654333333</v>
      </c>
      <c r="B230">
        <v>0</v>
      </c>
      <c r="C230">
        <v>0</v>
      </c>
      <c r="D230">
        <v>277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584.2</v>
      </c>
      <c r="N230">
        <v>-0.5</v>
      </c>
      <c r="O230">
        <v>0</v>
      </c>
      <c r="P230">
        <v>0</v>
      </c>
      <c r="Q230">
        <v>0</v>
      </c>
      <c r="R230">
        <v>0</v>
      </c>
      <c r="S230">
        <v>115.6</v>
      </c>
      <c r="T230" t="s">
        <v>485</v>
      </c>
      <c r="U230">
        <v>115.7</v>
      </c>
      <c r="V230">
        <v>1762727256586.8</v>
      </c>
      <c r="W230">
        <v>1</v>
      </c>
      <c r="X230" t="s">
        <v>197</v>
      </c>
      <c r="Y230">
        <v>0</v>
      </c>
      <c r="Z230">
        <v>98</v>
      </c>
      <c r="AA230">
        <v>278</v>
      </c>
      <c r="AB230" t="s">
        <v>197</v>
      </c>
      <c r="AC230" t="s">
        <v>198</v>
      </c>
      <c r="AD230" t="s">
        <v>199</v>
      </c>
      <c r="AE230">
        <v>0</v>
      </c>
      <c r="AF230">
        <v>44</v>
      </c>
      <c r="AG230">
        <v>255</v>
      </c>
      <c r="AH230">
        <v>0</v>
      </c>
      <c r="AI230">
        <v>0</v>
      </c>
      <c r="AJ230">
        <v>0</v>
      </c>
      <c r="AK230">
        <v>12.6</v>
      </c>
      <c r="AL230">
        <v>0</v>
      </c>
      <c r="AM230">
        <v>0</v>
      </c>
      <c r="AN230" t="s">
        <v>197</v>
      </c>
      <c r="AO230">
        <v>100</v>
      </c>
      <c r="AP230" t="s">
        <v>197</v>
      </c>
      <c r="AQ230" t="s">
        <v>200</v>
      </c>
      <c r="AR230">
        <v>1</v>
      </c>
      <c r="AS230">
        <v>0</v>
      </c>
      <c r="AT230" t="s">
        <v>576</v>
      </c>
      <c r="AU230" t="s">
        <v>576</v>
      </c>
      <c r="AV230" t="s">
        <v>202</v>
      </c>
      <c r="AW230" t="s">
        <v>203</v>
      </c>
      <c r="AX230" t="s">
        <v>203</v>
      </c>
      <c r="AY230" t="s">
        <v>203</v>
      </c>
      <c r="AZ230" t="s">
        <v>203</v>
      </c>
      <c r="BA230" t="s">
        <v>203</v>
      </c>
      <c r="BB230" t="s">
        <v>203</v>
      </c>
      <c r="BC230" t="s">
        <v>203</v>
      </c>
      <c r="BD230" t="s">
        <v>203</v>
      </c>
      <c r="BE230" t="s">
        <v>203</v>
      </c>
      <c r="BF230">
        <v>0</v>
      </c>
      <c r="BG230">
        <v>0.2</v>
      </c>
      <c r="BH230">
        <v>50</v>
      </c>
      <c r="BI230">
        <v>0</v>
      </c>
      <c r="BJ230" t="s">
        <v>198</v>
      </c>
      <c r="BK230" t="s">
        <v>198</v>
      </c>
      <c r="BL230" t="s">
        <v>198</v>
      </c>
      <c r="BM230" t="s">
        <v>198</v>
      </c>
      <c r="BN230" t="s">
        <v>198</v>
      </c>
      <c r="BO230" t="s">
        <v>198</v>
      </c>
      <c r="BP230" t="s">
        <v>198</v>
      </c>
      <c r="BQ230" t="s">
        <v>198</v>
      </c>
      <c r="BR230" t="s">
        <v>198</v>
      </c>
      <c r="BS230" t="s">
        <v>198</v>
      </c>
      <c r="BT230" t="s">
        <v>198</v>
      </c>
      <c r="BU230" t="s">
        <v>198</v>
      </c>
      <c r="BV230" t="s">
        <v>198</v>
      </c>
      <c r="BW230" t="s">
        <v>198</v>
      </c>
      <c r="BX230" t="s">
        <v>198</v>
      </c>
      <c r="BY230" t="s">
        <v>198</v>
      </c>
      <c r="BZ230" t="s">
        <v>198</v>
      </c>
      <c r="CA230" t="s">
        <v>198</v>
      </c>
      <c r="CB230" t="s">
        <v>204</v>
      </c>
      <c r="CC230" t="s">
        <v>204</v>
      </c>
      <c r="CD230" t="s">
        <v>204</v>
      </c>
      <c r="CE230" t="s">
        <v>204</v>
      </c>
      <c r="CF230" t="s">
        <v>204</v>
      </c>
      <c r="CG230" t="s">
        <v>204</v>
      </c>
      <c r="CH230" t="s">
        <v>204</v>
      </c>
      <c r="CI230" t="s">
        <v>204</v>
      </c>
      <c r="CJ230" t="s">
        <v>204</v>
      </c>
      <c r="CK230" t="s">
        <v>204</v>
      </c>
      <c r="CL230" t="s">
        <v>204</v>
      </c>
      <c r="CM230" t="s">
        <v>204</v>
      </c>
      <c r="CN230" t="s">
        <v>203</v>
      </c>
      <c r="CO230" t="s">
        <v>203</v>
      </c>
      <c r="CP230" t="s">
        <v>203</v>
      </c>
      <c r="CQ230" t="s">
        <v>203</v>
      </c>
      <c r="CR230" t="s">
        <v>203</v>
      </c>
      <c r="CS230" t="s">
        <v>203</v>
      </c>
      <c r="CT230" t="s">
        <v>203</v>
      </c>
      <c r="CU230" t="s">
        <v>203</v>
      </c>
      <c r="CV230">
        <v>0</v>
      </c>
      <c r="CW230">
        <v>0</v>
      </c>
      <c r="CX230" t="s">
        <v>198</v>
      </c>
      <c r="CY230" t="s">
        <v>198</v>
      </c>
      <c r="CZ230" t="s">
        <v>198</v>
      </c>
      <c r="DA230" t="s">
        <v>198</v>
      </c>
      <c r="DB230" t="s">
        <v>198</v>
      </c>
      <c r="DC230">
        <v>0</v>
      </c>
      <c r="DD230">
        <v>0</v>
      </c>
      <c r="DE230">
        <v>0</v>
      </c>
      <c r="DF230">
        <v>0</v>
      </c>
      <c r="DG230">
        <v>-35.3631166</v>
      </c>
      <c r="DH230">
        <v>149.1639735</v>
      </c>
      <c r="DI230" t="s">
        <v>360</v>
      </c>
      <c r="DJ230">
        <v>1.2</v>
      </c>
      <c r="DK230">
        <v>2</v>
      </c>
      <c r="DL230">
        <v>159.8</v>
      </c>
      <c r="DM230">
        <v>0</v>
      </c>
      <c r="DN230">
        <v>6</v>
      </c>
      <c r="DO230">
        <v>10</v>
      </c>
      <c r="DP230">
        <v>0</v>
      </c>
      <c r="DQ230">
        <v>255</v>
      </c>
      <c r="DR230">
        <v>255</v>
      </c>
      <c r="DS230">
        <v>255</v>
      </c>
      <c r="DT230">
        <v>255</v>
      </c>
      <c r="DU230">
        <v>255</v>
      </c>
      <c r="DV230">
        <v>255</v>
      </c>
      <c r="DW230">
        <v>255</v>
      </c>
      <c r="DX230" t="s">
        <v>206</v>
      </c>
      <c r="DY230" t="s">
        <v>206</v>
      </c>
      <c r="DZ230" t="s">
        <v>207</v>
      </c>
      <c r="EA230" t="s">
        <v>198</v>
      </c>
      <c r="EB230" t="s">
        <v>198</v>
      </c>
      <c r="EC230" t="s">
        <v>198</v>
      </c>
      <c r="ED230">
        <v>0</v>
      </c>
      <c r="EE230">
        <v>0</v>
      </c>
      <c r="EF230">
        <v>0</v>
      </c>
      <c r="EG230">
        <v>0</v>
      </c>
      <c r="EH230">
        <v>255</v>
      </c>
      <c r="EI230">
        <v>255</v>
      </c>
      <c r="EJ230">
        <v>255</v>
      </c>
      <c r="EK230">
        <v>255</v>
      </c>
      <c r="EL230">
        <v>255</v>
      </c>
      <c r="EM230">
        <v>255</v>
      </c>
      <c r="EN230">
        <v>255</v>
      </c>
      <c r="EO230">
        <v>255</v>
      </c>
      <c r="EP230">
        <v>255</v>
      </c>
      <c r="EQ230">
        <v>255</v>
      </c>
      <c r="ER230" t="s">
        <v>208</v>
      </c>
      <c r="ES230" t="s">
        <v>209</v>
      </c>
      <c r="ET230" t="s">
        <v>209</v>
      </c>
      <c r="EU230">
        <v>0</v>
      </c>
      <c r="EV230">
        <v>16.2</v>
      </c>
      <c r="EW230">
        <v>-114.7</v>
      </c>
      <c r="EX230">
        <v>-0.2</v>
      </c>
      <c r="EY230">
        <v>0</v>
      </c>
      <c r="EZ230">
        <v>0</v>
      </c>
      <c r="FA230">
        <v>0</v>
      </c>
      <c r="FB230" t="s">
        <v>198</v>
      </c>
      <c r="FC230" t="s">
        <v>198</v>
      </c>
      <c r="FD230" t="s">
        <v>198</v>
      </c>
      <c r="FE230" t="s">
        <v>198</v>
      </c>
      <c r="FF230" t="s">
        <v>198</v>
      </c>
      <c r="FG230" t="s">
        <v>198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 t="s">
        <v>203</v>
      </c>
      <c r="FP230" t="s">
        <v>203</v>
      </c>
      <c r="FQ230" t="s">
        <v>203</v>
      </c>
      <c r="FR230" t="s">
        <v>203</v>
      </c>
      <c r="FS230" t="s">
        <v>203</v>
      </c>
      <c r="FT230" t="s">
        <v>203</v>
      </c>
      <c r="FU230" t="s">
        <v>198</v>
      </c>
      <c r="FV230" t="s">
        <v>198</v>
      </c>
      <c r="FW230" t="s">
        <v>198</v>
      </c>
      <c r="FX230" t="s">
        <v>198</v>
      </c>
      <c r="FY230" t="s">
        <v>198</v>
      </c>
      <c r="FZ230" t="s">
        <v>198</v>
      </c>
      <c r="GA230">
        <v>31.2</v>
      </c>
      <c r="GB230">
        <v>31.2</v>
      </c>
      <c r="GC230" t="s">
        <v>203</v>
      </c>
      <c r="GD230">
        <v>0</v>
      </c>
      <c r="GE230">
        <v>504</v>
      </c>
      <c r="GF230">
        <v>0</v>
      </c>
      <c r="GG230">
        <v>0</v>
      </c>
      <c r="GH230">
        <v>0</v>
      </c>
      <c r="GI230">
        <v>1</v>
      </c>
      <c r="GJ230">
        <v>1</v>
      </c>
      <c r="GK230">
        <v>0</v>
      </c>
      <c r="GL230" t="s">
        <v>198</v>
      </c>
      <c r="GM230" t="s">
        <v>198</v>
      </c>
      <c r="GN230" t="s">
        <v>198</v>
      </c>
    </row>
    <row r="231" spans="1:196">
      <c r="A231" s="19">
        <v>46316.90655489583</v>
      </c>
      <c r="B231">
        <v>0</v>
      </c>
      <c r="C231">
        <v>0</v>
      </c>
      <c r="D231">
        <v>277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584.2</v>
      </c>
      <c r="N231">
        <v>-0.5</v>
      </c>
      <c r="O231">
        <v>0</v>
      </c>
      <c r="P231">
        <v>0</v>
      </c>
      <c r="Q231">
        <v>0</v>
      </c>
      <c r="R231">
        <v>0</v>
      </c>
      <c r="S231">
        <v>115.6</v>
      </c>
      <c r="T231" t="s">
        <v>485</v>
      </c>
      <c r="U231">
        <v>115.7</v>
      </c>
      <c r="V231">
        <v>1762727256586.8</v>
      </c>
      <c r="W231">
        <v>1</v>
      </c>
      <c r="X231" t="s">
        <v>197</v>
      </c>
      <c r="Y231">
        <v>0</v>
      </c>
      <c r="Z231">
        <v>98</v>
      </c>
      <c r="AA231">
        <v>278</v>
      </c>
      <c r="AB231" t="s">
        <v>197</v>
      </c>
      <c r="AC231" t="s">
        <v>198</v>
      </c>
      <c r="AD231" t="s">
        <v>199</v>
      </c>
      <c r="AE231">
        <v>0</v>
      </c>
      <c r="AF231">
        <v>44</v>
      </c>
      <c r="AG231">
        <v>255</v>
      </c>
      <c r="AH231">
        <v>0</v>
      </c>
      <c r="AI231">
        <v>0</v>
      </c>
      <c r="AJ231">
        <v>0</v>
      </c>
      <c r="AK231">
        <v>12.6</v>
      </c>
      <c r="AL231">
        <v>0</v>
      </c>
      <c r="AM231">
        <v>0</v>
      </c>
      <c r="AN231" t="s">
        <v>197</v>
      </c>
      <c r="AO231">
        <v>100</v>
      </c>
      <c r="AP231" t="s">
        <v>197</v>
      </c>
      <c r="AQ231" t="s">
        <v>200</v>
      </c>
      <c r="AR231">
        <v>1</v>
      </c>
      <c r="AS231">
        <v>0</v>
      </c>
      <c r="AT231" t="s">
        <v>577</v>
      </c>
      <c r="AU231" t="s">
        <v>577</v>
      </c>
      <c r="AV231" t="s">
        <v>202</v>
      </c>
      <c r="AW231" t="s">
        <v>203</v>
      </c>
      <c r="AX231" t="s">
        <v>203</v>
      </c>
      <c r="AY231" t="s">
        <v>203</v>
      </c>
      <c r="AZ231" t="s">
        <v>203</v>
      </c>
      <c r="BA231" t="s">
        <v>203</v>
      </c>
      <c r="BB231" t="s">
        <v>203</v>
      </c>
      <c r="BC231" t="s">
        <v>203</v>
      </c>
      <c r="BD231" t="s">
        <v>203</v>
      </c>
      <c r="BE231" t="s">
        <v>203</v>
      </c>
      <c r="BF231">
        <v>0</v>
      </c>
      <c r="BG231">
        <v>0.2</v>
      </c>
      <c r="BH231">
        <v>50</v>
      </c>
      <c r="BI231">
        <v>0</v>
      </c>
      <c r="BJ231" t="s">
        <v>198</v>
      </c>
      <c r="BK231" t="s">
        <v>198</v>
      </c>
      <c r="BL231" t="s">
        <v>198</v>
      </c>
      <c r="BM231" t="s">
        <v>198</v>
      </c>
      <c r="BN231" t="s">
        <v>198</v>
      </c>
      <c r="BO231" t="s">
        <v>198</v>
      </c>
      <c r="BP231" t="s">
        <v>198</v>
      </c>
      <c r="BQ231" t="s">
        <v>198</v>
      </c>
      <c r="BR231" t="s">
        <v>198</v>
      </c>
      <c r="BS231" t="s">
        <v>198</v>
      </c>
      <c r="BT231" t="s">
        <v>198</v>
      </c>
      <c r="BU231" t="s">
        <v>198</v>
      </c>
      <c r="BV231" t="s">
        <v>198</v>
      </c>
      <c r="BW231" t="s">
        <v>198</v>
      </c>
      <c r="BX231" t="s">
        <v>198</v>
      </c>
      <c r="BY231" t="s">
        <v>198</v>
      </c>
      <c r="BZ231" t="s">
        <v>198</v>
      </c>
      <c r="CA231" t="s">
        <v>198</v>
      </c>
      <c r="CB231" t="s">
        <v>204</v>
      </c>
      <c r="CC231" t="s">
        <v>204</v>
      </c>
      <c r="CD231" t="s">
        <v>204</v>
      </c>
      <c r="CE231" t="s">
        <v>204</v>
      </c>
      <c r="CF231" t="s">
        <v>204</v>
      </c>
      <c r="CG231" t="s">
        <v>204</v>
      </c>
      <c r="CH231" t="s">
        <v>204</v>
      </c>
      <c r="CI231" t="s">
        <v>204</v>
      </c>
      <c r="CJ231" t="s">
        <v>204</v>
      </c>
      <c r="CK231" t="s">
        <v>204</v>
      </c>
      <c r="CL231" t="s">
        <v>204</v>
      </c>
      <c r="CM231" t="s">
        <v>204</v>
      </c>
      <c r="CN231" t="s">
        <v>203</v>
      </c>
      <c r="CO231" t="s">
        <v>203</v>
      </c>
      <c r="CP231" t="s">
        <v>203</v>
      </c>
      <c r="CQ231" t="s">
        <v>203</v>
      </c>
      <c r="CR231" t="s">
        <v>203</v>
      </c>
      <c r="CS231" t="s">
        <v>203</v>
      </c>
      <c r="CT231" t="s">
        <v>203</v>
      </c>
      <c r="CU231" t="s">
        <v>203</v>
      </c>
      <c r="CV231">
        <v>0</v>
      </c>
      <c r="CW231">
        <v>0</v>
      </c>
      <c r="CX231" t="s">
        <v>198</v>
      </c>
      <c r="CY231" t="s">
        <v>198</v>
      </c>
      <c r="CZ231" t="s">
        <v>198</v>
      </c>
      <c r="DA231" t="s">
        <v>198</v>
      </c>
      <c r="DB231" t="s">
        <v>198</v>
      </c>
      <c r="DC231">
        <v>0</v>
      </c>
      <c r="DD231">
        <v>0</v>
      </c>
      <c r="DE231">
        <v>0</v>
      </c>
      <c r="DF231">
        <v>0</v>
      </c>
      <c r="DG231">
        <v>-35.3631166</v>
      </c>
      <c r="DH231">
        <v>149.1639735</v>
      </c>
      <c r="DI231" t="s">
        <v>360</v>
      </c>
      <c r="DJ231">
        <v>1.2</v>
      </c>
      <c r="DK231">
        <v>2</v>
      </c>
      <c r="DL231">
        <v>159.8</v>
      </c>
      <c r="DM231">
        <v>0</v>
      </c>
      <c r="DN231">
        <v>6</v>
      </c>
      <c r="DO231">
        <v>10</v>
      </c>
      <c r="DP231">
        <v>0</v>
      </c>
      <c r="DQ231">
        <v>255</v>
      </c>
      <c r="DR231">
        <v>255</v>
      </c>
      <c r="DS231">
        <v>255</v>
      </c>
      <c r="DT231">
        <v>255</v>
      </c>
      <c r="DU231">
        <v>255</v>
      </c>
      <c r="DV231">
        <v>255</v>
      </c>
      <c r="DW231">
        <v>255</v>
      </c>
      <c r="DX231" t="s">
        <v>206</v>
      </c>
      <c r="DY231" t="s">
        <v>206</v>
      </c>
      <c r="DZ231" t="s">
        <v>207</v>
      </c>
      <c r="EA231" t="s">
        <v>198</v>
      </c>
      <c r="EB231" t="s">
        <v>198</v>
      </c>
      <c r="EC231" t="s">
        <v>198</v>
      </c>
      <c r="ED231">
        <v>0</v>
      </c>
      <c r="EE231">
        <v>0</v>
      </c>
      <c r="EF231">
        <v>0</v>
      </c>
      <c r="EG231">
        <v>0</v>
      </c>
      <c r="EH231">
        <v>255</v>
      </c>
      <c r="EI231">
        <v>255</v>
      </c>
      <c r="EJ231">
        <v>255</v>
      </c>
      <c r="EK231">
        <v>255</v>
      </c>
      <c r="EL231">
        <v>255</v>
      </c>
      <c r="EM231">
        <v>255</v>
      </c>
      <c r="EN231">
        <v>255</v>
      </c>
      <c r="EO231">
        <v>255</v>
      </c>
      <c r="EP231">
        <v>255</v>
      </c>
      <c r="EQ231">
        <v>255</v>
      </c>
      <c r="ER231" t="s">
        <v>208</v>
      </c>
      <c r="ES231" t="s">
        <v>209</v>
      </c>
      <c r="ET231" t="s">
        <v>209</v>
      </c>
      <c r="EU231">
        <v>0</v>
      </c>
      <c r="EV231">
        <v>16.2</v>
      </c>
      <c r="EW231">
        <v>-114.7</v>
      </c>
      <c r="EX231">
        <v>-0.2</v>
      </c>
      <c r="EY231">
        <v>0</v>
      </c>
      <c r="EZ231">
        <v>0</v>
      </c>
      <c r="FA231">
        <v>0</v>
      </c>
      <c r="FB231" t="s">
        <v>198</v>
      </c>
      <c r="FC231" t="s">
        <v>198</v>
      </c>
      <c r="FD231" t="s">
        <v>198</v>
      </c>
      <c r="FE231" t="s">
        <v>198</v>
      </c>
      <c r="FF231" t="s">
        <v>198</v>
      </c>
      <c r="FG231" t="s">
        <v>198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 t="s">
        <v>203</v>
      </c>
      <c r="FP231" t="s">
        <v>203</v>
      </c>
      <c r="FQ231" t="s">
        <v>203</v>
      </c>
      <c r="FR231" t="s">
        <v>203</v>
      </c>
      <c r="FS231" t="s">
        <v>203</v>
      </c>
      <c r="FT231" t="s">
        <v>203</v>
      </c>
      <c r="FU231" t="s">
        <v>198</v>
      </c>
      <c r="FV231" t="s">
        <v>198</v>
      </c>
      <c r="FW231" t="s">
        <v>198</v>
      </c>
      <c r="FX231" t="s">
        <v>198</v>
      </c>
      <c r="FY231" t="s">
        <v>198</v>
      </c>
      <c r="FZ231" t="s">
        <v>198</v>
      </c>
      <c r="GA231">
        <v>31.2</v>
      </c>
      <c r="GB231">
        <v>31.2</v>
      </c>
      <c r="GC231" t="s">
        <v>203</v>
      </c>
      <c r="GD231">
        <v>0</v>
      </c>
      <c r="GE231">
        <v>504</v>
      </c>
      <c r="GF231">
        <v>0</v>
      </c>
      <c r="GG231">
        <v>0</v>
      </c>
      <c r="GH231">
        <v>0</v>
      </c>
      <c r="GI231">
        <v>1</v>
      </c>
      <c r="GJ231">
        <v>1</v>
      </c>
      <c r="GK231">
        <v>0</v>
      </c>
      <c r="GL231" t="s">
        <v>198</v>
      </c>
      <c r="GM231" t="s">
        <v>198</v>
      </c>
      <c r="GN231" t="s">
        <v>198</v>
      </c>
    </row>
    <row r="232" spans="1:196">
      <c r="A232" s="19">
        <v>46316.90656646991</v>
      </c>
      <c r="B232">
        <v>0</v>
      </c>
      <c r="C232">
        <v>0</v>
      </c>
      <c r="D232">
        <v>277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584.2</v>
      </c>
      <c r="N232">
        <v>-0.5</v>
      </c>
      <c r="O232">
        <v>0</v>
      </c>
      <c r="P232">
        <v>0</v>
      </c>
      <c r="Q232">
        <v>0</v>
      </c>
      <c r="R232">
        <v>0</v>
      </c>
      <c r="S232">
        <v>115.6</v>
      </c>
      <c r="T232" t="s">
        <v>485</v>
      </c>
      <c r="U232">
        <v>115.7</v>
      </c>
      <c r="V232">
        <v>1762727256586.8</v>
      </c>
      <c r="W232">
        <v>1</v>
      </c>
      <c r="X232" t="s">
        <v>197</v>
      </c>
      <c r="Y232">
        <v>0</v>
      </c>
      <c r="Z232">
        <v>98</v>
      </c>
      <c r="AA232">
        <v>278</v>
      </c>
      <c r="AB232" t="s">
        <v>197</v>
      </c>
      <c r="AC232" t="s">
        <v>198</v>
      </c>
      <c r="AD232" t="s">
        <v>199</v>
      </c>
      <c r="AE232">
        <v>0</v>
      </c>
      <c r="AF232">
        <v>44</v>
      </c>
      <c r="AG232">
        <v>255</v>
      </c>
      <c r="AH232">
        <v>0</v>
      </c>
      <c r="AI232">
        <v>0</v>
      </c>
      <c r="AJ232">
        <v>0</v>
      </c>
      <c r="AK232">
        <v>12.6</v>
      </c>
      <c r="AL232">
        <v>0</v>
      </c>
      <c r="AM232">
        <v>0</v>
      </c>
      <c r="AN232" t="s">
        <v>197</v>
      </c>
      <c r="AO232">
        <v>100</v>
      </c>
      <c r="AP232" t="s">
        <v>197</v>
      </c>
      <c r="AQ232" t="s">
        <v>200</v>
      </c>
      <c r="AR232">
        <v>1</v>
      </c>
      <c r="AS232">
        <v>0</v>
      </c>
      <c r="AT232" t="s">
        <v>578</v>
      </c>
      <c r="AU232" t="s">
        <v>578</v>
      </c>
      <c r="AV232" t="s">
        <v>202</v>
      </c>
      <c r="AW232" t="s">
        <v>203</v>
      </c>
      <c r="AX232" t="s">
        <v>203</v>
      </c>
      <c r="AY232" t="s">
        <v>203</v>
      </c>
      <c r="AZ232" t="s">
        <v>203</v>
      </c>
      <c r="BA232" t="s">
        <v>203</v>
      </c>
      <c r="BB232" t="s">
        <v>203</v>
      </c>
      <c r="BC232" t="s">
        <v>203</v>
      </c>
      <c r="BD232" t="s">
        <v>203</v>
      </c>
      <c r="BE232" t="s">
        <v>203</v>
      </c>
      <c r="BF232">
        <v>0</v>
      </c>
      <c r="BG232">
        <v>0.2</v>
      </c>
      <c r="BH232">
        <v>50</v>
      </c>
      <c r="BI232">
        <v>0</v>
      </c>
      <c r="BJ232" t="s">
        <v>198</v>
      </c>
      <c r="BK232" t="s">
        <v>198</v>
      </c>
      <c r="BL232" t="s">
        <v>198</v>
      </c>
      <c r="BM232" t="s">
        <v>198</v>
      </c>
      <c r="BN232" t="s">
        <v>198</v>
      </c>
      <c r="BO232" t="s">
        <v>198</v>
      </c>
      <c r="BP232" t="s">
        <v>198</v>
      </c>
      <c r="BQ232" t="s">
        <v>198</v>
      </c>
      <c r="BR232" t="s">
        <v>198</v>
      </c>
      <c r="BS232" t="s">
        <v>198</v>
      </c>
      <c r="BT232" t="s">
        <v>198</v>
      </c>
      <c r="BU232" t="s">
        <v>198</v>
      </c>
      <c r="BV232" t="s">
        <v>198</v>
      </c>
      <c r="BW232" t="s">
        <v>198</v>
      </c>
      <c r="BX232" t="s">
        <v>198</v>
      </c>
      <c r="BY232" t="s">
        <v>198</v>
      </c>
      <c r="BZ232" t="s">
        <v>198</v>
      </c>
      <c r="CA232" t="s">
        <v>198</v>
      </c>
      <c r="CB232" t="s">
        <v>204</v>
      </c>
      <c r="CC232" t="s">
        <v>204</v>
      </c>
      <c r="CD232" t="s">
        <v>204</v>
      </c>
      <c r="CE232" t="s">
        <v>204</v>
      </c>
      <c r="CF232" t="s">
        <v>204</v>
      </c>
      <c r="CG232" t="s">
        <v>204</v>
      </c>
      <c r="CH232" t="s">
        <v>204</v>
      </c>
      <c r="CI232" t="s">
        <v>204</v>
      </c>
      <c r="CJ232" t="s">
        <v>204</v>
      </c>
      <c r="CK232" t="s">
        <v>204</v>
      </c>
      <c r="CL232" t="s">
        <v>204</v>
      </c>
      <c r="CM232" t="s">
        <v>204</v>
      </c>
      <c r="CN232" t="s">
        <v>203</v>
      </c>
      <c r="CO232" t="s">
        <v>203</v>
      </c>
      <c r="CP232" t="s">
        <v>203</v>
      </c>
      <c r="CQ232" t="s">
        <v>203</v>
      </c>
      <c r="CR232" t="s">
        <v>203</v>
      </c>
      <c r="CS232" t="s">
        <v>203</v>
      </c>
      <c r="CT232" t="s">
        <v>203</v>
      </c>
      <c r="CU232" t="s">
        <v>203</v>
      </c>
      <c r="CV232">
        <v>0</v>
      </c>
      <c r="CW232">
        <v>0</v>
      </c>
      <c r="CX232" t="s">
        <v>198</v>
      </c>
      <c r="CY232" t="s">
        <v>198</v>
      </c>
      <c r="CZ232" t="s">
        <v>198</v>
      </c>
      <c r="DA232" t="s">
        <v>198</v>
      </c>
      <c r="DB232" t="s">
        <v>198</v>
      </c>
      <c r="DC232">
        <v>0</v>
      </c>
      <c r="DD232">
        <v>0</v>
      </c>
      <c r="DE232">
        <v>0</v>
      </c>
      <c r="DF232">
        <v>0</v>
      </c>
      <c r="DG232">
        <v>-35.3631166</v>
      </c>
      <c r="DH232">
        <v>149.1639735</v>
      </c>
      <c r="DI232" t="s">
        <v>360</v>
      </c>
      <c r="DJ232">
        <v>1.2</v>
      </c>
      <c r="DK232">
        <v>2</v>
      </c>
      <c r="DL232">
        <v>159.8</v>
      </c>
      <c r="DM232">
        <v>0</v>
      </c>
      <c r="DN232">
        <v>6</v>
      </c>
      <c r="DO232">
        <v>10</v>
      </c>
      <c r="DP232">
        <v>0</v>
      </c>
      <c r="DQ232">
        <v>255</v>
      </c>
      <c r="DR232">
        <v>255</v>
      </c>
      <c r="DS232">
        <v>255</v>
      </c>
      <c r="DT232">
        <v>255</v>
      </c>
      <c r="DU232">
        <v>255</v>
      </c>
      <c r="DV232">
        <v>255</v>
      </c>
      <c r="DW232">
        <v>255</v>
      </c>
      <c r="DX232" t="s">
        <v>206</v>
      </c>
      <c r="DY232" t="s">
        <v>206</v>
      </c>
      <c r="DZ232" t="s">
        <v>207</v>
      </c>
      <c r="EA232" t="s">
        <v>198</v>
      </c>
      <c r="EB232" t="s">
        <v>198</v>
      </c>
      <c r="EC232" t="s">
        <v>198</v>
      </c>
      <c r="ED232">
        <v>0</v>
      </c>
      <c r="EE232">
        <v>0</v>
      </c>
      <c r="EF232">
        <v>0</v>
      </c>
      <c r="EG232">
        <v>0</v>
      </c>
      <c r="EH232">
        <v>255</v>
      </c>
      <c r="EI232">
        <v>255</v>
      </c>
      <c r="EJ232">
        <v>255</v>
      </c>
      <c r="EK232">
        <v>255</v>
      </c>
      <c r="EL232">
        <v>255</v>
      </c>
      <c r="EM232">
        <v>255</v>
      </c>
      <c r="EN232">
        <v>255</v>
      </c>
      <c r="EO232">
        <v>255</v>
      </c>
      <c r="EP232">
        <v>255</v>
      </c>
      <c r="EQ232">
        <v>255</v>
      </c>
      <c r="ER232" t="s">
        <v>208</v>
      </c>
      <c r="ES232" t="s">
        <v>209</v>
      </c>
      <c r="ET232" t="s">
        <v>209</v>
      </c>
      <c r="EU232">
        <v>0</v>
      </c>
      <c r="EV232">
        <v>16.2</v>
      </c>
      <c r="EW232">
        <v>-114.7</v>
      </c>
      <c r="EX232">
        <v>-0.2</v>
      </c>
      <c r="EY232">
        <v>0</v>
      </c>
      <c r="EZ232">
        <v>0</v>
      </c>
      <c r="FA232">
        <v>0</v>
      </c>
      <c r="FB232" t="s">
        <v>198</v>
      </c>
      <c r="FC232" t="s">
        <v>198</v>
      </c>
      <c r="FD232" t="s">
        <v>198</v>
      </c>
      <c r="FE232" t="s">
        <v>198</v>
      </c>
      <c r="FF232" t="s">
        <v>198</v>
      </c>
      <c r="FG232" t="s">
        <v>198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 t="s">
        <v>203</v>
      </c>
      <c r="FP232" t="s">
        <v>203</v>
      </c>
      <c r="FQ232" t="s">
        <v>203</v>
      </c>
      <c r="FR232" t="s">
        <v>203</v>
      </c>
      <c r="FS232" t="s">
        <v>203</v>
      </c>
      <c r="FT232" t="s">
        <v>203</v>
      </c>
      <c r="FU232" t="s">
        <v>198</v>
      </c>
      <c r="FV232" t="s">
        <v>198</v>
      </c>
      <c r="FW232" t="s">
        <v>198</v>
      </c>
      <c r="FX232" t="s">
        <v>198</v>
      </c>
      <c r="FY232" t="s">
        <v>198</v>
      </c>
      <c r="FZ232" t="s">
        <v>198</v>
      </c>
      <c r="GA232">
        <v>31.2</v>
      </c>
      <c r="GB232">
        <v>31.2</v>
      </c>
      <c r="GC232" t="s">
        <v>203</v>
      </c>
      <c r="GD232">
        <v>0</v>
      </c>
      <c r="GE232">
        <v>504</v>
      </c>
      <c r="GF232">
        <v>0</v>
      </c>
      <c r="GG232">
        <v>0</v>
      </c>
      <c r="GH232">
        <v>0</v>
      </c>
      <c r="GI232">
        <v>1</v>
      </c>
      <c r="GJ232">
        <v>1</v>
      </c>
      <c r="GK232">
        <v>0</v>
      </c>
      <c r="GL232" t="s">
        <v>198</v>
      </c>
      <c r="GM232" t="s">
        <v>198</v>
      </c>
      <c r="GN232" t="s">
        <v>198</v>
      </c>
    </row>
    <row r="233" spans="1:196">
      <c r="A233" s="19">
        <v>46316.90657803241</v>
      </c>
      <c r="B233">
        <v>0</v>
      </c>
      <c r="C233">
        <v>0</v>
      </c>
      <c r="D233">
        <v>277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584.2</v>
      </c>
      <c r="N233">
        <v>-0.5</v>
      </c>
      <c r="O233">
        <v>0</v>
      </c>
      <c r="P233">
        <v>0</v>
      </c>
      <c r="Q233">
        <v>0</v>
      </c>
      <c r="R233">
        <v>0</v>
      </c>
      <c r="S233">
        <v>115.6</v>
      </c>
      <c r="T233" t="s">
        <v>485</v>
      </c>
      <c r="U233">
        <v>115.7</v>
      </c>
      <c r="V233">
        <v>1762727256586.8</v>
      </c>
      <c r="W233">
        <v>1</v>
      </c>
      <c r="X233" t="s">
        <v>197</v>
      </c>
      <c r="Y233">
        <v>0</v>
      </c>
      <c r="Z233">
        <v>98</v>
      </c>
      <c r="AA233">
        <v>278</v>
      </c>
      <c r="AB233" t="s">
        <v>197</v>
      </c>
      <c r="AC233" t="s">
        <v>198</v>
      </c>
      <c r="AD233" t="s">
        <v>199</v>
      </c>
      <c r="AE233">
        <v>0</v>
      </c>
      <c r="AF233">
        <v>44</v>
      </c>
      <c r="AG233">
        <v>255</v>
      </c>
      <c r="AH233">
        <v>0</v>
      </c>
      <c r="AI233">
        <v>0</v>
      </c>
      <c r="AJ233">
        <v>0</v>
      </c>
      <c r="AK233">
        <v>12.6</v>
      </c>
      <c r="AL233">
        <v>0</v>
      </c>
      <c r="AM233">
        <v>0</v>
      </c>
      <c r="AN233" t="s">
        <v>197</v>
      </c>
      <c r="AO233">
        <v>100</v>
      </c>
      <c r="AP233" t="s">
        <v>197</v>
      </c>
      <c r="AQ233" t="s">
        <v>200</v>
      </c>
      <c r="AR233">
        <v>1</v>
      </c>
      <c r="AS233">
        <v>0</v>
      </c>
      <c r="AT233" t="s">
        <v>579</v>
      </c>
      <c r="AU233" t="s">
        <v>579</v>
      </c>
      <c r="AV233" t="s">
        <v>202</v>
      </c>
      <c r="AW233" t="s">
        <v>203</v>
      </c>
      <c r="AX233" t="s">
        <v>203</v>
      </c>
      <c r="AY233" t="s">
        <v>203</v>
      </c>
      <c r="AZ233" t="s">
        <v>203</v>
      </c>
      <c r="BA233" t="s">
        <v>203</v>
      </c>
      <c r="BB233" t="s">
        <v>203</v>
      </c>
      <c r="BC233" t="s">
        <v>203</v>
      </c>
      <c r="BD233" t="s">
        <v>203</v>
      </c>
      <c r="BE233" t="s">
        <v>203</v>
      </c>
      <c r="BF233">
        <v>0</v>
      </c>
      <c r="BG233">
        <v>0.2</v>
      </c>
      <c r="BH233">
        <v>50</v>
      </c>
      <c r="BI233">
        <v>0</v>
      </c>
      <c r="BJ233" t="s">
        <v>198</v>
      </c>
      <c r="BK233" t="s">
        <v>198</v>
      </c>
      <c r="BL233" t="s">
        <v>198</v>
      </c>
      <c r="BM233" t="s">
        <v>198</v>
      </c>
      <c r="BN233" t="s">
        <v>198</v>
      </c>
      <c r="BO233" t="s">
        <v>198</v>
      </c>
      <c r="BP233" t="s">
        <v>198</v>
      </c>
      <c r="BQ233" t="s">
        <v>198</v>
      </c>
      <c r="BR233" t="s">
        <v>198</v>
      </c>
      <c r="BS233" t="s">
        <v>198</v>
      </c>
      <c r="BT233" t="s">
        <v>198</v>
      </c>
      <c r="BU233" t="s">
        <v>198</v>
      </c>
      <c r="BV233" t="s">
        <v>198</v>
      </c>
      <c r="BW233" t="s">
        <v>198</v>
      </c>
      <c r="BX233" t="s">
        <v>198</v>
      </c>
      <c r="BY233" t="s">
        <v>198</v>
      </c>
      <c r="BZ233" t="s">
        <v>198</v>
      </c>
      <c r="CA233" t="s">
        <v>198</v>
      </c>
      <c r="CB233" t="s">
        <v>204</v>
      </c>
      <c r="CC233" t="s">
        <v>204</v>
      </c>
      <c r="CD233" t="s">
        <v>204</v>
      </c>
      <c r="CE233" t="s">
        <v>204</v>
      </c>
      <c r="CF233" t="s">
        <v>204</v>
      </c>
      <c r="CG233" t="s">
        <v>204</v>
      </c>
      <c r="CH233" t="s">
        <v>204</v>
      </c>
      <c r="CI233" t="s">
        <v>204</v>
      </c>
      <c r="CJ233" t="s">
        <v>204</v>
      </c>
      <c r="CK233" t="s">
        <v>204</v>
      </c>
      <c r="CL233" t="s">
        <v>204</v>
      </c>
      <c r="CM233" t="s">
        <v>204</v>
      </c>
      <c r="CN233" t="s">
        <v>203</v>
      </c>
      <c r="CO233" t="s">
        <v>203</v>
      </c>
      <c r="CP233" t="s">
        <v>203</v>
      </c>
      <c r="CQ233" t="s">
        <v>203</v>
      </c>
      <c r="CR233" t="s">
        <v>203</v>
      </c>
      <c r="CS233" t="s">
        <v>203</v>
      </c>
      <c r="CT233" t="s">
        <v>203</v>
      </c>
      <c r="CU233" t="s">
        <v>203</v>
      </c>
      <c r="CV233">
        <v>0</v>
      </c>
      <c r="CW233">
        <v>0</v>
      </c>
      <c r="CX233" t="s">
        <v>198</v>
      </c>
      <c r="CY233" t="s">
        <v>198</v>
      </c>
      <c r="CZ233" t="s">
        <v>198</v>
      </c>
      <c r="DA233" t="s">
        <v>198</v>
      </c>
      <c r="DB233" t="s">
        <v>198</v>
      </c>
      <c r="DC233">
        <v>0</v>
      </c>
      <c r="DD233">
        <v>0</v>
      </c>
      <c r="DE233">
        <v>0</v>
      </c>
      <c r="DF233">
        <v>0</v>
      </c>
      <c r="DG233">
        <v>-35.3631166</v>
      </c>
      <c r="DH233">
        <v>149.1639735</v>
      </c>
      <c r="DI233" t="s">
        <v>360</v>
      </c>
      <c r="DJ233">
        <v>1.2</v>
      </c>
      <c r="DK233">
        <v>2</v>
      </c>
      <c r="DL233">
        <v>159.8</v>
      </c>
      <c r="DM233">
        <v>0</v>
      </c>
      <c r="DN233">
        <v>6</v>
      </c>
      <c r="DO233">
        <v>10</v>
      </c>
      <c r="DP233">
        <v>0</v>
      </c>
      <c r="DQ233">
        <v>255</v>
      </c>
      <c r="DR233">
        <v>255</v>
      </c>
      <c r="DS233">
        <v>255</v>
      </c>
      <c r="DT233">
        <v>255</v>
      </c>
      <c r="DU233">
        <v>255</v>
      </c>
      <c r="DV233">
        <v>255</v>
      </c>
      <c r="DW233">
        <v>255</v>
      </c>
      <c r="DX233" t="s">
        <v>206</v>
      </c>
      <c r="DY233" t="s">
        <v>206</v>
      </c>
      <c r="DZ233" t="s">
        <v>207</v>
      </c>
      <c r="EA233" t="s">
        <v>198</v>
      </c>
      <c r="EB233" t="s">
        <v>198</v>
      </c>
      <c r="EC233" t="s">
        <v>198</v>
      </c>
      <c r="ED233">
        <v>0</v>
      </c>
      <c r="EE233">
        <v>0</v>
      </c>
      <c r="EF233">
        <v>0</v>
      </c>
      <c r="EG233">
        <v>0</v>
      </c>
      <c r="EH233">
        <v>255</v>
      </c>
      <c r="EI233">
        <v>255</v>
      </c>
      <c r="EJ233">
        <v>255</v>
      </c>
      <c r="EK233">
        <v>255</v>
      </c>
      <c r="EL233">
        <v>255</v>
      </c>
      <c r="EM233">
        <v>255</v>
      </c>
      <c r="EN233">
        <v>255</v>
      </c>
      <c r="EO233">
        <v>255</v>
      </c>
      <c r="EP233">
        <v>255</v>
      </c>
      <c r="EQ233">
        <v>255</v>
      </c>
      <c r="ER233" t="s">
        <v>208</v>
      </c>
      <c r="ES233" t="s">
        <v>209</v>
      </c>
      <c r="ET233" t="s">
        <v>209</v>
      </c>
      <c r="EU233">
        <v>0</v>
      </c>
      <c r="EV233">
        <v>16.2</v>
      </c>
      <c r="EW233">
        <v>-114.7</v>
      </c>
      <c r="EX233">
        <v>-0.2</v>
      </c>
      <c r="EY233">
        <v>0</v>
      </c>
      <c r="EZ233">
        <v>0</v>
      </c>
      <c r="FA233">
        <v>0</v>
      </c>
      <c r="FB233" t="s">
        <v>198</v>
      </c>
      <c r="FC233" t="s">
        <v>198</v>
      </c>
      <c r="FD233" t="s">
        <v>198</v>
      </c>
      <c r="FE233" t="s">
        <v>198</v>
      </c>
      <c r="FF233" t="s">
        <v>198</v>
      </c>
      <c r="FG233" t="s">
        <v>198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203</v>
      </c>
      <c r="FP233" t="s">
        <v>203</v>
      </c>
      <c r="FQ233" t="s">
        <v>203</v>
      </c>
      <c r="FR233" t="s">
        <v>203</v>
      </c>
      <c r="FS233" t="s">
        <v>203</v>
      </c>
      <c r="FT233" t="s">
        <v>203</v>
      </c>
      <c r="FU233" t="s">
        <v>198</v>
      </c>
      <c r="FV233" t="s">
        <v>198</v>
      </c>
      <c r="FW233" t="s">
        <v>198</v>
      </c>
      <c r="FX233" t="s">
        <v>198</v>
      </c>
      <c r="FY233" t="s">
        <v>198</v>
      </c>
      <c r="FZ233" t="s">
        <v>198</v>
      </c>
      <c r="GA233">
        <v>31.2</v>
      </c>
      <c r="GB233">
        <v>31.2</v>
      </c>
      <c r="GC233" t="s">
        <v>203</v>
      </c>
      <c r="GD233">
        <v>0</v>
      </c>
      <c r="GE233">
        <v>504</v>
      </c>
      <c r="GF233">
        <v>0</v>
      </c>
      <c r="GG233">
        <v>0</v>
      </c>
      <c r="GH233">
        <v>0</v>
      </c>
      <c r="GI233">
        <v>1</v>
      </c>
      <c r="GJ233">
        <v>1</v>
      </c>
      <c r="GK233">
        <v>0</v>
      </c>
      <c r="GL233" t="s">
        <v>198</v>
      </c>
      <c r="GM233" t="s">
        <v>198</v>
      </c>
      <c r="GN233" t="s">
        <v>198</v>
      </c>
    </row>
    <row r="234" spans="1:196">
      <c r="A234" s="19">
        <v>46316.90658961805</v>
      </c>
      <c r="B234">
        <v>0</v>
      </c>
      <c r="C234">
        <v>0</v>
      </c>
      <c r="D234">
        <v>277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584.2</v>
      </c>
      <c r="N234">
        <v>-0.5</v>
      </c>
      <c r="O234">
        <v>0</v>
      </c>
      <c r="P234">
        <v>0</v>
      </c>
      <c r="Q234">
        <v>0</v>
      </c>
      <c r="R234">
        <v>0</v>
      </c>
      <c r="S234">
        <v>115.6</v>
      </c>
      <c r="T234" t="s">
        <v>485</v>
      </c>
      <c r="U234">
        <v>115.7</v>
      </c>
      <c r="V234">
        <v>1762727256586.8</v>
      </c>
      <c r="W234">
        <v>1</v>
      </c>
      <c r="X234" t="s">
        <v>197</v>
      </c>
      <c r="Y234">
        <v>0</v>
      </c>
      <c r="Z234">
        <v>98</v>
      </c>
      <c r="AA234">
        <v>278</v>
      </c>
      <c r="AB234" t="s">
        <v>197</v>
      </c>
      <c r="AC234" t="s">
        <v>198</v>
      </c>
      <c r="AD234" t="s">
        <v>199</v>
      </c>
      <c r="AE234">
        <v>0</v>
      </c>
      <c r="AF234">
        <v>44</v>
      </c>
      <c r="AG234">
        <v>255</v>
      </c>
      <c r="AH234">
        <v>0</v>
      </c>
      <c r="AI234">
        <v>0</v>
      </c>
      <c r="AJ234">
        <v>0</v>
      </c>
      <c r="AK234">
        <v>12.6</v>
      </c>
      <c r="AL234">
        <v>0</v>
      </c>
      <c r="AM234">
        <v>0</v>
      </c>
      <c r="AN234" t="s">
        <v>197</v>
      </c>
      <c r="AO234">
        <v>100</v>
      </c>
      <c r="AP234" t="s">
        <v>197</v>
      </c>
      <c r="AQ234" t="s">
        <v>200</v>
      </c>
      <c r="AR234">
        <v>1</v>
      </c>
      <c r="AS234">
        <v>0</v>
      </c>
      <c r="AT234" t="s">
        <v>580</v>
      </c>
      <c r="AU234" t="s">
        <v>580</v>
      </c>
      <c r="AV234" t="s">
        <v>202</v>
      </c>
      <c r="AW234" t="s">
        <v>203</v>
      </c>
      <c r="AX234" t="s">
        <v>203</v>
      </c>
      <c r="AY234" t="s">
        <v>203</v>
      </c>
      <c r="AZ234" t="s">
        <v>203</v>
      </c>
      <c r="BA234" t="s">
        <v>203</v>
      </c>
      <c r="BB234" t="s">
        <v>203</v>
      </c>
      <c r="BC234" t="s">
        <v>203</v>
      </c>
      <c r="BD234" t="s">
        <v>203</v>
      </c>
      <c r="BE234" t="s">
        <v>203</v>
      </c>
      <c r="BF234">
        <v>0</v>
      </c>
      <c r="BG234">
        <v>0.2</v>
      </c>
      <c r="BH234">
        <v>50</v>
      </c>
      <c r="BI234">
        <v>0</v>
      </c>
      <c r="BJ234" t="s">
        <v>198</v>
      </c>
      <c r="BK234" t="s">
        <v>198</v>
      </c>
      <c r="BL234" t="s">
        <v>198</v>
      </c>
      <c r="BM234" t="s">
        <v>198</v>
      </c>
      <c r="BN234" t="s">
        <v>198</v>
      </c>
      <c r="BO234" t="s">
        <v>198</v>
      </c>
      <c r="BP234" t="s">
        <v>198</v>
      </c>
      <c r="BQ234" t="s">
        <v>198</v>
      </c>
      <c r="BR234" t="s">
        <v>198</v>
      </c>
      <c r="BS234" t="s">
        <v>198</v>
      </c>
      <c r="BT234" t="s">
        <v>198</v>
      </c>
      <c r="BU234" t="s">
        <v>198</v>
      </c>
      <c r="BV234" t="s">
        <v>198</v>
      </c>
      <c r="BW234" t="s">
        <v>198</v>
      </c>
      <c r="BX234" t="s">
        <v>198</v>
      </c>
      <c r="BY234" t="s">
        <v>198</v>
      </c>
      <c r="BZ234" t="s">
        <v>198</v>
      </c>
      <c r="CA234" t="s">
        <v>198</v>
      </c>
      <c r="CB234" t="s">
        <v>204</v>
      </c>
      <c r="CC234" t="s">
        <v>204</v>
      </c>
      <c r="CD234" t="s">
        <v>204</v>
      </c>
      <c r="CE234" t="s">
        <v>204</v>
      </c>
      <c r="CF234" t="s">
        <v>204</v>
      </c>
      <c r="CG234" t="s">
        <v>204</v>
      </c>
      <c r="CH234" t="s">
        <v>204</v>
      </c>
      <c r="CI234" t="s">
        <v>204</v>
      </c>
      <c r="CJ234" t="s">
        <v>204</v>
      </c>
      <c r="CK234" t="s">
        <v>204</v>
      </c>
      <c r="CL234" t="s">
        <v>204</v>
      </c>
      <c r="CM234" t="s">
        <v>204</v>
      </c>
      <c r="CN234" t="s">
        <v>203</v>
      </c>
      <c r="CO234" t="s">
        <v>203</v>
      </c>
      <c r="CP234" t="s">
        <v>203</v>
      </c>
      <c r="CQ234" t="s">
        <v>203</v>
      </c>
      <c r="CR234" t="s">
        <v>203</v>
      </c>
      <c r="CS234" t="s">
        <v>203</v>
      </c>
      <c r="CT234" t="s">
        <v>203</v>
      </c>
      <c r="CU234" t="s">
        <v>203</v>
      </c>
      <c r="CV234">
        <v>0</v>
      </c>
      <c r="CW234">
        <v>0</v>
      </c>
      <c r="CX234" t="s">
        <v>198</v>
      </c>
      <c r="CY234" t="s">
        <v>198</v>
      </c>
      <c r="CZ234" t="s">
        <v>198</v>
      </c>
      <c r="DA234" t="s">
        <v>198</v>
      </c>
      <c r="DB234" t="s">
        <v>198</v>
      </c>
      <c r="DC234">
        <v>0</v>
      </c>
      <c r="DD234">
        <v>0</v>
      </c>
      <c r="DE234">
        <v>0</v>
      </c>
      <c r="DF234">
        <v>0</v>
      </c>
      <c r="DG234">
        <v>-35.3631166</v>
      </c>
      <c r="DH234">
        <v>149.1639735</v>
      </c>
      <c r="DI234" t="s">
        <v>360</v>
      </c>
      <c r="DJ234">
        <v>1.2</v>
      </c>
      <c r="DK234">
        <v>2</v>
      </c>
      <c r="DL234">
        <v>159.8</v>
      </c>
      <c r="DM234">
        <v>0</v>
      </c>
      <c r="DN234">
        <v>6</v>
      </c>
      <c r="DO234">
        <v>10</v>
      </c>
      <c r="DP234">
        <v>0</v>
      </c>
      <c r="DQ234">
        <v>255</v>
      </c>
      <c r="DR234">
        <v>255</v>
      </c>
      <c r="DS234">
        <v>255</v>
      </c>
      <c r="DT234">
        <v>255</v>
      </c>
      <c r="DU234">
        <v>255</v>
      </c>
      <c r="DV234">
        <v>255</v>
      </c>
      <c r="DW234">
        <v>255</v>
      </c>
      <c r="DX234" t="s">
        <v>206</v>
      </c>
      <c r="DY234" t="s">
        <v>206</v>
      </c>
      <c r="DZ234" t="s">
        <v>207</v>
      </c>
      <c r="EA234" t="s">
        <v>198</v>
      </c>
      <c r="EB234" t="s">
        <v>198</v>
      </c>
      <c r="EC234" t="s">
        <v>198</v>
      </c>
      <c r="ED234">
        <v>0</v>
      </c>
      <c r="EE234">
        <v>0</v>
      </c>
      <c r="EF234">
        <v>0</v>
      </c>
      <c r="EG234">
        <v>0</v>
      </c>
      <c r="EH234">
        <v>255</v>
      </c>
      <c r="EI234">
        <v>255</v>
      </c>
      <c r="EJ234">
        <v>255</v>
      </c>
      <c r="EK234">
        <v>255</v>
      </c>
      <c r="EL234">
        <v>255</v>
      </c>
      <c r="EM234">
        <v>255</v>
      </c>
      <c r="EN234">
        <v>255</v>
      </c>
      <c r="EO234">
        <v>255</v>
      </c>
      <c r="EP234">
        <v>255</v>
      </c>
      <c r="EQ234">
        <v>255</v>
      </c>
      <c r="ER234" t="s">
        <v>208</v>
      </c>
      <c r="ES234" t="s">
        <v>209</v>
      </c>
      <c r="ET234" t="s">
        <v>209</v>
      </c>
      <c r="EU234">
        <v>0</v>
      </c>
      <c r="EV234">
        <v>16.2</v>
      </c>
      <c r="EW234">
        <v>-114.7</v>
      </c>
      <c r="EX234">
        <v>-0.2</v>
      </c>
      <c r="EY234">
        <v>0</v>
      </c>
      <c r="EZ234">
        <v>0</v>
      </c>
      <c r="FA234">
        <v>0</v>
      </c>
      <c r="FB234" t="s">
        <v>198</v>
      </c>
      <c r="FC234" t="s">
        <v>198</v>
      </c>
      <c r="FD234" t="s">
        <v>198</v>
      </c>
      <c r="FE234" t="s">
        <v>198</v>
      </c>
      <c r="FF234" t="s">
        <v>198</v>
      </c>
      <c r="FG234" t="s">
        <v>198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 t="s">
        <v>203</v>
      </c>
      <c r="FP234" t="s">
        <v>203</v>
      </c>
      <c r="FQ234" t="s">
        <v>203</v>
      </c>
      <c r="FR234" t="s">
        <v>203</v>
      </c>
      <c r="FS234" t="s">
        <v>203</v>
      </c>
      <c r="FT234" t="s">
        <v>203</v>
      </c>
      <c r="FU234" t="s">
        <v>198</v>
      </c>
      <c r="FV234" t="s">
        <v>198</v>
      </c>
      <c r="FW234" t="s">
        <v>198</v>
      </c>
      <c r="FX234" t="s">
        <v>198</v>
      </c>
      <c r="FY234" t="s">
        <v>198</v>
      </c>
      <c r="FZ234" t="s">
        <v>198</v>
      </c>
      <c r="GA234">
        <v>31.2</v>
      </c>
      <c r="GB234">
        <v>31.2</v>
      </c>
      <c r="GC234" t="s">
        <v>203</v>
      </c>
      <c r="GD234">
        <v>0</v>
      </c>
      <c r="GE234">
        <v>504</v>
      </c>
      <c r="GF234">
        <v>0</v>
      </c>
      <c r="GG234">
        <v>0</v>
      </c>
      <c r="GH234">
        <v>0</v>
      </c>
      <c r="GI234">
        <v>1</v>
      </c>
      <c r="GJ234">
        <v>1</v>
      </c>
      <c r="GK234">
        <v>0</v>
      </c>
      <c r="GL234" t="s">
        <v>198</v>
      </c>
      <c r="GM234" t="s">
        <v>198</v>
      </c>
      <c r="GN234" t="s">
        <v>198</v>
      </c>
    </row>
    <row r="235" spans="1:196">
      <c r="A235" s="19">
        <v>46316.90660119213</v>
      </c>
      <c r="B235">
        <v>0</v>
      </c>
      <c r="C235">
        <v>0</v>
      </c>
      <c r="D235">
        <v>277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584.2</v>
      </c>
      <c r="N235">
        <v>-0.5</v>
      </c>
      <c r="O235">
        <v>0</v>
      </c>
      <c r="P235">
        <v>0</v>
      </c>
      <c r="Q235">
        <v>0</v>
      </c>
      <c r="R235">
        <v>0</v>
      </c>
      <c r="S235">
        <v>115.6</v>
      </c>
      <c r="T235" t="s">
        <v>485</v>
      </c>
      <c r="U235">
        <v>115.7</v>
      </c>
      <c r="V235">
        <v>1762727256586.8</v>
      </c>
      <c r="W235">
        <v>1</v>
      </c>
      <c r="X235" t="s">
        <v>197</v>
      </c>
      <c r="Y235">
        <v>0</v>
      </c>
      <c r="Z235">
        <v>98</v>
      </c>
      <c r="AA235">
        <v>278</v>
      </c>
      <c r="AB235" t="s">
        <v>197</v>
      </c>
      <c r="AC235" t="s">
        <v>198</v>
      </c>
      <c r="AD235" t="s">
        <v>199</v>
      </c>
      <c r="AE235">
        <v>0</v>
      </c>
      <c r="AF235">
        <v>44</v>
      </c>
      <c r="AG235">
        <v>255</v>
      </c>
      <c r="AH235">
        <v>0</v>
      </c>
      <c r="AI235">
        <v>0</v>
      </c>
      <c r="AJ235">
        <v>0</v>
      </c>
      <c r="AK235">
        <v>12.6</v>
      </c>
      <c r="AL235">
        <v>0</v>
      </c>
      <c r="AM235">
        <v>0</v>
      </c>
      <c r="AN235" t="s">
        <v>197</v>
      </c>
      <c r="AO235">
        <v>100</v>
      </c>
      <c r="AP235" t="s">
        <v>197</v>
      </c>
      <c r="AQ235" t="s">
        <v>200</v>
      </c>
      <c r="AR235">
        <v>1</v>
      </c>
      <c r="AS235">
        <v>0</v>
      </c>
      <c r="AT235" t="s">
        <v>581</v>
      </c>
      <c r="AU235" t="s">
        <v>581</v>
      </c>
      <c r="AV235" t="s">
        <v>202</v>
      </c>
      <c r="AW235" t="s">
        <v>203</v>
      </c>
      <c r="AX235" t="s">
        <v>203</v>
      </c>
      <c r="AY235" t="s">
        <v>203</v>
      </c>
      <c r="AZ235" t="s">
        <v>203</v>
      </c>
      <c r="BA235" t="s">
        <v>203</v>
      </c>
      <c r="BB235" t="s">
        <v>203</v>
      </c>
      <c r="BC235" t="s">
        <v>203</v>
      </c>
      <c r="BD235" t="s">
        <v>203</v>
      </c>
      <c r="BE235" t="s">
        <v>203</v>
      </c>
      <c r="BF235">
        <v>0</v>
      </c>
      <c r="BG235">
        <v>0.2</v>
      </c>
      <c r="BH235">
        <v>50</v>
      </c>
      <c r="BI235">
        <v>0</v>
      </c>
      <c r="BJ235" t="s">
        <v>198</v>
      </c>
      <c r="BK235" t="s">
        <v>198</v>
      </c>
      <c r="BL235" t="s">
        <v>198</v>
      </c>
      <c r="BM235" t="s">
        <v>198</v>
      </c>
      <c r="BN235" t="s">
        <v>198</v>
      </c>
      <c r="BO235" t="s">
        <v>198</v>
      </c>
      <c r="BP235" t="s">
        <v>198</v>
      </c>
      <c r="BQ235" t="s">
        <v>198</v>
      </c>
      <c r="BR235" t="s">
        <v>198</v>
      </c>
      <c r="BS235" t="s">
        <v>198</v>
      </c>
      <c r="BT235" t="s">
        <v>198</v>
      </c>
      <c r="BU235" t="s">
        <v>198</v>
      </c>
      <c r="BV235" t="s">
        <v>198</v>
      </c>
      <c r="BW235" t="s">
        <v>198</v>
      </c>
      <c r="BX235" t="s">
        <v>198</v>
      </c>
      <c r="BY235" t="s">
        <v>198</v>
      </c>
      <c r="BZ235" t="s">
        <v>198</v>
      </c>
      <c r="CA235" t="s">
        <v>198</v>
      </c>
      <c r="CB235" t="s">
        <v>204</v>
      </c>
      <c r="CC235" t="s">
        <v>204</v>
      </c>
      <c r="CD235" t="s">
        <v>204</v>
      </c>
      <c r="CE235" t="s">
        <v>204</v>
      </c>
      <c r="CF235" t="s">
        <v>204</v>
      </c>
      <c r="CG235" t="s">
        <v>204</v>
      </c>
      <c r="CH235" t="s">
        <v>204</v>
      </c>
      <c r="CI235" t="s">
        <v>204</v>
      </c>
      <c r="CJ235" t="s">
        <v>204</v>
      </c>
      <c r="CK235" t="s">
        <v>204</v>
      </c>
      <c r="CL235" t="s">
        <v>204</v>
      </c>
      <c r="CM235" t="s">
        <v>204</v>
      </c>
      <c r="CN235" t="s">
        <v>203</v>
      </c>
      <c r="CO235" t="s">
        <v>203</v>
      </c>
      <c r="CP235" t="s">
        <v>203</v>
      </c>
      <c r="CQ235" t="s">
        <v>203</v>
      </c>
      <c r="CR235" t="s">
        <v>203</v>
      </c>
      <c r="CS235" t="s">
        <v>203</v>
      </c>
      <c r="CT235" t="s">
        <v>203</v>
      </c>
      <c r="CU235" t="s">
        <v>203</v>
      </c>
      <c r="CV235">
        <v>0</v>
      </c>
      <c r="CW235">
        <v>0</v>
      </c>
      <c r="CX235" t="s">
        <v>198</v>
      </c>
      <c r="CY235" t="s">
        <v>198</v>
      </c>
      <c r="CZ235" t="s">
        <v>198</v>
      </c>
      <c r="DA235" t="s">
        <v>198</v>
      </c>
      <c r="DB235" t="s">
        <v>198</v>
      </c>
      <c r="DC235">
        <v>0</v>
      </c>
      <c r="DD235">
        <v>0</v>
      </c>
      <c r="DE235">
        <v>0</v>
      </c>
      <c r="DF235">
        <v>0</v>
      </c>
      <c r="DG235">
        <v>-35.3631166</v>
      </c>
      <c r="DH235">
        <v>149.1639735</v>
      </c>
      <c r="DI235" t="s">
        <v>360</v>
      </c>
      <c r="DJ235">
        <v>1.2</v>
      </c>
      <c r="DK235">
        <v>2</v>
      </c>
      <c r="DL235">
        <v>159.8</v>
      </c>
      <c r="DM235">
        <v>0</v>
      </c>
      <c r="DN235">
        <v>6</v>
      </c>
      <c r="DO235">
        <v>10</v>
      </c>
      <c r="DP235">
        <v>0</v>
      </c>
      <c r="DQ235">
        <v>255</v>
      </c>
      <c r="DR235">
        <v>255</v>
      </c>
      <c r="DS235">
        <v>255</v>
      </c>
      <c r="DT235">
        <v>255</v>
      </c>
      <c r="DU235">
        <v>255</v>
      </c>
      <c r="DV235">
        <v>255</v>
      </c>
      <c r="DW235">
        <v>255</v>
      </c>
      <c r="DX235" t="s">
        <v>206</v>
      </c>
      <c r="DY235" t="s">
        <v>206</v>
      </c>
      <c r="DZ235" t="s">
        <v>207</v>
      </c>
      <c r="EA235" t="s">
        <v>198</v>
      </c>
      <c r="EB235" t="s">
        <v>198</v>
      </c>
      <c r="EC235" t="s">
        <v>198</v>
      </c>
      <c r="ED235">
        <v>0</v>
      </c>
      <c r="EE235">
        <v>0</v>
      </c>
      <c r="EF235">
        <v>0</v>
      </c>
      <c r="EG235">
        <v>0</v>
      </c>
      <c r="EH235">
        <v>255</v>
      </c>
      <c r="EI235">
        <v>255</v>
      </c>
      <c r="EJ235">
        <v>255</v>
      </c>
      <c r="EK235">
        <v>255</v>
      </c>
      <c r="EL235">
        <v>255</v>
      </c>
      <c r="EM235">
        <v>255</v>
      </c>
      <c r="EN235">
        <v>255</v>
      </c>
      <c r="EO235">
        <v>255</v>
      </c>
      <c r="EP235">
        <v>255</v>
      </c>
      <c r="EQ235">
        <v>255</v>
      </c>
      <c r="ER235" t="s">
        <v>208</v>
      </c>
      <c r="ES235" t="s">
        <v>209</v>
      </c>
      <c r="ET235" t="s">
        <v>209</v>
      </c>
      <c r="EU235">
        <v>0</v>
      </c>
      <c r="EV235">
        <v>16.2</v>
      </c>
      <c r="EW235">
        <v>-114.7</v>
      </c>
      <c r="EX235">
        <v>-0.2</v>
      </c>
      <c r="EY235">
        <v>0</v>
      </c>
      <c r="EZ235">
        <v>0</v>
      </c>
      <c r="FA235">
        <v>0</v>
      </c>
      <c r="FB235" t="s">
        <v>198</v>
      </c>
      <c r="FC235" t="s">
        <v>198</v>
      </c>
      <c r="FD235" t="s">
        <v>198</v>
      </c>
      <c r="FE235" t="s">
        <v>198</v>
      </c>
      <c r="FF235" t="s">
        <v>198</v>
      </c>
      <c r="FG235" t="s">
        <v>198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 t="s">
        <v>203</v>
      </c>
      <c r="FP235" t="s">
        <v>203</v>
      </c>
      <c r="FQ235" t="s">
        <v>203</v>
      </c>
      <c r="FR235" t="s">
        <v>203</v>
      </c>
      <c r="FS235" t="s">
        <v>203</v>
      </c>
      <c r="FT235" t="s">
        <v>203</v>
      </c>
      <c r="FU235" t="s">
        <v>198</v>
      </c>
      <c r="FV235" t="s">
        <v>198</v>
      </c>
      <c r="FW235" t="s">
        <v>198</v>
      </c>
      <c r="FX235" t="s">
        <v>198</v>
      </c>
      <c r="FY235" t="s">
        <v>198</v>
      </c>
      <c r="FZ235" t="s">
        <v>198</v>
      </c>
      <c r="GA235">
        <v>31.2</v>
      </c>
      <c r="GB235">
        <v>31.2</v>
      </c>
      <c r="GC235" t="s">
        <v>203</v>
      </c>
      <c r="GD235">
        <v>0</v>
      </c>
      <c r="GE235">
        <v>504</v>
      </c>
      <c r="GF235">
        <v>0</v>
      </c>
      <c r="GG235">
        <v>0</v>
      </c>
      <c r="GH235">
        <v>0</v>
      </c>
      <c r="GI235">
        <v>1</v>
      </c>
      <c r="GJ235">
        <v>1</v>
      </c>
      <c r="GK235">
        <v>0</v>
      </c>
      <c r="GL235" t="s">
        <v>198</v>
      </c>
      <c r="GM235" t="s">
        <v>198</v>
      </c>
      <c r="GN235" t="s">
        <v>198</v>
      </c>
    </row>
    <row r="236" spans="1:196">
      <c r="A236" s="19">
        <v>46316.9066127662</v>
      </c>
      <c r="B236">
        <v>0</v>
      </c>
      <c r="C236">
        <v>0</v>
      </c>
      <c r="D236">
        <v>277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584.2</v>
      </c>
      <c r="N236">
        <v>-0.5</v>
      </c>
      <c r="O236">
        <v>0</v>
      </c>
      <c r="P236">
        <v>0</v>
      </c>
      <c r="Q236">
        <v>0</v>
      </c>
      <c r="R236">
        <v>0</v>
      </c>
      <c r="S236">
        <v>115.6</v>
      </c>
      <c r="T236" t="s">
        <v>485</v>
      </c>
      <c r="U236">
        <v>115.7</v>
      </c>
      <c r="V236">
        <v>1762727256586.8</v>
      </c>
      <c r="W236">
        <v>1</v>
      </c>
      <c r="X236" t="s">
        <v>197</v>
      </c>
      <c r="Y236">
        <v>0</v>
      </c>
      <c r="Z236">
        <v>98</v>
      </c>
      <c r="AA236">
        <v>278</v>
      </c>
      <c r="AB236" t="s">
        <v>197</v>
      </c>
      <c r="AC236" t="s">
        <v>198</v>
      </c>
      <c r="AD236" t="s">
        <v>199</v>
      </c>
      <c r="AE236">
        <v>0</v>
      </c>
      <c r="AF236">
        <v>44</v>
      </c>
      <c r="AG236">
        <v>255</v>
      </c>
      <c r="AH236">
        <v>0</v>
      </c>
      <c r="AI236">
        <v>0</v>
      </c>
      <c r="AJ236">
        <v>0</v>
      </c>
      <c r="AK236">
        <v>12.6</v>
      </c>
      <c r="AL236">
        <v>0</v>
      </c>
      <c r="AM236">
        <v>0</v>
      </c>
      <c r="AN236" t="s">
        <v>197</v>
      </c>
      <c r="AO236">
        <v>100</v>
      </c>
      <c r="AP236" t="s">
        <v>197</v>
      </c>
      <c r="AQ236" t="s">
        <v>200</v>
      </c>
      <c r="AR236">
        <v>1</v>
      </c>
      <c r="AS236">
        <v>0</v>
      </c>
      <c r="AT236" t="s">
        <v>582</v>
      </c>
      <c r="AU236" t="s">
        <v>582</v>
      </c>
      <c r="AV236" t="s">
        <v>202</v>
      </c>
      <c r="AW236" t="s">
        <v>203</v>
      </c>
      <c r="AX236" t="s">
        <v>203</v>
      </c>
      <c r="AY236" t="s">
        <v>203</v>
      </c>
      <c r="AZ236" t="s">
        <v>203</v>
      </c>
      <c r="BA236" t="s">
        <v>203</v>
      </c>
      <c r="BB236" t="s">
        <v>203</v>
      </c>
      <c r="BC236" t="s">
        <v>203</v>
      </c>
      <c r="BD236" t="s">
        <v>203</v>
      </c>
      <c r="BE236" t="s">
        <v>203</v>
      </c>
      <c r="BF236">
        <v>0</v>
      </c>
      <c r="BG236">
        <v>0.2</v>
      </c>
      <c r="BH236">
        <v>50</v>
      </c>
      <c r="BI236">
        <v>0</v>
      </c>
      <c r="BJ236" t="s">
        <v>198</v>
      </c>
      <c r="BK236" t="s">
        <v>198</v>
      </c>
      <c r="BL236" t="s">
        <v>198</v>
      </c>
      <c r="BM236" t="s">
        <v>198</v>
      </c>
      <c r="BN236" t="s">
        <v>198</v>
      </c>
      <c r="BO236" t="s">
        <v>198</v>
      </c>
      <c r="BP236" t="s">
        <v>198</v>
      </c>
      <c r="BQ236" t="s">
        <v>198</v>
      </c>
      <c r="BR236" t="s">
        <v>198</v>
      </c>
      <c r="BS236" t="s">
        <v>198</v>
      </c>
      <c r="BT236" t="s">
        <v>198</v>
      </c>
      <c r="BU236" t="s">
        <v>198</v>
      </c>
      <c r="BV236" t="s">
        <v>198</v>
      </c>
      <c r="BW236" t="s">
        <v>198</v>
      </c>
      <c r="BX236" t="s">
        <v>198</v>
      </c>
      <c r="BY236" t="s">
        <v>198</v>
      </c>
      <c r="BZ236" t="s">
        <v>198</v>
      </c>
      <c r="CA236" t="s">
        <v>198</v>
      </c>
      <c r="CB236" t="s">
        <v>204</v>
      </c>
      <c r="CC236" t="s">
        <v>204</v>
      </c>
      <c r="CD236" t="s">
        <v>204</v>
      </c>
      <c r="CE236" t="s">
        <v>204</v>
      </c>
      <c r="CF236" t="s">
        <v>204</v>
      </c>
      <c r="CG236" t="s">
        <v>204</v>
      </c>
      <c r="CH236" t="s">
        <v>204</v>
      </c>
      <c r="CI236" t="s">
        <v>204</v>
      </c>
      <c r="CJ236" t="s">
        <v>204</v>
      </c>
      <c r="CK236" t="s">
        <v>204</v>
      </c>
      <c r="CL236" t="s">
        <v>204</v>
      </c>
      <c r="CM236" t="s">
        <v>204</v>
      </c>
      <c r="CN236" t="s">
        <v>203</v>
      </c>
      <c r="CO236" t="s">
        <v>203</v>
      </c>
      <c r="CP236" t="s">
        <v>203</v>
      </c>
      <c r="CQ236" t="s">
        <v>203</v>
      </c>
      <c r="CR236" t="s">
        <v>203</v>
      </c>
      <c r="CS236" t="s">
        <v>203</v>
      </c>
      <c r="CT236" t="s">
        <v>203</v>
      </c>
      <c r="CU236" t="s">
        <v>203</v>
      </c>
      <c r="CV236">
        <v>0</v>
      </c>
      <c r="CW236">
        <v>0</v>
      </c>
      <c r="CX236" t="s">
        <v>198</v>
      </c>
      <c r="CY236" t="s">
        <v>198</v>
      </c>
      <c r="CZ236" t="s">
        <v>198</v>
      </c>
      <c r="DA236" t="s">
        <v>198</v>
      </c>
      <c r="DB236" t="s">
        <v>198</v>
      </c>
      <c r="DC236">
        <v>0</v>
      </c>
      <c r="DD236">
        <v>0</v>
      </c>
      <c r="DE236">
        <v>0</v>
      </c>
      <c r="DF236">
        <v>0</v>
      </c>
      <c r="DG236">
        <v>-35.3631166</v>
      </c>
      <c r="DH236">
        <v>149.1639735</v>
      </c>
      <c r="DI236" t="s">
        <v>360</v>
      </c>
      <c r="DJ236">
        <v>1.2</v>
      </c>
      <c r="DK236">
        <v>2</v>
      </c>
      <c r="DL236">
        <v>159.8</v>
      </c>
      <c r="DM236">
        <v>0</v>
      </c>
      <c r="DN236">
        <v>6</v>
      </c>
      <c r="DO236">
        <v>10</v>
      </c>
      <c r="DP236">
        <v>0</v>
      </c>
      <c r="DQ236">
        <v>255</v>
      </c>
      <c r="DR236">
        <v>255</v>
      </c>
      <c r="DS236">
        <v>255</v>
      </c>
      <c r="DT236">
        <v>255</v>
      </c>
      <c r="DU236">
        <v>255</v>
      </c>
      <c r="DV236">
        <v>255</v>
      </c>
      <c r="DW236">
        <v>255</v>
      </c>
      <c r="DX236" t="s">
        <v>206</v>
      </c>
      <c r="DY236" t="s">
        <v>206</v>
      </c>
      <c r="DZ236" t="s">
        <v>207</v>
      </c>
      <c r="EA236" t="s">
        <v>198</v>
      </c>
      <c r="EB236" t="s">
        <v>198</v>
      </c>
      <c r="EC236" t="s">
        <v>198</v>
      </c>
      <c r="ED236">
        <v>0</v>
      </c>
      <c r="EE236">
        <v>0</v>
      </c>
      <c r="EF236">
        <v>0</v>
      </c>
      <c r="EG236">
        <v>0</v>
      </c>
      <c r="EH236">
        <v>255</v>
      </c>
      <c r="EI236">
        <v>255</v>
      </c>
      <c r="EJ236">
        <v>255</v>
      </c>
      <c r="EK236">
        <v>255</v>
      </c>
      <c r="EL236">
        <v>255</v>
      </c>
      <c r="EM236">
        <v>255</v>
      </c>
      <c r="EN236">
        <v>255</v>
      </c>
      <c r="EO236">
        <v>255</v>
      </c>
      <c r="EP236">
        <v>255</v>
      </c>
      <c r="EQ236">
        <v>255</v>
      </c>
      <c r="ER236" t="s">
        <v>208</v>
      </c>
      <c r="ES236" t="s">
        <v>209</v>
      </c>
      <c r="ET236" t="s">
        <v>209</v>
      </c>
      <c r="EU236">
        <v>0</v>
      </c>
      <c r="EV236">
        <v>16.2</v>
      </c>
      <c r="EW236">
        <v>-114.7</v>
      </c>
      <c r="EX236">
        <v>-0.2</v>
      </c>
      <c r="EY236">
        <v>0</v>
      </c>
      <c r="EZ236">
        <v>0</v>
      </c>
      <c r="FA236">
        <v>0</v>
      </c>
      <c r="FB236" t="s">
        <v>198</v>
      </c>
      <c r="FC236" t="s">
        <v>198</v>
      </c>
      <c r="FD236" t="s">
        <v>198</v>
      </c>
      <c r="FE236" t="s">
        <v>198</v>
      </c>
      <c r="FF236" t="s">
        <v>198</v>
      </c>
      <c r="FG236" t="s">
        <v>198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 t="s">
        <v>203</v>
      </c>
      <c r="FP236" t="s">
        <v>203</v>
      </c>
      <c r="FQ236" t="s">
        <v>203</v>
      </c>
      <c r="FR236" t="s">
        <v>203</v>
      </c>
      <c r="FS236" t="s">
        <v>203</v>
      </c>
      <c r="FT236" t="s">
        <v>203</v>
      </c>
      <c r="FU236" t="s">
        <v>198</v>
      </c>
      <c r="FV236" t="s">
        <v>198</v>
      </c>
      <c r="FW236" t="s">
        <v>198</v>
      </c>
      <c r="FX236" t="s">
        <v>198</v>
      </c>
      <c r="FY236" t="s">
        <v>198</v>
      </c>
      <c r="FZ236" t="s">
        <v>198</v>
      </c>
      <c r="GA236">
        <v>31.2</v>
      </c>
      <c r="GB236">
        <v>31.2</v>
      </c>
      <c r="GC236" t="s">
        <v>203</v>
      </c>
      <c r="GD236">
        <v>0</v>
      </c>
      <c r="GE236">
        <v>504</v>
      </c>
      <c r="GF236">
        <v>0</v>
      </c>
      <c r="GG236">
        <v>0</v>
      </c>
      <c r="GH236">
        <v>0</v>
      </c>
      <c r="GI236">
        <v>1</v>
      </c>
      <c r="GJ236">
        <v>1</v>
      </c>
      <c r="GK236">
        <v>0</v>
      </c>
      <c r="GL236" t="s">
        <v>198</v>
      </c>
      <c r="GM236" t="s">
        <v>198</v>
      </c>
      <c r="GN236" t="s">
        <v>198</v>
      </c>
    </row>
    <row r="237" spans="1:196">
      <c r="A237" s="19">
        <v>46316.90662434028</v>
      </c>
      <c r="B237">
        <v>0</v>
      </c>
      <c r="C237">
        <v>0</v>
      </c>
      <c r="D237">
        <v>277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584.2</v>
      </c>
      <c r="N237">
        <v>-0.5</v>
      </c>
      <c r="O237">
        <v>0</v>
      </c>
      <c r="P237">
        <v>0</v>
      </c>
      <c r="Q237">
        <v>0</v>
      </c>
      <c r="R237">
        <v>0</v>
      </c>
      <c r="S237">
        <v>115.6</v>
      </c>
      <c r="T237" t="s">
        <v>485</v>
      </c>
      <c r="U237">
        <v>115.7</v>
      </c>
      <c r="V237">
        <v>1762727256586.8</v>
      </c>
      <c r="W237">
        <v>1</v>
      </c>
      <c r="X237" t="s">
        <v>197</v>
      </c>
      <c r="Y237">
        <v>0</v>
      </c>
      <c r="Z237">
        <v>98</v>
      </c>
      <c r="AA237">
        <v>278</v>
      </c>
      <c r="AB237" t="s">
        <v>197</v>
      </c>
      <c r="AC237" t="s">
        <v>198</v>
      </c>
      <c r="AD237" t="s">
        <v>199</v>
      </c>
      <c r="AE237">
        <v>0</v>
      </c>
      <c r="AF237">
        <v>44</v>
      </c>
      <c r="AG237">
        <v>255</v>
      </c>
      <c r="AH237">
        <v>0</v>
      </c>
      <c r="AI237">
        <v>0</v>
      </c>
      <c r="AJ237">
        <v>0</v>
      </c>
      <c r="AK237">
        <v>12.6</v>
      </c>
      <c r="AL237">
        <v>0</v>
      </c>
      <c r="AM237">
        <v>0</v>
      </c>
      <c r="AN237" t="s">
        <v>197</v>
      </c>
      <c r="AO237">
        <v>100</v>
      </c>
      <c r="AP237" t="s">
        <v>197</v>
      </c>
      <c r="AQ237" t="s">
        <v>200</v>
      </c>
      <c r="AR237">
        <v>1</v>
      </c>
      <c r="AS237">
        <v>0</v>
      </c>
      <c r="AT237" t="s">
        <v>583</v>
      </c>
      <c r="AU237" t="s">
        <v>583</v>
      </c>
      <c r="AV237" t="s">
        <v>202</v>
      </c>
      <c r="AW237" t="s">
        <v>203</v>
      </c>
      <c r="AX237" t="s">
        <v>203</v>
      </c>
      <c r="AY237" t="s">
        <v>203</v>
      </c>
      <c r="AZ237" t="s">
        <v>203</v>
      </c>
      <c r="BA237" t="s">
        <v>203</v>
      </c>
      <c r="BB237" t="s">
        <v>203</v>
      </c>
      <c r="BC237" t="s">
        <v>203</v>
      </c>
      <c r="BD237" t="s">
        <v>203</v>
      </c>
      <c r="BE237" t="s">
        <v>203</v>
      </c>
      <c r="BF237">
        <v>0</v>
      </c>
      <c r="BG237">
        <v>0.2</v>
      </c>
      <c r="BH237">
        <v>50</v>
      </c>
      <c r="BI237">
        <v>0</v>
      </c>
      <c r="BJ237" t="s">
        <v>198</v>
      </c>
      <c r="BK237" t="s">
        <v>198</v>
      </c>
      <c r="BL237" t="s">
        <v>198</v>
      </c>
      <c r="BM237" t="s">
        <v>198</v>
      </c>
      <c r="BN237" t="s">
        <v>198</v>
      </c>
      <c r="BO237" t="s">
        <v>198</v>
      </c>
      <c r="BP237" t="s">
        <v>198</v>
      </c>
      <c r="BQ237" t="s">
        <v>198</v>
      </c>
      <c r="BR237" t="s">
        <v>198</v>
      </c>
      <c r="BS237" t="s">
        <v>198</v>
      </c>
      <c r="BT237" t="s">
        <v>198</v>
      </c>
      <c r="BU237" t="s">
        <v>198</v>
      </c>
      <c r="BV237" t="s">
        <v>198</v>
      </c>
      <c r="BW237" t="s">
        <v>198</v>
      </c>
      <c r="BX237" t="s">
        <v>198</v>
      </c>
      <c r="BY237" t="s">
        <v>198</v>
      </c>
      <c r="BZ237" t="s">
        <v>198</v>
      </c>
      <c r="CA237" t="s">
        <v>198</v>
      </c>
      <c r="CB237" t="s">
        <v>204</v>
      </c>
      <c r="CC237" t="s">
        <v>204</v>
      </c>
      <c r="CD237" t="s">
        <v>204</v>
      </c>
      <c r="CE237" t="s">
        <v>204</v>
      </c>
      <c r="CF237" t="s">
        <v>204</v>
      </c>
      <c r="CG237" t="s">
        <v>204</v>
      </c>
      <c r="CH237" t="s">
        <v>204</v>
      </c>
      <c r="CI237" t="s">
        <v>204</v>
      </c>
      <c r="CJ237" t="s">
        <v>204</v>
      </c>
      <c r="CK237" t="s">
        <v>204</v>
      </c>
      <c r="CL237" t="s">
        <v>204</v>
      </c>
      <c r="CM237" t="s">
        <v>204</v>
      </c>
      <c r="CN237" t="s">
        <v>203</v>
      </c>
      <c r="CO237" t="s">
        <v>203</v>
      </c>
      <c r="CP237" t="s">
        <v>203</v>
      </c>
      <c r="CQ237" t="s">
        <v>203</v>
      </c>
      <c r="CR237" t="s">
        <v>203</v>
      </c>
      <c r="CS237" t="s">
        <v>203</v>
      </c>
      <c r="CT237" t="s">
        <v>203</v>
      </c>
      <c r="CU237" t="s">
        <v>203</v>
      </c>
      <c r="CV237">
        <v>0</v>
      </c>
      <c r="CW237">
        <v>0</v>
      </c>
      <c r="CX237" t="s">
        <v>198</v>
      </c>
      <c r="CY237" t="s">
        <v>198</v>
      </c>
      <c r="CZ237" t="s">
        <v>198</v>
      </c>
      <c r="DA237" t="s">
        <v>198</v>
      </c>
      <c r="DB237" t="s">
        <v>198</v>
      </c>
      <c r="DC237">
        <v>0</v>
      </c>
      <c r="DD237">
        <v>0</v>
      </c>
      <c r="DE237">
        <v>0</v>
      </c>
      <c r="DF237">
        <v>0</v>
      </c>
      <c r="DG237">
        <v>-35.3631166</v>
      </c>
      <c r="DH237">
        <v>149.1639735</v>
      </c>
      <c r="DI237" t="s">
        <v>360</v>
      </c>
      <c r="DJ237">
        <v>1.2</v>
      </c>
      <c r="DK237">
        <v>2</v>
      </c>
      <c r="DL237">
        <v>159.8</v>
      </c>
      <c r="DM237">
        <v>0</v>
      </c>
      <c r="DN237">
        <v>6</v>
      </c>
      <c r="DO237">
        <v>10</v>
      </c>
      <c r="DP237">
        <v>0</v>
      </c>
      <c r="DQ237">
        <v>255</v>
      </c>
      <c r="DR237">
        <v>255</v>
      </c>
      <c r="DS237">
        <v>255</v>
      </c>
      <c r="DT237">
        <v>255</v>
      </c>
      <c r="DU237">
        <v>255</v>
      </c>
      <c r="DV237">
        <v>255</v>
      </c>
      <c r="DW237">
        <v>255</v>
      </c>
      <c r="DX237" t="s">
        <v>206</v>
      </c>
      <c r="DY237" t="s">
        <v>206</v>
      </c>
      <c r="DZ237" t="s">
        <v>207</v>
      </c>
      <c r="EA237" t="s">
        <v>198</v>
      </c>
      <c r="EB237" t="s">
        <v>198</v>
      </c>
      <c r="EC237" t="s">
        <v>198</v>
      </c>
      <c r="ED237">
        <v>0</v>
      </c>
      <c r="EE237">
        <v>0</v>
      </c>
      <c r="EF237">
        <v>0</v>
      </c>
      <c r="EG237">
        <v>0</v>
      </c>
      <c r="EH237">
        <v>255</v>
      </c>
      <c r="EI237">
        <v>255</v>
      </c>
      <c r="EJ237">
        <v>255</v>
      </c>
      <c r="EK237">
        <v>255</v>
      </c>
      <c r="EL237">
        <v>255</v>
      </c>
      <c r="EM237">
        <v>255</v>
      </c>
      <c r="EN237">
        <v>255</v>
      </c>
      <c r="EO237">
        <v>255</v>
      </c>
      <c r="EP237">
        <v>255</v>
      </c>
      <c r="EQ237">
        <v>255</v>
      </c>
      <c r="ER237" t="s">
        <v>208</v>
      </c>
      <c r="ES237" t="s">
        <v>209</v>
      </c>
      <c r="ET237" t="s">
        <v>209</v>
      </c>
      <c r="EU237">
        <v>0</v>
      </c>
      <c r="EV237">
        <v>16.2</v>
      </c>
      <c r="EW237">
        <v>-114.7</v>
      </c>
      <c r="EX237">
        <v>-0.2</v>
      </c>
      <c r="EY237">
        <v>0</v>
      </c>
      <c r="EZ237">
        <v>0</v>
      </c>
      <c r="FA237">
        <v>0</v>
      </c>
      <c r="FB237" t="s">
        <v>198</v>
      </c>
      <c r="FC237" t="s">
        <v>198</v>
      </c>
      <c r="FD237" t="s">
        <v>198</v>
      </c>
      <c r="FE237" t="s">
        <v>198</v>
      </c>
      <c r="FF237" t="s">
        <v>198</v>
      </c>
      <c r="FG237" t="s">
        <v>198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 t="s">
        <v>203</v>
      </c>
      <c r="FP237" t="s">
        <v>203</v>
      </c>
      <c r="FQ237" t="s">
        <v>203</v>
      </c>
      <c r="FR237" t="s">
        <v>203</v>
      </c>
      <c r="FS237" t="s">
        <v>203</v>
      </c>
      <c r="FT237" t="s">
        <v>203</v>
      </c>
      <c r="FU237" t="s">
        <v>198</v>
      </c>
      <c r="FV237" t="s">
        <v>198</v>
      </c>
      <c r="FW237" t="s">
        <v>198</v>
      </c>
      <c r="FX237" t="s">
        <v>198</v>
      </c>
      <c r="FY237" t="s">
        <v>198</v>
      </c>
      <c r="FZ237" t="s">
        <v>198</v>
      </c>
      <c r="GA237">
        <v>31.2</v>
      </c>
      <c r="GB237">
        <v>31.2</v>
      </c>
      <c r="GC237" t="s">
        <v>203</v>
      </c>
      <c r="GD237">
        <v>0</v>
      </c>
      <c r="GE237">
        <v>504</v>
      </c>
      <c r="GF237">
        <v>0</v>
      </c>
      <c r="GG237">
        <v>0</v>
      </c>
      <c r="GH237">
        <v>0</v>
      </c>
      <c r="GI237">
        <v>1</v>
      </c>
      <c r="GJ237">
        <v>1</v>
      </c>
      <c r="GK237">
        <v>0</v>
      </c>
      <c r="GL237" t="s">
        <v>198</v>
      </c>
      <c r="GM237" t="s">
        <v>198</v>
      </c>
      <c r="GN237" t="s">
        <v>198</v>
      </c>
    </row>
    <row r="238" spans="1:196">
      <c r="A238" s="19">
        <v>46316.90663591435</v>
      </c>
      <c r="B238">
        <v>0</v>
      </c>
      <c r="C238">
        <v>0</v>
      </c>
      <c r="D238">
        <v>277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584.2</v>
      </c>
      <c r="N238">
        <v>-0.5</v>
      </c>
      <c r="O238">
        <v>0</v>
      </c>
      <c r="P238">
        <v>0</v>
      </c>
      <c r="Q238">
        <v>0</v>
      </c>
      <c r="R238">
        <v>0</v>
      </c>
      <c r="S238">
        <v>115.6</v>
      </c>
      <c r="T238" t="s">
        <v>485</v>
      </c>
      <c r="U238">
        <v>115.7</v>
      </c>
      <c r="V238">
        <v>1762727256586.8</v>
      </c>
      <c r="W238">
        <v>1</v>
      </c>
      <c r="X238" t="s">
        <v>197</v>
      </c>
      <c r="Y238">
        <v>0</v>
      </c>
      <c r="Z238">
        <v>98</v>
      </c>
      <c r="AA238">
        <v>278</v>
      </c>
      <c r="AB238" t="s">
        <v>197</v>
      </c>
      <c r="AC238" t="s">
        <v>198</v>
      </c>
      <c r="AD238" t="s">
        <v>199</v>
      </c>
      <c r="AE238">
        <v>0</v>
      </c>
      <c r="AF238">
        <v>44</v>
      </c>
      <c r="AG238">
        <v>255</v>
      </c>
      <c r="AH238">
        <v>0</v>
      </c>
      <c r="AI238">
        <v>0</v>
      </c>
      <c r="AJ238">
        <v>0</v>
      </c>
      <c r="AK238">
        <v>12.6</v>
      </c>
      <c r="AL238">
        <v>0</v>
      </c>
      <c r="AM238">
        <v>0</v>
      </c>
      <c r="AN238" t="s">
        <v>197</v>
      </c>
      <c r="AO238">
        <v>100</v>
      </c>
      <c r="AP238" t="s">
        <v>197</v>
      </c>
      <c r="AQ238" t="s">
        <v>200</v>
      </c>
      <c r="AR238">
        <v>1</v>
      </c>
      <c r="AS238">
        <v>0</v>
      </c>
      <c r="AT238" t="s">
        <v>584</v>
      </c>
      <c r="AU238" t="s">
        <v>584</v>
      </c>
      <c r="AV238" t="s">
        <v>202</v>
      </c>
      <c r="AW238" t="s">
        <v>203</v>
      </c>
      <c r="AX238" t="s">
        <v>203</v>
      </c>
      <c r="AY238" t="s">
        <v>203</v>
      </c>
      <c r="AZ238" t="s">
        <v>203</v>
      </c>
      <c r="BA238" t="s">
        <v>203</v>
      </c>
      <c r="BB238" t="s">
        <v>203</v>
      </c>
      <c r="BC238" t="s">
        <v>203</v>
      </c>
      <c r="BD238" t="s">
        <v>203</v>
      </c>
      <c r="BE238" t="s">
        <v>203</v>
      </c>
      <c r="BF238">
        <v>0</v>
      </c>
      <c r="BG238">
        <v>0.2</v>
      </c>
      <c r="BH238">
        <v>50</v>
      </c>
      <c r="BI238">
        <v>0</v>
      </c>
      <c r="BJ238" t="s">
        <v>198</v>
      </c>
      <c r="BK238" t="s">
        <v>198</v>
      </c>
      <c r="BL238" t="s">
        <v>198</v>
      </c>
      <c r="BM238" t="s">
        <v>198</v>
      </c>
      <c r="BN238" t="s">
        <v>198</v>
      </c>
      <c r="BO238" t="s">
        <v>198</v>
      </c>
      <c r="BP238" t="s">
        <v>198</v>
      </c>
      <c r="BQ238" t="s">
        <v>198</v>
      </c>
      <c r="BR238" t="s">
        <v>198</v>
      </c>
      <c r="BS238" t="s">
        <v>198</v>
      </c>
      <c r="BT238" t="s">
        <v>198</v>
      </c>
      <c r="BU238" t="s">
        <v>198</v>
      </c>
      <c r="BV238" t="s">
        <v>198</v>
      </c>
      <c r="BW238" t="s">
        <v>198</v>
      </c>
      <c r="BX238" t="s">
        <v>198</v>
      </c>
      <c r="BY238" t="s">
        <v>198</v>
      </c>
      <c r="BZ238" t="s">
        <v>198</v>
      </c>
      <c r="CA238" t="s">
        <v>198</v>
      </c>
      <c r="CB238" t="s">
        <v>204</v>
      </c>
      <c r="CC238" t="s">
        <v>204</v>
      </c>
      <c r="CD238" t="s">
        <v>204</v>
      </c>
      <c r="CE238" t="s">
        <v>204</v>
      </c>
      <c r="CF238" t="s">
        <v>204</v>
      </c>
      <c r="CG238" t="s">
        <v>204</v>
      </c>
      <c r="CH238" t="s">
        <v>204</v>
      </c>
      <c r="CI238" t="s">
        <v>204</v>
      </c>
      <c r="CJ238" t="s">
        <v>204</v>
      </c>
      <c r="CK238" t="s">
        <v>204</v>
      </c>
      <c r="CL238" t="s">
        <v>204</v>
      </c>
      <c r="CM238" t="s">
        <v>204</v>
      </c>
      <c r="CN238" t="s">
        <v>203</v>
      </c>
      <c r="CO238" t="s">
        <v>203</v>
      </c>
      <c r="CP238" t="s">
        <v>203</v>
      </c>
      <c r="CQ238" t="s">
        <v>203</v>
      </c>
      <c r="CR238" t="s">
        <v>203</v>
      </c>
      <c r="CS238" t="s">
        <v>203</v>
      </c>
      <c r="CT238" t="s">
        <v>203</v>
      </c>
      <c r="CU238" t="s">
        <v>203</v>
      </c>
      <c r="CV238">
        <v>0</v>
      </c>
      <c r="CW238">
        <v>0</v>
      </c>
      <c r="CX238" t="s">
        <v>198</v>
      </c>
      <c r="CY238" t="s">
        <v>198</v>
      </c>
      <c r="CZ238" t="s">
        <v>198</v>
      </c>
      <c r="DA238" t="s">
        <v>198</v>
      </c>
      <c r="DB238" t="s">
        <v>198</v>
      </c>
      <c r="DC238">
        <v>0</v>
      </c>
      <c r="DD238">
        <v>0</v>
      </c>
      <c r="DE238">
        <v>0</v>
      </c>
      <c r="DF238">
        <v>0</v>
      </c>
      <c r="DG238">
        <v>-35.3631166</v>
      </c>
      <c r="DH238">
        <v>149.1639735</v>
      </c>
      <c r="DI238" t="s">
        <v>360</v>
      </c>
      <c r="DJ238">
        <v>1.2</v>
      </c>
      <c r="DK238">
        <v>2</v>
      </c>
      <c r="DL238">
        <v>159.8</v>
      </c>
      <c r="DM238">
        <v>0</v>
      </c>
      <c r="DN238">
        <v>6</v>
      </c>
      <c r="DO238">
        <v>10</v>
      </c>
      <c r="DP238">
        <v>0</v>
      </c>
      <c r="DQ238">
        <v>255</v>
      </c>
      <c r="DR238">
        <v>255</v>
      </c>
      <c r="DS238">
        <v>255</v>
      </c>
      <c r="DT238">
        <v>255</v>
      </c>
      <c r="DU238">
        <v>255</v>
      </c>
      <c r="DV238">
        <v>255</v>
      </c>
      <c r="DW238">
        <v>255</v>
      </c>
      <c r="DX238" t="s">
        <v>206</v>
      </c>
      <c r="DY238" t="s">
        <v>206</v>
      </c>
      <c r="DZ238" t="s">
        <v>207</v>
      </c>
      <c r="EA238" t="s">
        <v>198</v>
      </c>
      <c r="EB238" t="s">
        <v>198</v>
      </c>
      <c r="EC238" t="s">
        <v>198</v>
      </c>
      <c r="ED238">
        <v>0</v>
      </c>
      <c r="EE238">
        <v>0</v>
      </c>
      <c r="EF238">
        <v>0</v>
      </c>
      <c r="EG238">
        <v>0</v>
      </c>
      <c r="EH238">
        <v>255</v>
      </c>
      <c r="EI238">
        <v>255</v>
      </c>
      <c r="EJ238">
        <v>255</v>
      </c>
      <c r="EK238">
        <v>255</v>
      </c>
      <c r="EL238">
        <v>255</v>
      </c>
      <c r="EM238">
        <v>255</v>
      </c>
      <c r="EN238">
        <v>255</v>
      </c>
      <c r="EO238">
        <v>255</v>
      </c>
      <c r="EP238">
        <v>255</v>
      </c>
      <c r="EQ238">
        <v>255</v>
      </c>
      <c r="ER238" t="s">
        <v>208</v>
      </c>
      <c r="ES238" t="s">
        <v>209</v>
      </c>
      <c r="ET238" t="s">
        <v>209</v>
      </c>
      <c r="EU238">
        <v>0</v>
      </c>
      <c r="EV238">
        <v>16.2</v>
      </c>
      <c r="EW238">
        <v>-114.7</v>
      </c>
      <c r="EX238">
        <v>-0.2</v>
      </c>
      <c r="EY238">
        <v>0</v>
      </c>
      <c r="EZ238">
        <v>0</v>
      </c>
      <c r="FA238">
        <v>0</v>
      </c>
      <c r="FB238" t="s">
        <v>198</v>
      </c>
      <c r="FC238" t="s">
        <v>198</v>
      </c>
      <c r="FD238" t="s">
        <v>198</v>
      </c>
      <c r="FE238" t="s">
        <v>198</v>
      </c>
      <c r="FF238" t="s">
        <v>198</v>
      </c>
      <c r="FG238" t="s">
        <v>198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 t="s">
        <v>203</v>
      </c>
      <c r="FP238" t="s">
        <v>203</v>
      </c>
      <c r="FQ238" t="s">
        <v>203</v>
      </c>
      <c r="FR238" t="s">
        <v>203</v>
      </c>
      <c r="FS238" t="s">
        <v>203</v>
      </c>
      <c r="FT238" t="s">
        <v>203</v>
      </c>
      <c r="FU238" t="s">
        <v>198</v>
      </c>
      <c r="FV238" t="s">
        <v>198</v>
      </c>
      <c r="FW238" t="s">
        <v>198</v>
      </c>
      <c r="FX238" t="s">
        <v>198</v>
      </c>
      <c r="FY238" t="s">
        <v>198</v>
      </c>
      <c r="FZ238" t="s">
        <v>198</v>
      </c>
      <c r="GA238">
        <v>31.2</v>
      </c>
      <c r="GB238">
        <v>31.2</v>
      </c>
      <c r="GC238" t="s">
        <v>203</v>
      </c>
      <c r="GD238">
        <v>0</v>
      </c>
      <c r="GE238">
        <v>504</v>
      </c>
      <c r="GF238">
        <v>0</v>
      </c>
      <c r="GG238">
        <v>0</v>
      </c>
      <c r="GH238">
        <v>0</v>
      </c>
      <c r="GI238">
        <v>1</v>
      </c>
      <c r="GJ238">
        <v>1</v>
      </c>
      <c r="GK238">
        <v>0</v>
      </c>
      <c r="GL238" t="s">
        <v>198</v>
      </c>
      <c r="GM238" t="s">
        <v>198</v>
      </c>
      <c r="GN238" t="s">
        <v>198</v>
      </c>
    </row>
    <row r="239" spans="1:196">
      <c r="A239" s="19">
        <v>46316.90664748842</v>
      </c>
      <c r="B239">
        <v>0</v>
      </c>
      <c r="C239">
        <v>0</v>
      </c>
      <c r="D239">
        <v>277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584.2</v>
      </c>
      <c r="N239">
        <v>-0.5</v>
      </c>
      <c r="O239">
        <v>0</v>
      </c>
      <c r="P239">
        <v>0</v>
      </c>
      <c r="Q239">
        <v>0</v>
      </c>
      <c r="R239">
        <v>0</v>
      </c>
      <c r="S239">
        <v>115.6</v>
      </c>
      <c r="T239" t="s">
        <v>485</v>
      </c>
      <c r="U239">
        <v>115.7</v>
      </c>
      <c r="V239">
        <v>1762727256586.8</v>
      </c>
      <c r="W239">
        <v>1</v>
      </c>
      <c r="X239" t="s">
        <v>197</v>
      </c>
      <c r="Y239">
        <v>0</v>
      </c>
      <c r="Z239">
        <v>98</v>
      </c>
      <c r="AA239">
        <v>278</v>
      </c>
      <c r="AB239" t="s">
        <v>197</v>
      </c>
      <c r="AC239" t="s">
        <v>198</v>
      </c>
      <c r="AD239" t="s">
        <v>199</v>
      </c>
      <c r="AE239">
        <v>0</v>
      </c>
      <c r="AF239">
        <v>44</v>
      </c>
      <c r="AG239">
        <v>255</v>
      </c>
      <c r="AH239">
        <v>0</v>
      </c>
      <c r="AI239">
        <v>0</v>
      </c>
      <c r="AJ239">
        <v>0</v>
      </c>
      <c r="AK239">
        <v>12.6</v>
      </c>
      <c r="AL239">
        <v>0</v>
      </c>
      <c r="AM239">
        <v>0</v>
      </c>
      <c r="AN239" t="s">
        <v>197</v>
      </c>
      <c r="AO239">
        <v>100</v>
      </c>
      <c r="AP239" t="s">
        <v>197</v>
      </c>
      <c r="AQ239" t="s">
        <v>200</v>
      </c>
      <c r="AR239">
        <v>1</v>
      </c>
      <c r="AS239">
        <v>0</v>
      </c>
      <c r="AT239" t="s">
        <v>585</v>
      </c>
      <c r="AU239" t="s">
        <v>585</v>
      </c>
      <c r="AV239" t="s">
        <v>202</v>
      </c>
      <c r="AW239" t="s">
        <v>203</v>
      </c>
      <c r="AX239" t="s">
        <v>203</v>
      </c>
      <c r="AY239" t="s">
        <v>203</v>
      </c>
      <c r="AZ239" t="s">
        <v>203</v>
      </c>
      <c r="BA239" t="s">
        <v>203</v>
      </c>
      <c r="BB239" t="s">
        <v>203</v>
      </c>
      <c r="BC239" t="s">
        <v>203</v>
      </c>
      <c r="BD239" t="s">
        <v>203</v>
      </c>
      <c r="BE239" t="s">
        <v>203</v>
      </c>
      <c r="BF239">
        <v>0</v>
      </c>
      <c r="BG239">
        <v>0.2</v>
      </c>
      <c r="BH239">
        <v>50</v>
      </c>
      <c r="BI239">
        <v>0</v>
      </c>
      <c r="BJ239" t="s">
        <v>198</v>
      </c>
      <c r="BK239" t="s">
        <v>198</v>
      </c>
      <c r="BL239" t="s">
        <v>198</v>
      </c>
      <c r="BM239" t="s">
        <v>198</v>
      </c>
      <c r="BN239" t="s">
        <v>198</v>
      </c>
      <c r="BO239" t="s">
        <v>198</v>
      </c>
      <c r="BP239" t="s">
        <v>198</v>
      </c>
      <c r="BQ239" t="s">
        <v>198</v>
      </c>
      <c r="BR239" t="s">
        <v>198</v>
      </c>
      <c r="BS239" t="s">
        <v>198</v>
      </c>
      <c r="BT239" t="s">
        <v>198</v>
      </c>
      <c r="BU239" t="s">
        <v>198</v>
      </c>
      <c r="BV239" t="s">
        <v>198</v>
      </c>
      <c r="BW239" t="s">
        <v>198</v>
      </c>
      <c r="BX239" t="s">
        <v>198</v>
      </c>
      <c r="BY239" t="s">
        <v>198</v>
      </c>
      <c r="BZ239" t="s">
        <v>198</v>
      </c>
      <c r="CA239" t="s">
        <v>198</v>
      </c>
      <c r="CB239" t="s">
        <v>204</v>
      </c>
      <c r="CC239" t="s">
        <v>204</v>
      </c>
      <c r="CD239" t="s">
        <v>204</v>
      </c>
      <c r="CE239" t="s">
        <v>204</v>
      </c>
      <c r="CF239" t="s">
        <v>204</v>
      </c>
      <c r="CG239" t="s">
        <v>204</v>
      </c>
      <c r="CH239" t="s">
        <v>204</v>
      </c>
      <c r="CI239" t="s">
        <v>204</v>
      </c>
      <c r="CJ239" t="s">
        <v>204</v>
      </c>
      <c r="CK239" t="s">
        <v>204</v>
      </c>
      <c r="CL239" t="s">
        <v>204</v>
      </c>
      <c r="CM239" t="s">
        <v>204</v>
      </c>
      <c r="CN239" t="s">
        <v>203</v>
      </c>
      <c r="CO239" t="s">
        <v>203</v>
      </c>
      <c r="CP239" t="s">
        <v>203</v>
      </c>
      <c r="CQ239" t="s">
        <v>203</v>
      </c>
      <c r="CR239" t="s">
        <v>203</v>
      </c>
      <c r="CS239" t="s">
        <v>203</v>
      </c>
      <c r="CT239" t="s">
        <v>203</v>
      </c>
      <c r="CU239" t="s">
        <v>203</v>
      </c>
      <c r="CV239">
        <v>0</v>
      </c>
      <c r="CW239">
        <v>0</v>
      </c>
      <c r="CX239" t="s">
        <v>198</v>
      </c>
      <c r="CY239" t="s">
        <v>198</v>
      </c>
      <c r="CZ239" t="s">
        <v>198</v>
      </c>
      <c r="DA239" t="s">
        <v>198</v>
      </c>
      <c r="DB239" t="s">
        <v>198</v>
      </c>
      <c r="DC239">
        <v>0</v>
      </c>
      <c r="DD239">
        <v>0</v>
      </c>
      <c r="DE239">
        <v>0</v>
      </c>
      <c r="DF239">
        <v>0</v>
      </c>
      <c r="DG239">
        <v>-35.3631166</v>
      </c>
      <c r="DH239">
        <v>149.1639735</v>
      </c>
      <c r="DI239" t="s">
        <v>360</v>
      </c>
      <c r="DJ239">
        <v>1.2</v>
      </c>
      <c r="DK239">
        <v>2</v>
      </c>
      <c r="DL239">
        <v>159.8</v>
      </c>
      <c r="DM239">
        <v>0</v>
      </c>
      <c r="DN239">
        <v>6</v>
      </c>
      <c r="DO239">
        <v>10</v>
      </c>
      <c r="DP239">
        <v>0</v>
      </c>
      <c r="DQ239">
        <v>255</v>
      </c>
      <c r="DR239">
        <v>255</v>
      </c>
      <c r="DS239">
        <v>255</v>
      </c>
      <c r="DT239">
        <v>255</v>
      </c>
      <c r="DU239">
        <v>255</v>
      </c>
      <c r="DV239">
        <v>255</v>
      </c>
      <c r="DW239">
        <v>255</v>
      </c>
      <c r="DX239" t="s">
        <v>206</v>
      </c>
      <c r="DY239" t="s">
        <v>206</v>
      </c>
      <c r="DZ239" t="s">
        <v>207</v>
      </c>
      <c r="EA239" t="s">
        <v>198</v>
      </c>
      <c r="EB239" t="s">
        <v>198</v>
      </c>
      <c r="EC239" t="s">
        <v>198</v>
      </c>
      <c r="ED239">
        <v>0</v>
      </c>
      <c r="EE239">
        <v>0</v>
      </c>
      <c r="EF239">
        <v>0</v>
      </c>
      <c r="EG239">
        <v>0</v>
      </c>
      <c r="EH239">
        <v>255</v>
      </c>
      <c r="EI239">
        <v>255</v>
      </c>
      <c r="EJ239">
        <v>255</v>
      </c>
      <c r="EK239">
        <v>255</v>
      </c>
      <c r="EL239">
        <v>255</v>
      </c>
      <c r="EM239">
        <v>255</v>
      </c>
      <c r="EN239">
        <v>255</v>
      </c>
      <c r="EO239">
        <v>255</v>
      </c>
      <c r="EP239">
        <v>255</v>
      </c>
      <c r="EQ239">
        <v>255</v>
      </c>
      <c r="ER239" t="s">
        <v>208</v>
      </c>
      <c r="ES239" t="s">
        <v>209</v>
      </c>
      <c r="ET239" t="s">
        <v>209</v>
      </c>
      <c r="EU239">
        <v>0</v>
      </c>
      <c r="EV239">
        <v>16.2</v>
      </c>
      <c r="EW239">
        <v>-114.7</v>
      </c>
      <c r="EX239">
        <v>-0.2</v>
      </c>
      <c r="EY239">
        <v>0</v>
      </c>
      <c r="EZ239">
        <v>0</v>
      </c>
      <c r="FA239">
        <v>0</v>
      </c>
      <c r="FB239" t="s">
        <v>198</v>
      </c>
      <c r="FC239" t="s">
        <v>198</v>
      </c>
      <c r="FD239" t="s">
        <v>198</v>
      </c>
      <c r="FE239" t="s">
        <v>198</v>
      </c>
      <c r="FF239" t="s">
        <v>198</v>
      </c>
      <c r="FG239" t="s">
        <v>198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 t="s">
        <v>203</v>
      </c>
      <c r="FP239" t="s">
        <v>203</v>
      </c>
      <c r="FQ239" t="s">
        <v>203</v>
      </c>
      <c r="FR239" t="s">
        <v>203</v>
      </c>
      <c r="FS239" t="s">
        <v>203</v>
      </c>
      <c r="FT239" t="s">
        <v>203</v>
      </c>
      <c r="FU239" t="s">
        <v>198</v>
      </c>
      <c r="FV239" t="s">
        <v>198</v>
      </c>
      <c r="FW239" t="s">
        <v>198</v>
      </c>
      <c r="FX239" t="s">
        <v>198</v>
      </c>
      <c r="FY239" t="s">
        <v>198</v>
      </c>
      <c r="FZ239" t="s">
        <v>198</v>
      </c>
      <c r="GA239">
        <v>31.2</v>
      </c>
      <c r="GB239">
        <v>31.2</v>
      </c>
      <c r="GC239" t="s">
        <v>203</v>
      </c>
      <c r="GD239">
        <v>0</v>
      </c>
      <c r="GE239">
        <v>504</v>
      </c>
      <c r="GF239">
        <v>0</v>
      </c>
      <c r="GG239">
        <v>0</v>
      </c>
      <c r="GH239">
        <v>0</v>
      </c>
      <c r="GI239">
        <v>1</v>
      </c>
      <c r="GJ239">
        <v>1</v>
      </c>
      <c r="GK239">
        <v>0</v>
      </c>
      <c r="GL239" t="s">
        <v>198</v>
      </c>
      <c r="GM239" t="s">
        <v>198</v>
      </c>
      <c r="GN239" t="s">
        <v>198</v>
      </c>
    </row>
    <row r="240" spans="1:196">
      <c r="A240" s="19">
        <v>46316.9066590625</v>
      </c>
      <c r="B240">
        <v>0</v>
      </c>
      <c r="C240">
        <v>0</v>
      </c>
      <c r="D240">
        <v>277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584.2</v>
      </c>
      <c r="N240">
        <v>-0.5</v>
      </c>
      <c r="O240">
        <v>0</v>
      </c>
      <c r="P240">
        <v>0</v>
      </c>
      <c r="Q240">
        <v>0</v>
      </c>
      <c r="R240">
        <v>0</v>
      </c>
      <c r="S240">
        <v>115.6</v>
      </c>
      <c r="T240" t="s">
        <v>485</v>
      </c>
      <c r="U240">
        <v>115.7</v>
      </c>
      <c r="V240">
        <v>1762727256586.8</v>
      </c>
      <c r="W240">
        <v>1</v>
      </c>
      <c r="X240" t="s">
        <v>197</v>
      </c>
      <c r="Y240">
        <v>0</v>
      </c>
      <c r="Z240">
        <v>98</v>
      </c>
      <c r="AA240">
        <v>278</v>
      </c>
      <c r="AB240" t="s">
        <v>197</v>
      </c>
      <c r="AC240" t="s">
        <v>198</v>
      </c>
      <c r="AD240" t="s">
        <v>199</v>
      </c>
      <c r="AE240">
        <v>0</v>
      </c>
      <c r="AF240">
        <v>44</v>
      </c>
      <c r="AG240">
        <v>255</v>
      </c>
      <c r="AH240">
        <v>0</v>
      </c>
      <c r="AI240">
        <v>0</v>
      </c>
      <c r="AJ240">
        <v>0</v>
      </c>
      <c r="AK240">
        <v>12.6</v>
      </c>
      <c r="AL240">
        <v>0</v>
      </c>
      <c r="AM240">
        <v>0</v>
      </c>
      <c r="AN240" t="s">
        <v>197</v>
      </c>
      <c r="AO240">
        <v>100</v>
      </c>
      <c r="AP240" t="s">
        <v>197</v>
      </c>
      <c r="AQ240" t="s">
        <v>200</v>
      </c>
      <c r="AR240">
        <v>1</v>
      </c>
      <c r="AS240">
        <v>0</v>
      </c>
      <c r="AT240" t="s">
        <v>586</v>
      </c>
      <c r="AU240" t="s">
        <v>586</v>
      </c>
      <c r="AV240" t="s">
        <v>202</v>
      </c>
      <c r="AW240" t="s">
        <v>203</v>
      </c>
      <c r="AX240" t="s">
        <v>203</v>
      </c>
      <c r="AY240" t="s">
        <v>203</v>
      </c>
      <c r="AZ240" t="s">
        <v>203</v>
      </c>
      <c r="BA240" t="s">
        <v>203</v>
      </c>
      <c r="BB240" t="s">
        <v>203</v>
      </c>
      <c r="BC240" t="s">
        <v>203</v>
      </c>
      <c r="BD240" t="s">
        <v>203</v>
      </c>
      <c r="BE240" t="s">
        <v>203</v>
      </c>
      <c r="BF240">
        <v>0</v>
      </c>
      <c r="BG240">
        <v>0.2</v>
      </c>
      <c r="BH240">
        <v>50</v>
      </c>
      <c r="BI240">
        <v>0</v>
      </c>
      <c r="BJ240" t="s">
        <v>198</v>
      </c>
      <c r="BK240" t="s">
        <v>198</v>
      </c>
      <c r="BL240" t="s">
        <v>198</v>
      </c>
      <c r="BM240" t="s">
        <v>198</v>
      </c>
      <c r="BN240" t="s">
        <v>198</v>
      </c>
      <c r="BO240" t="s">
        <v>198</v>
      </c>
      <c r="BP240" t="s">
        <v>198</v>
      </c>
      <c r="BQ240" t="s">
        <v>198</v>
      </c>
      <c r="BR240" t="s">
        <v>198</v>
      </c>
      <c r="BS240" t="s">
        <v>198</v>
      </c>
      <c r="BT240" t="s">
        <v>198</v>
      </c>
      <c r="BU240" t="s">
        <v>198</v>
      </c>
      <c r="BV240" t="s">
        <v>198</v>
      </c>
      <c r="BW240" t="s">
        <v>198</v>
      </c>
      <c r="BX240" t="s">
        <v>198</v>
      </c>
      <c r="BY240" t="s">
        <v>198</v>
      </c>
      <c r="BZ240" t="s">
        <v>198</v>
      </c>
      <c r="CA240" t="s">
        <v>198</v>
      </c>
      <c r="CB240" t="s">
        <v>204</v>
      </c>
      <c r="CC240" t="s">
        <v>204</v>
      </c>
      <c r="CD240" t="s">
        <v>204</v>
      </c>
      <c r="CE240" t="s">
        <v>204</v>
      </c>
      <c r="CF240" t="s">
        <v>204</v>
      </c>
      <c r="CG240" t="s">
        <v>204</v>
      </c>
      <c r="CH240" t="s">
        <v>204</v>
      </c>
      <c r="CI240" t="s">
        <v>204</v>
      </c>
      <c r="CJ240" t="s">
        <v>204</v>
      </c>
      <c r="CK240" t="s">
        <v>204</v>
      </c>
      <c r="CL240" t="s">
        <v>204</v>
      </c>
      <c r="CM240" t="s">
        <v>204</v>
      </c>
      <c r="CN240" t="s">
        <v>203</v>
      </c>
      <c r="CO240" t="s">
        <v>203</v>
      </c>
      <c r="CP240" t="s">
        <v>203</v>
      </c>
      <c r="CQ240" t="s">
        <v>203</v>
      </c>
      <c r="CR240" t="s">
        <v>203</v>
      </c>
      <c r="CS240" t="s">
        <v>203</v>
      </c>
      <c r="CT240" t="s">
        <v>203</v>
      </c>
      <c r="CU240" t="s">
        <v>203</v>
      </c>
      <c r="CV240">
        <v>0</v>
      </c>
      <c r="CW240">
        <v>0</v>
      </c>
      <c r="CX240" t="s">
        <v>198</v>
      </c>
      <c r="CY240" t="s">
        <v>198</v>
      </c>
      <c r="CZ240" t="s">
        <v>198</v>
      </c>
      <c r="DA240" t="s">
        <v>198</v>
      </c>
      <c r="DB240" t="s">
        <v>198</v>
      </c>
      <c r="DC240">
        <v>0</v>
      </c>
      <c r="DD240">
        <v>0</v>
      </c>
      <c r="DE240">
        <v>0</v>
      </c>
      <c r="DF240">
        <v>0</v>
      </c>
      <c r="DG240">
        <v>-35.3631166</v>
      </c>
      <c r="DH240">
        <v>149.1639735</v>
      </c>
      <c r="DI240" t="s">
        <v>360</v>
      </c>
      <c r="DJ240">
        <v>1.2</v>
      </c>
      <c r="DK240">
        <v>2</v>
      </c>
      <c r="DL240">
        <v>159.8</v>
      </c>
      <c r="DM240">
        <v>0</v>
      </c>
      <c r="DN240">
        <v>6</v>
      </c>
      <c r="DO240">
        <v>10</v>
      </c>
      <c r="DP240">
        <v>0</v>
      </c>
      <c r="DQ240">
        <v>255</v>
      </c>
      <c r="DR240">
        <v>255</v>
      </c>
      <c r="DS240">
        <v>255</v>
      </c>
      <c r="DT240">
        <v>255</v>
      </c>
      <c r="DU240">
        <v>255</v>
      </c>
      <c r="DV240">
        <v>255</v>
      </c>
      <c r="DW240">
        <v>255</v>
      </c>
      <c r="DX240" t="s">
        <v>206</v>
      </c>
      <c r="DY240" t="s">
        <v>206</v>
      </c>
      <c r="DZ240" t="s">
        <v>207</v>
      </c>
      <c r="EA240" t="s">
        <v>198</v>
      </c>
      <c r="EB240" t="s">
        <v>198</v>
      </c>
      <c r="EC240" t="s">
        <v>198</v>
      </c>
      <c r="ED240">
        <v>0</v>
      </c>
      <c r="EE240">
        <v>0</v>
      </c>
      <c r="EF240">
        <v>0</v>
      </c>
      <c r="EG240">
        <v>0</v>
      </c>
      <c r="EH240">
        <v>255</v>
      </c>
      <c r="EI240">
        <v>255</v>
      </c>
      <c r="EJ240">
        <v>255</v>
      </c>
      <c r="EK240">
        <v>255</v>
      </c>
      <c r="EL240">
        <v>255</v>
      </c>
      <c r="EM240">
        <v>255</v>
      </c>
      <c r="EN240">
        <v>255</v>
      </c>
      <c r="EO240">
        <v>255</v>
      </c>
      <c r="EP240">
        <v>255</v>
      </c>
      <c r="EQ240">
        <v>255</v>
      </c>
      <c r="ER240" t="s">
        <v>208</v>
      </c>
      <c r="ES240" t="s">
        <v>209</v>
      </c>
      <c r="ET240" t="s">
        <v>209</v>
      </c>
      <c r="EU240">
        <v>0</v>
      </c>
      <c r="EV240">
        <v>16.2</v>
      </c>
      <c r="EW240">
        <v>-114.7</v>
      </c>
      <c r="EX240">
        <v>-0.2</v>
      </c>
      <c r="EY240">
        <v>0</v>
      </c>
      <c r="EZ240">
        <v>0</v>
      </c>
      <c r="FA240">
        <v>0</v>
      </c>
      <c r="FB240" t="s">
        <v>198</v>
      </c>
      <c r="FC240" t="s">
        <v>198</v>
      </c>
      <c r="FD240" t="s">
        <v>198</v>
      </c>
      <c r="FE240" t="s">
        <v>198</v>
      </c>
      <c r="FF240" t="s">
        <v>198</v>
      </c>
      <c r="FG240" t="s">
        <v>198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 t="s">
        <v>203</v>
      </c>
      <c r="FP240" t="s">
        <v>203</v>
      </c>
      <c r="FQ240" t="s">
        <v>203</v>
      </c>
      <c r="FR240" t="s">
        <v>203</v>
      </c>
      <c r="FS240" t="s">
        <v>203</v>
      </c>
      <c r="FT240" t="s">
        <v>203</v>
      </c>
      <c r="FU240" t="s">
        <v>198</v>
      </c>
      <c r="FV240" t="s">
        <v>198</v>
      </c>
      <c r="FW240" t="s">
        <v>198</v>
      </c>
      <c r="FX240" t="s">
        <v>198</v>
      </c>
      <c r="FY240" t="s">
        <v>198</v>
      </c>
      <c r="FZ240" t="s">
        <v>198</v>
      </c>
      <c r="GA240">
        <v>31.2</v>
      </c>
      <c r="GB240">
        <v>31.2</v>
      </c>
      <c r="GC240" t="s">
        <v>203</v>
      </c>
      <c r="GD240">
        <v>0</v>
      </c>
      <c r="GE240">
        <v>504</v>
      </c>
      <c r="GF240">
        <v>0</v>
      </c>
      <c r="GG240">
        <v>0</v>
      </c>
      <c r="GH240">
        <v>0</v>
      </c>
      <c r="GI240">
        <v>1</v>
      </c>
      <c r="GJ240">
        <v>1</v>
      </c>
      <c r="GK240">
        <v>0</v>
      </c>
      <c r="GL240" t="s">
        <v>198</v>
      </c>
      <c r="GM240" t="s">
        <v>198</v>
      </c>
      <c r="GN240" t="s">
        <v>198</v>
      </c>
    </row>
    <row r="241" spans="1:196">
      <c r="A241" s="19">
        <v>46316.90667063658</v>
      </c>
      <c r="B241">
        <v>0</v>
      </c>
      <c r="C241">
        <v>0</v>
      </c>
      <c r="D241">
        <v>277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584.2</v>
      </c>
      <c r="N241">
        <v>-0.5</v>
      </c>
      <c r="O241">
        <v>0</v>
      </c>
      <c r="P241">
        <v>0</v>
      </c>
      <c r="Q241">
        <v>0</v>
      </c>
      <c r="R241">
        <v>0</v>
      </c>
      <c r="S241">
        <v>115.6</v>
      </c>
      <c r="T241" t="s">
        <v>485</v>
      </c>
      <c r="U241">
        <v>115.7</v>
      </c>
      <c r="V241">
        <v>1762727256586.8</v>
      </c>
      <c r="W241">
        <v>1</v>
      </c>
      <c r="X241" t="s">
        <v>197</v>
      </c>
      <c r="Y241">
        <v>0</v>
      </c>
      <c r="Z241">
        <v>98</v>
      </c>
      <c r="AA241">
        <v>278</v>
      </c>
      <c r="AB241" t="s">
        <v>197</v>
      </c>
      <c r="AC241" t="s">
        <v>198</v>
      </c>
      <c r="AD241" t="s">
        <v>199</v>
      </c>
      <c r="AE241">
        <v>0</v>
      </c>
      <c r="AF241">
        <v>44</v>
      </c>
      <c r="AG241">
        <v>255</v>
      </c>
      <c r="AH241">
        <v>0</v>
      </c>
      <c r="AI241">
        <v>0</v>
      </c>
      <c r="AJ241">
        <v>0</v>
      </c>
      <c r="AK241">
        <v>12.6</v>
      </c>
      <c r="AL241">
        <v>0</v>
      </c>
      <c r="AM241">
        <v>0</v>
      </c>
      <c r="AN241" t="s">
        <v>197</v>
      </c>
      <c r="AO241">
        <v>100</v>
      </c>
      <c r="AP241" t="s">
        <v>197</v>
      </c>
      <c r="AQ241" t="s">
        <v>200</v>
      </c>
      <c r="AR241">
        <v>1</v>
      </c>
      <c r="AS241">
        <v>0</v>
      </c>
      <c r="AT241" t="s">
        <v>587</v>
      </c>
      <c r="AU241" t="s">
        <v>587</v>
      </c>
      <c r="AV241" t="s">
        <v>202</v>
      </c>
      <c r="AW241" t="s">
        <v>203</v>
      </c>
      <c r="AX241" t="s">
        <v>203</v>
      </c>
      <c r="AY241" t="s">
        <v>203</v>
      </c>
      <c r="AZ241" t="s">
        <v>203</v>
      </c>
      <c r="BA241" t="s">
        <v>203</v>
      </c>
      <c r="BB241" t="s">
        <v>203</v>
      </c>
      <c r="BC241" t="s">
        <v>203</v>
      </c>
      <c r="BD241" t="s">
        <v>203</v>
      </c>
      <c r="BE241" t="s">
        <v>203</v>
      </c>
      <c r="BF241">
        <v>0</v>
      </c>
      <c r="BG241">
        <v>0.2</v>
      </c>
      <c r="BH241">
        <v>50</v>
      </c>
      <c r="BI241">
        <v>0</v>
      </c>
      <c r="BJ241" t="s">
        <v>198</v>
      </c>
      <c r="BK241" t="s">
        <v>198</v>
      </c>
      <c r="BL241" t="s">
        <v>198</v>
      </c>
      <c r="BM241" t="s">
        <v>198</v>
      </c>
      <c r="BN241" t="s">
        <v>198</v>
      </c>
      <c r="BO241" t="s">
        <v>198</v>
      </c>
      <c r="BP241" t="s">
        <v>198</v>
      </c>
      <c r="BQ241" t="s">
        <v>198</v>
      </c>
      <c r="BR241" t="s">
        <v>198</v>
      </c>
      <c r="BS241" t="s">
        <v>198</v>
      </c>
      <c r="BT241" t="s">
        <v>198</v>
      </c>
      <c r="BU241" t="s">
        <v>198</v>
      </c>
      <c r="BV241" t="s">
        <v>198</v>
      </c>
      <c r="BW241" t="s">
        <v>198</v>
      </c>
      <c r="BX241" t="s">
        <v>198</v>
      </c>
      <c r="BY241" t="s">
        <v>198</v>
      </c>
      <c r="BZ241" t="s">
        <v>198</v>
      </c>
      <c r="CA241" t="s">
        <v>198</v>
      </c>
      <c r="CB241" t="s">
        <v>204</v>
      </c>
      <c r="CC241" t="s">
        <v>204</v>
      </c>
      <c r="CD241" t="s">
        <v>204</v>
      </c>
      <c r="CE241" t="s">
        <v>204</v>
      </c>
      <c r="CF241" t="s">
        <v>204</v>
      </c>
      <c r="CG241" t="s">
        <v>204</v>
      </c>
      <c r="CH241" t="s">
        <v>204</v>
      </c>
      <c r="CI241" t="s">
        <v>204</v>
      </c>
      <c r="CJ241" t="s">
        <v>204</v>
      </c>
      <c r="CK241" t="s">
        <v>204</v>
      </c>
      <c r="CL241" t="s">
        <v>204</v>
      </c>
      <c r="CM241" t="s">
        <v>204</v>
      </c>
      <c r="CN241" t="s">
        <v>203</v>
      </c>
      <c r="CO241" t="s">
        <v>203</v>
      </c>
      <c r="CP241" t="s">
        <v>203</v>
      </c>
      <c r="CQ241" t="s">
        <v>203</v>
      </c>
      <c r="CR241" t="s">
        <v>203</v>
      </c>
      <c r="CS241" t="s">
        <v>203</v>
      </c>
      <c r="CT241" t="s">
        <v>203</v>
      </c>
      <c r="CU241" t="s">
        <v>203</v>
      </c>
      <c r="CV241">
        <v>0</v>
      </c>
      <c r="CW241">
        <v>0</v>
      </c>
      <c r="CX241" t="s">
        <v>198</v>
      </c>
      <c r="CY241" t="s">
        <v>198</v>
      </c>
      <c r="CZ241" t="s">
        <v>198</v>
      </c>
      <c r="DA241" t="s">
        <v>198</v>
      </c>
      <c r="DB241" t="s">
        <v>198</v>
      </c>
      <c r="DC241">
        <v>0</v>
      </c>
      <c r="DD241">
        <v>0</v>
      </c>
      <c r="DE241">
        <v>0</v>
      </c>
      <c r="DF241">
        <v>0</v>
      </c>
      <c r="DG241">
        <v>-35.3631166</v>
      </c>
      <c r="DH241">
        <v>149.1639735</v>
      </c>
      <c r="DI241" t="s">
        <v>360</v>
      </c>
      <c r="DJ241">
        <v>1.2</v>
      </c>
      <c r="DK241">
        <v>2</v>
      </c>
      <c r="DL241">
        <v>159.8</v>
      </c>
      <c r="DM241">
        <v>0</v>
      </c>
      <c r="DN241">
        <v>6</v>
      </c>
      <c r="DO241">
        <v>10</v>
      </c>
      <c r="DP241">
        <v>0</v>
      </c>
      <c r="DQ241">
        <v>255</v>
      </c>
      <c r="DR241">
        <v>255</v>
      </c>
      <c r="DS241">
        <v>255</v>
      </c>
      <c r="DT241">
        <v>255</v>
      </c>
      <c r="DU241">
        <v>255</v>
      </c>
      <c r="DV241">
        <v>255</v>
      </c>
      <c r="DW241">
        <v>255</v>
      </c>
      <c r="DX241" t="s">
        <v>206</v>
      </c>
      <c r="DY241" t="s">
        <v>206</v>
      </c>
      <c r="DZ241" t="s">
        <v>207</v>
      </c>
      <c r="EA241" t="s">
        <v>198</v>
      </c>
      <c r="EB241" t="s">
        <v>198</v>
      </c>
      <c r="EC241" t="s">
        <v>198</v>
      </c>
      <c r="ED241">
        <v>0</v>
      </c>
      <c r="EE241">
        <v>0</v>
      </c>
      <c r="EF241">
        <v>0</v>
      </c>
      <c r="EG241">
        <v>0</v>
      </c>
      <c r="EH241">
        <v>255</v>
      </c>
      <c r="EI241">
        <v>255</v>
      </c>
      <c r="EJ241">
        <v>255</v>
      </c>
      <c r="EK241">
        <v>255</v>
      </c>
      <c r="EL241">
        <v>255</v>
      </c>
      <c r="EM241">
        <v>255</v>
      </c>
      <c r="EN241">
        <v>255</v>
      </c>
      <c r="EO241">
        <v>255</v>
      </c>
      <c r="EP241">
        <v>255</v>
      </c>
      <c r="EQ241">
        <v>255</v>
      </c>
      <c r="ER241" t="s">
        <v>208</v>
      </c>
      <c r="ES241" t="s">
        <v>209</v>
      </c>
      <c r="ET241" t="s">
        <v>209</v>
      </c>
      <c r="EU241">
        <v>0</v>
      </c>
      <c r="EV241">
        <v>16.2</v>
      </c>
      <c r="EW241">
        <v>-114.7</v>
      </c>
      <c r="EX241">
        <v>-0.2</v>
      </c>
      <c r="EY241">
        <v>0</v>
      </c>
      <c r="EZ241">
        <v>0</v>
      </c>
      <c r="FA241">
        <v>0</v>
      </c>
      <c r="FB241" t="s">
        <v>198</v>
      </c>
      <c r="FC241" t="s">
        <v>198</v>
      </c>
      <c r="FD241" t="s">
        <v>198</v>
      </c>
      <c r="FE241" t="s">
        <v>198</v>
      </c>
      <c r="FF241" t="s">
        <v>198</v>
      </c>
      <c r="FG241" t="s">
        <v>198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 t="s">
        <v>203</v>
      </c>
      <c r="FP241" t="s">
        <v>203</v>
      </c>
      <c r="FQ241" t="s">
        <v>203</v>
      </c>
      <c r="FR241" t="s">
        <v>203</v>
      </c>
      <c r="FS241" t="s">
        <v>203</v>
      </c>
      <c r="FT241" t="s">
        <v>203</v>
      </c>
      <c r="FU241" t="s">
        <v>198</v>
      </c>
      <c r="FV241" t="s">
        <v>198</v>
      </c>
      <c r="FW241" t="s">
        <v>198</v>
      </c>
      <c r="FX241" t="s">
        <v>198</v>
      </c>
      <c r="FY241" t="s">
        <v>198</v>
      </c>
      <c r="FZ241" t="s">
        <v>198</v>
      </c>
      <c r="GA241">
        <v>31.2</v>
      </c>
      <c r="GB241">
        <v>31.2</v>
      </c>
      <c r="GC241" t="s">
        <v>203</v>
      </c>
      <c r="GD241">
        <v>0</v>
      </c>
      <c r="GE241">
        <v>504</v>
      </c>
      <c r="GF241">
        <v>0</v>
      </c>
      <c r="GG241">
        <v>0</v>
      </c>
      <c r="GH241">
        <v>0</v>
      </c>
      <c r="GI241">
        <v>1</v>
      </c>
      <c r="GJ241">
        <v>1</v>
      </c>
      <c r="GK241">
        <v>0</v>
      </c>
      <c r="GL241" t="s">
        <v>198</v>
      </c>
      <c r="GM241" t="s">
        <v>198</v>
      </c>
      <c r="GN241" t="s">
        <v>198</v>
      </c>
    </row>
    <row r="242" spans="1:196">
      <c r="A242" s="19">
        <v>46316.90668221065</v>
      </c>
      <c r="B242">
        <v>0</v>
      </c>
      <c r="C242">
        <v>0</v>
      </c>
      <c r="D242">
        <v>277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584.2</v>
      </c>
      <c r="N242">
        <v>-0.5</v>
      </c>
      <c r="O242">
        <v>0</v>
      </c>
      <c r="P242">
        <v>0</v>
      </c>
      <c r="Q242">
        <v>0</v>
      </c>
      <c r="R242">
        <v>0</v>
      </c>
      <c r="S242">
        <v>115.6</v>
      </c>
      <c r="T242" t="s">
        <v>485</v>
      </c>
      <c r="U242">
        <v>115.7</v>
      </c>
      <c r="V242">
        <v>1762727256586.8</v>
      </c>
      <c r="W242">
        <v>1</v>
      </c>
      <c r="X242" t="s">
        <v>197</v>
      </c>
      <c r="Y242">
        <v>0</v>
      </c>
      <c r="Z242">
        <v>98</v>
      </c>
      <c r="AA242">
        <v>278</v>
      </c>
      <c r="AB242" t="s">
        <v>197</v>
      </c>
      <c r="AC242" t="s">
        <v>198</v>
      </c>
      <c r="AD242" t="s">
        <v>199</v>
      </c>
      <c r="AE242">
        <v>0</v>
      </c>
      <c r="AF242">
        <v>44</v>
      </c>
      <c r="AG242">
        <v>255</v>
      </c>
      <c r="AH242">
        <v>0</v>
      </c>
      <c r="AI242">
        <v>0</v>
      </c>
      <c r="AJ242">
        <v>0</v>
      </c>
      <c r="AK242">
        <v>12.6</v>
      </c>
      <c r="AL242">
        <v>0</v>
      </c>
      <c r="AM242">
        <v>0</v>
      </c>
      <c r="AN242" t="s">
        <v>197</v>
      </c>
      <c r="AO242">
        <v>100</v>
      </c>
      <c r="AP242" t="s">
        <v>197</v>
      </c>
      <c r="AQ242" t="s">
        <v>200</v>
      </c>
      <c r="AR242">
        <v>1</v>
      </c>
      <c r="AS242">
        <v>0</v>
      </c>
      <c r="AT242" t="s">
        <v>588</v>
      </c>
      <c r="AU242" t="s">
        <v>588</v>
      </c>
      <c r="AV242" t="s">
        <v>202</v>
      </c>
      <c r="AW242" t="s">
        <v>203</v>
      </c>
      <c r="AX242" t="s">
        <v>203</v>
      </c>
      <c r="AY242" t="s">
        <v>203</v>
      </c>
      <c r="AZ242" t="s">
        <v>203</v>
      </c>
      <c r="BA242" t="s">
        <v>203</v>
      </c>
      <c r="BB242" t="s">
        <v>203</v>
      </c>
      <c r="BC242" t="s">
        <v>203</v>
      </c>
      <c r="BD242" t="s">
        <v>203</v>
      </c>
      <c r="BE242" t="s">
        <v>203</v>
      </c>
      <c r="BF242">
        <v>0</v>
      </c>
      <c r="BG242">
        <v>0.2</v>
      </c>
      <c r="BH242">
        <v>50</v>
      </c>
      <c r="BI242">
        <v>0</v>
      </c>
      <c r="BJ242" t="s">
        <v>198</v>
      </c>
      <c r="BK242" t="s">
        <v>198</v>
      </c>
      <c r="BL242" t="s">
        <v>198</v>
      </c>
      <c r="BM242" t="s">
        <v>198</v>
      </c>
      <c r="BN242" t="s">
        <v>198</v>
      </c>
      <c r="BO242" t="s">
        <v>198</v>
      </c>
      <c r="BP242" t="s">
        <v>198</v>
      </c>
      <c r="BQ242" t="s">
        <v>198</v>
      </c>
      <c r="BR242" t="s">
        <v>198</v>
      </c>
      <c r="BS242" t="s">
        <v>198</v>
      </c>
      <c r="BT242" t="s">
        <v>198</v>
      </c>
      <c r="BU242" t="s">
        <v>198</v>
      </c>
      <c r="BV242" t="s">
        <v>198</v>
      </c>
      <c r="BW242" t="s">
        <v>198</v>
      </c>
      <c r="BX242" t="s">
        <v>198</v>
      </c>
      <c r="BY242" t="s">
        <v>198</v>
      </c>
      <c r="BZ242" t="s">
        <v>198</v>
      </c>
      <c r="CA242" t="s">
        <v>198</v>
      </c>
      <c r="CB242" t="s">
        <v>204</v>
      </c>
      <c r="CC242" t="s">
        <v>204</v>
      </c>
      <c r="CD242" t="s">
        <v>204</v>
      </c>
      <c r="CE242" t="s">
        <v>204</v>
      </c>
      <c r="CF242" t="s">
        <v>204</v>
      </c>
      <c r="CG242" t="s">
        <v>204</v>
      </c>
      <c r="CH242" t="s">
        <v>204</v>
      </c>
      <c r="CI242" t="s">
        <v>204</v>
      </c>
      <c r="CJ242" t="s">
        <v>204</v>
      </c>
      <c r="CK242" t="s">
        <v>204</v>
      </c>
      <c r="CL242" t="s">
        <v>204</v>
      </c>
      <c r="CM242" t="s">
        <v>204</v>
      </c>
      <c r="CN242" t="s">
        <v>203</v>
      </c>
      <c r="CO242" t="s">
        <v>203</v>
      </c>
      <c r="CP242" t="s">
        <v>203</v>
      </c>
      <c r="CQ242" t="s">
        <v>203</v>
      </c>
      <c r="CR242" t="s">
        <v>203</v>
      </c>
      <c r="CS242" t="s">
        <v>203</v>
      </c>
      <c r="CT242" t="s">
        <v>203</v>
      </c>
      <c r="CU242" t="s">
        <v>203</v>
      </c>
      <c r="CV242">
        <v>0</v>
      </c>
      <c r="CW242">
        <v>0</v>
      </c>
      <c r="CX242" t="s">
        <v>198</v>
      </c>
      <c r="CY242" t="s">
        <v>198</v>
      </c>
      <c r="CZ242" t="s">
        <v>198</v>
      </c>
      <c r="DA242" t="s">
        <v>198</v>
      </c>
      <c r="DB242" t="s">
        <v>198</v>
      </c>
      <c r="DC242">
        <v>0</v>
      </c>
      <c r="DD242">
        <v>0</v>
      </c>
      <c r="DE242">
        <v>0</v>
      </c>
      <c r="DF242">
        <v>0</v>
      </c>
      <c r="DG242">
        <v>-35.3631166</v>
      </c>
      <c r="DH242">
        <v>149.1639735</v>
      </c>
      <c r="DI242" t="s">
        <v>360</v>
      </c>
      <c r="DJ242">
        <v>1.2</v>
      </c>
      <c r="DK242">
        <v>2</v>
      </c>
      <c r="DL242">
        <v>159.8</v>
      </c>
      <c r="DM242">
        <v>0</v>
      </c>
      <c r="DN242">
        <v>6</v>
      </c>
      <c r="DO242">
        <v>10</v>
      </c>
      <c r="DP242">
        <v>0</v>
      </c>
      <c r="DQ242">
        <v>255</v>
      </c>
      <c r="DR242">
        <v>255</v>
      </c>
      <c r="DS242">
        <v>255</v>
      </c>
      <c r="DT242">
        <v>255</v>
      </c>
      <c r="DU242">
        <v>255</v>
      </c>
      <c r="DV242">
        <v>255</v>
      </c>
      <c r="DW242">
        <v>255</v>
      </c>
      <c r="DX242" t="s">
        <v>206</v>
      </c>
      <c r="DY242" t="s">
        <v>206</v>
      </c>
      <c r="DZ242" t="s">
        <v>207</v>
      </c>
      <c r="EA242" t="s">
        <v>198</v>
      </c>
      <c r="EB242" t="s">
        <v>198</v>
      </c>
      <c r="EC242" t="s">
        <v>198</v>
      </c>
      <c r="ED242">
        <v>0</v>
      </c>
      <c r="EE242">
        <v>0</v>
      </c>
      <c r="EF242">
        <v>0</v>
      </c>
      <c r="EG242">
        <v>0</v>
      </c>
      <c r="EH242">
        <v>255</v>
      </c>
      <c r="EI242">
        <v>255</v>
      </c>
      <c r="EJ242">
        <v>255</v>
      </c>
      <c r="EK242">
        <v>255</v>
      </c>
      <c r="EL242">
        <v>255</v>
      </c>
      <c r="EM242">
        <v>255</v>
      </c>
      <c r="EN242">
        <v>255</v>
      </c>
      <c r="EO242">
        <v>255</v>
      </c>
      <c r="EP242">
        <v>255</v>
      </c>
      <c r="EQ242">
        <v>255</v>
      </c>
      <c r="ER242" t="s">
        <v>208</v>
      </c>
      <c r="ES242" t="s">
        <v>209</v>
      </c>
      <c r="ET242" t="s">
        <v>209</v>
      </c>
      <c r="EU242">
        <v>0</v>
      </c>
      <c r="EV242">
        <v>16.2</v>
      </c>
      <c r="EW242">
        <v>-114.7</v>
      </c>
      <c r="EX242">
        <v>-0.2</v>
      </c>
      <c r="EY242">
        <v>0</v>
      </c>
      <c r="EZ242">
        <v>0</v>
      </c>
      <c r="FA242">
        <v>0</v>
      </c>
      <c r="FB242" t="s">
        <v>198</v>
      </c>
      <c r="FC242" t="s">
        <v>198</v>
      </c>
      <c r="FD242" t="s">
        <v>198</v>
      </c>
      <c r="FE242" t="s">
        <v>198</v>
      </c>
      <c r="FF242" t="s">
        <v>198</v>
      </c>
      <c r="FG242" t="s">
        <v>198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203</v>
      </c>
      <c r="FP242" t="s">
        <v>203</v>
      </c>
      <c r="FQ242" t="s">
        <v>203</v>
      </c>
      <c r="FR242" t="s">
        <v>203</v>
      </c>
      <c r="FS242" t="s">
        <v>203</v>
      </c>
      <c r="FT242" t="s">
        <v>203</v>
      </c>
      <c r="FU242" t="s">
        <v>198</v>
      </c>
      <c r="FV242" t="s">
        <v>198</v>
      </c>
      <c r="FW242" t="s">
        <v>198</v>
      </c>
      <c r="FX242" t="s">
        <v>198</v>
      </c>
      <c r="FY242" t="s">
        <v>198</v>
      </c>
      <c r="FZ242" t="s">
        <v>198</v>
      </c>
      <c r="GA242">
        <v>31.2</v>
      </c>
      <c r="GB242">
        <v>31.2</v>
      </c>
      <c r="GC242" t="s">
        <v>203</v>
      </c>
      <c r="GD242">
        <v>0</v>
      </c>
      <c r="GE242">
        <v>504</v>
      </c>
      <c r="GF242">
        <v>0</v>
      </c>
      <c r="GG242">
        <v>0</v>
      </c>
      <c r="GH242">
        <v>0</v>
      </c>
      <c r="GI242">
        <v>1</v>
      </c>
      <c r="GJ242">
        <v>1</v>
      </c>
      <c r="GK242">
        <v>0</v>
      </c>
      <c r="GL242" t="s">
        <v>198</v>
      </c>
      <c r="GM242" t="s">
        <v>198</v>
      </c>
      <c r="GN242" t="s">
        <v>198</v>
      </c>
    </row>
    <row r="243" spans="1:196">
      <c r="A243" s="19">
        <v>46316.90669378472</v>
      </c>
      <c r="B243">
        <v>0</v>
      </c>
      <c r="C243">
        <v>0</v>
      </c>
      <c r="D243">
        <v>277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584.2</v>
      </c>
      <c r="N243">
        <v>-0.5</v>
      </c>
      <c r="O243">
        <v>0</v>
      </c>
      <c r="P243">
        <v>0</v>
      </c>
      <c r="Q243">
        <v>0</v>
      </c>
      <c r="R243">
        <v>0</v>
      </c>
      <c r="S243">
        <v>115.6</v>
      </c>
      <c r="T243" t="s">
        <v>485</v>
      </c>
      <c r="U243">
        <v>115.7</v>
      </c>
      <c r="V243">
        <v>1762727256586.8</v>
      </c>
      <c r="W243">
        <v>1</v>
      </c>
      <c r="X243" t="s">
        <v>197</v>
      </c>
      <c r="Y243">
        <v>0</v>
      </c>
      <c r="Z243">
        <v>98</v>
      </c>
      <c r="AA243">
        <v>278</v>
      </c>
      <c r="AB243" t="s">
        <v>197</v>
      </c>
      <c r="AC243" t="s">
        <v>198</v>
      </c>
      <c r="AD243" t="s">
        <v>199</v>
      </c>
      <c r="AE243">
        <v>0</v>
      </c>
      <c r="AF243">
        <v>44</v>
      </c>
      <c r="AG243">
        <v>255</v>
      </c>
      <c r="AH243">
        <v>0</v>
      </c>
      <c r="AI243">
        <v>0</v>
      </c>
      <c r="AJ243">
        <v>0</v>
      </c>
      <c r="AK243">
        <v>12.6</v>
      </c>
      <c r="AL243">
        <v>0</v>
      </c>
      <c r="AM243">
        <v>0</v>
      </c>
      <c r="AN243" t="s">
        <v>197</v>
      </c>
      <c r="AO243">
        <v>100</v>
      </c>
      <c r="AP243" t="s">
        <v>197</v>
      </c>
      <c r="AQ243" t="s">
        <v>200</v>
      </c>
      <c r="AR243">
        <v>1</v>
      </c>
      <c r="AS243">
        <v>0</v>
      </c>
      <c r="AT243" t="s">
        <v>589</v>
      </c>
      <c r="AU243" t="s">
        <v>589</v>
      </c>
      <c r="AV243" t="s">
        <v>202</v>
      </c>
      <c r="AW243" t="s">
        <v>203</v>
      </c>
      <c r="AX243" t="s">
        <v>203</v>
      </c>
      <c r="AY243" t="s">
        <v>203</v>
      </c>
      <c r="AZ243" t="s">
        <v>203</v>
      </c>
      <c r="BA243" t="s">
        <v>203</v>
      </c>
      <c r="BB243" t="s">
        <v>203</v>
      </c>
      <c r="BC243" t="s">
        <v>203</v>
      </c>
      <c r="BD243" t="s">
        <v>203</v>
      </c>
      <c r="BE243" t="s">
        <v>203</v>
      </c>
      <c r="BF243">
        <v>0</v>
      </c>
      <c r="BG243">
        <v>0.2</v>
      </c>
      <c r="BH243">
        <v>50</v>
      </c>
      <c r="BI243">
        <v>0</v>
      </c>
      <c r="BJ243" t="s">
        <v>198</v>
      </c>
      <c r="BK243" t="s">
        <v>198</v>
      </c>
      <c r="BL243" t="s">
        <v>198</v>
      </c>
      <c r="BM243" t="s">
        <v>198</v>
      </c>
      <c r="BN243" t="s">
        <v>198</v>
      </c>
      <c r="BO243" t="s">
        <v>198</v>
      </c>
      <c r="BP243" t="s">
        <v>198</v>
      </c>
      <c r="BQ243" t="s">
        <v>198</v>
      </c>
      <c r="BR243" t="s">
        <v>198</v>
      </c>
      <c r="BS243" t="s">
        <v>198</v>
      </c>
      <c r="BT243" t="s">
        <v>198</v>
      </c>
      <c r="BU243" t="s">
        <v>198</v>
      </c>
      <c r="BV243" t="s">
        <v>198</v>
      </c>
      <c r="BW243" t="s">
        <v>198</v>
      </c>
      <c r="BX243" t="s">
        <v>198</v>
      </c>
      <c r="BY243" t="s">
        <v>198</v>
      </c>
      <c r="BZ243" t="s">
        <v>198</v>
      </c>
      <c r="CA243" t="s">
        <v>198</v>
      </c>
      <c r="CB243" t="s">
        <v>204</v>
      </c>
      <c r="CC243" t="s">
        <v>204</v>
      </c>
      <c r="CD243" t="s">
        <v>204</v>
      </c>
      <c r="CE243" t="s">
        <v>204</v>
      </c>
      <c r="CF243" t="s">
        <v>204</v>
      </c>
      <c r="CG243" t="s">
        <v>204</v>
      </c>
      <c r="CH243" t="s">
        <v>204</v>
      </c>
      <c r="CI243" t="s">
        <v>204</v>
      </c>
      <c r="CJ243" t="s">
        <v>204</v>
      </c>
      <c r="CK243" t="s">
        <v>204</v>
      </c>
      <c r="CL243" t="s">
        <v>204</v>
      </c>
      <c r="CM243" t="s">
        <v>204</v>
      </c>
      <c r="CN243" t="s">
        <v>203</v>
      </c>
      <c r="CO243" t="s">
        <v>203</v>
      </c>
      <c r="CP243" t="s">
        <v>203</v>
      </c>
      <c r="CQ243" t="s">
        <v>203</v>
      </c>
      <c r="CR243" t="s">
        <v>203</v>
      </c>
      <c r="CS243" t="s">
        <v>203</v>
      </c>
      <c r="CT243" t="s">
        <v>203</v>
      </c>
      <c r="CU243" t="s">
        <v>203</v>
      </c>
      <c r="CV243">
        <v>0</v>
      </c>
      <c r="CW243">
        <v>0</v>
      </c>
      <c r="CX243" t="s">
        <v>198</v>
      </c>
      <c r="CY243" t="s">
        <v>198</v>
      </c>
      <c r="CZ243" t="s">
        <v>198</v>
      </c>
      <c r="DA243" t="s">
        <v>198</v>
      </c>
      <c r="DB243" t="s">
        <v>198</v>
      </c>
      <c r="DC243">
        <v>0</v>
      </c>
      <c r="DD243">
        <v>0</v>
      </c>
      <c r="DE243">
        <v>0</v>
      </c>
      <c r="DF243">
        <v>0</v>
      </c>
      <c r="DG243">
        <v>-35.3631166</v>
      </c>
      <c r="DH243">
        <v>149.1639735</v>
      </c>
      <c r="DI243" t="s">
        <v>360</v>
      </c>
      <c r="DJ243">
        <v>1.2</v>
      </c>
      <c r="DK243">
        <v>2</v>
      </c>
      <c r="DL243">
        <v>159.8</v>
      </c>
      <c r="DM243">
        <v>0</v>
      </c>
      <c r="DN243">
        <v>6</v>
      </c>
      <c r="DO243">
        <v>10</v>
      </c>
      <c r="DP243">
        <v>0</v>
      </c>
      <c r="DQ243">
        <v>255</v>
      </c>
      <c r="DR243">
        <v>255</v>
      </c>
      <c r="DS243">
        <v>255</v>
      </c>
      <c r="DT243">
        <v>255</v>
      </c>
      <c r="DU243">
        <v>255</v>
      </c>
      <c r="DV243">
        <v>255</v>
      </c>
      <c r="DW243">
        <v>255</v>
      </c>
      <c r="DX243" t="s">
        <v>206</v>
      </c>
      <c r="DY243" t="s">
        <v>206</v>
      </c>
      <c r="DZ243" t="s">
        <v>207</v>
      </c>
      <c r="EA243" t="s">
        <v>198</v>
      </c>
      <c r="EB243" t="s">
        <v>198</v>
      </c>
      <c r="EC243" t="s">
        <v>198</v>
      </c>
      <c r="ED243">
        <v>0</v>
      </c>
      <c r="EE243">
        <v>0</v>
      </c>
      <c r="EF243">
        <v>0</v>
      </c>
      <c r="EG243">
        <v>0</v>
      </c>
      <c r="EH243">
        <v>255</v>
      </c>
      <c r="EI243">
        <v>255</v>
      </c>
      <c r="EJ243">
        <v>255</v>
      </c>
      <c r="EK243">
        <v>255</v>
      </c>
      <c r="EL243">
        <v>255</v>
      </c>
      <c r="EM243">
        <v>255</v>
      </c>
      <c r="EN243">
        <v>255</v>
      </c>
      <c r="EO243">
        <v>255</v>
      </c>
      <c r="EP243">
        <v>255</v>
      </c>
      <c r="EQ243">
        <v>255</v>
      </c>
      <c r="ER243" t="s">
        <v>208</v>
      </c>
      <c r="ES243" t="s">
        <v>209</v>
      </c>
      <c r="ET243" t="s">
        <v>209</v>
      </c>
      <c r="EU243">
        <v>0</v>
      </c>
      <c r="EV243">
        <v>16.2</v>
      </c>
      <c r="EW243">
        <v>-114.7</v>
      </c>
      <c r="EX243">
        <v>-0.2</v>
      </c>
      <c r="EY243">
        <v>0</v>
      </c>
      <c r="EZ243">
        <v>0</v>
      </c>
      <c r="FA243">
        <v>0</v>
      </c>
      <c r="FB243" t="s">
        <v>198</v>
      </c>
      <c r="FC243" t="s">
        <v>198</v>
      </c>
      <c r="FD243" t="s">
        <v>198</v>
      </c>
      <c r="FE243" t="s">
        <v>198</v>
      </c>
      <c r="FF243" t="s">
        <v>198</v>
      </c>
      <c r="FG243" t="s">
        <v>198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 t="s">
        <v>203</v>
      </c>
      <c r="FP243" t="s">
        <v>203</v>
      </c>
      <c r="FQ243" t="s">
        <v>203</v>
      </c>
      <c r="FR243" t="s">
        <v>203</v>
      </c>
      <c r="FS243" t="s">
        <v>203</v>
      </c>
      <c r="FT243" t="s">
        <v>203</v>
      </c>
      <c r="FU243" t="s">
        <v>198</v>
      </c>
      <c r="FV243" t="s">
        <v>198</v>
      </c>
      <c r="FW243" t="s">
        <v>198</v>
      </c>
      <c r="FX243" t="s">
        <v>198</v>
      </c>
      <c r="FY243" t="s">
        <v>198</v>
      </c>
      <c r="FZ243" t="s">
        <v>198</v>
      </c>
      <c r="GA243">
        <v>31.2</v>
      </c>
      <c r="GB243">
        <v>31.2</v>
      </c>
      <c r="GC243" t="s">
        <v>203</v>
      </c>
      <c r="GD243">
        <v>0</v>
      </c>
      <c r="GE243">
        <v>504</v>
      </c>
      <c r="GF243">
        <v>0</v>
      </c>
      <c r="GG243">
        <v>0</v>
      </c>
      <c r="GH243">
        <v>0</v>
      </c>
      <c r="GI243">
        <v>1</v>
      </c>
      <c r="GJ243">
        <v>1</v>
      </c>
      <c r="GK243">
        <v>0</v>
      </c>
      <c r="GL243" t="s">
        <v>198</v>
      </c>
      <c r="GM243" t="s">
        <v>198</v>
      </c>
      <c r="GN243" t="s">
        <v>198</v>
      </c>
    </row>
    <row r="244" spans="1:196">
      <c r="A244" s="19">
        <v>46316.90670535879</v>
      </c>
      <c r="B244">
        <v>0</v>
      </c>
      <c r="C244">
        <v>0</v>
      </c>
      <c r="D244">
        <v>277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584.2</v>
      </c>
      <c r="N244">
        <v>-0.5</v>
      </c>
      <c r="O244">
        <v>0</v>
      </c>
      <c r="P244">
        <v>0</v>
      </c>
      <c r="Q244">
        <v>0</v>
      </c>
      <c r="R244">
        <v>0</v>
      </c>
      <c r="S244">
        <v>115.6</v>
      </c>
      <c r="T244" t="s">
        <v>485</v>
      </c>
      <c r="U244">
        <v>115.7</v>
      </c>
      <c r="V244">
        <v>1762727256586.8</v>
      </c>
      <c r="W244">
        <v>1</v>
      </c>
      <c r="X244" t="s">
        <v>197</v>
      </c>
      <c r="Y244">
        <v>0</v>
      </c>
      <c r="Z244">
        <v>98</v>
      </c>
      <c r="AA244">
        <v>278</v>
      </c>
      <c r="AB244" t="s">
        <v>197</v>
      </c>
      <c r="AC244" t="s">
        <v>198</v>
      </c>
      <c r="AD244" t="s">
        <v>199</v>
      </c>
      <c r="AE244">
        <v>0</v>
      </c>
      <c r="AF244">
        <v>44</v>
      </c>
      <c r="AG244">
        <v>255</v>
      </c>
      <c r="AH244">
        <v>0</v>
      </c>
      <c r="AI244">
        <v>0</v>
      </c>
      <c r="AJ244">
        <v>0</v>
      </c>
      <c r="AK244">
        <v>12.6</v>
      </c>
      <c r="AL244">
        <v>0</v>
      </c>
      <c r="AM244">
        <v>0</v>
      </c>
      <c r="AN244" t="s">
        <v>197</v>
      </c>
      <c r="AO244">
        <v>100</v>
      </c>
      <c r="AP244" t="s">
        <v>197</v>
      </c>
      <c r="AQ244" t="s">
        <v>200</v>
      </c>
      <c r="AR244">
        <v>1</v>
      </c>
      <c r="AS244">
        <v>0</v>
      </c>
      <c r="AT244" t="s">
        <v>590</v>
      </c>
      <c r="AU244" t="s">
        <v>590</v>
      </c>
      <c r="AV244" t="s">
        <v>202</v>
      </c>
      <c r="AW244" t="s">
        <v>203</v>
      </c>
      <c r="AX244" t="s">
        <v>203</v>
      </c>
      <c r="AY244" t="s">
        <v>203</v>
      </c>
      <c r="AZ244" t="s">
        <v>203</v>
      </c>
      <c r="BA244" t="s">
        <v>203</v>
      </c>
      <c r="BB244" t="s">
        <v>203</v>
      </c>
      <c r="BC244" t="s">
        <v>203</v>
      </c>
      <c r="BD244" t="s">
        <v>203</v>
      </c>
      <c r="BE244" t="s">
        <v>203</v>
      </c>
      <c r="BF244">
        <v>0</v>
      </c>
      <c r="BG244">
        <v>0.2</v>
      </c>
      <c r="BH244">
        <v>50</v>
      </c>
      <c r="BI244">
        <v>0</v>
      </c>
      <c r="BJ244" t="s">
        <v>198</v>
      </c>
      <c r="BK244" t="s">
        <v>198</v>
      </c>
      <c r="BL244" t="s">
        <v>198</v>
      </c>
      <c r="BM244" t="s">
        <v>198</v>
      </c>
      <c r="BN244" t="s">
        <v>198</v>
      </c>
      <c r="BO244" t="s">
        <v>198</v>
      </c>
      <c r="BP244" t="s">
        <v>198</v>
      </c>
      <c r="BQ244" t="s">
        <v>198</v>
      </c>
      <c r="BR244" t="s">
        <v>198</v>
      </c>
      <c r="BS244" t="s">
        <v>198</v>
      </c>
      <c r="BT244" t="s">
        <v>198</v>
      </c>
      <c r="BU244" t="s">
        <v>198</v>
      </c>
      <c r="BV244" t="s">
        <v>198</v>
      </c>
      <c r="BW244" t="s">
        <v>198</v>
      </c>
      <c r="BX244" t="s">
        <v>198</v>
      </c>
      <c r="BY244" t="s">
        <v>198</v>
      </c>
      <c r="BZ244" t="s">
        <v>198</v>
      </c>
      <c r="CA244" t="s">
        <v>198</v>
      </c>
      <c r="CB244" t="s">
        <v>204</v>
      </c>
      <c r="CC244" t="s">
        <v>204</v>
      </c>
      <c r="CD244" t="s">
        <v>204</v>
      </c>
      <c r="CE244" t="s">
        <v>204</v>
      </c>
      <c r="CF244" t="s">
        <v>204</v>
      </c>
      <c r="CG244" t="s">
        <v>204</v>
      </c>
      <c r="CH244" t="s">
        <v>204</v>
      </c>
      <c r="CI244" t="s">
        <v>204</v>
      </c>
      <c r="CJ244" t="s">
        <v>204</v>
      </c>
      <c r="CK244" t="s">
        <v>204</v>
      </c>
      <c r="CL244" t="s">
        <v>204</v>
      </c>
      <c r="CM244" t="s">
        <v>204</v>
      </c>
      <c r="CN244" t="s">
        <v>203</v>
      </c>
      <c r="CO244" t="s">
        <v>203</v>
      </c>
      <c r="CP244" t="s">
        <v>203</v>
      </c>
      <c r="CQ244" t="s">
        <v>203</v>
      </c>
      <c r="CR244" t="s">
        <v>203</v>
      </c>
      <c r="CS244" t="s">
        <v>203</v>
      </c>
      <c r="CT244" t="s">
        <v>203</v>
      </c>
      <c r="CU244" t="s">
        <v>203</v>
      </c>
      <c r="CV244">
        <v>0</v>
      </c>
      <c r="CW244">
        <v>0</v>
      </c>
      <c r="CX244" t="s">
        <v>198</v>
      </c>
      <c r="CY244" t="s">
        <v>198</v>
      </c>
      <c r="CZ244" t="s">
        <v>198</v>
      </c>
      <c r="DA244" t="s">
        <v>198</v>
      </c>
      <c r="DB244" t="s">
        <v>198</v>
      </c>
      <c r="DC244">
        <v>0</v>
      </c>
      <c r="DD244">
        <v>0</v>
      </c>
      <c r="DE244">
        <v>0</v>
      </c>
      <c r="DF244">
        <v>0</v>
      </c>
      <c r="DG244">
        <v>-35.3631166</v>
      </c>
      <c r="DH244">
        <v>149.1639735</v>
      </c>
      <c r="DI244" t="s">
        <v>360</v>
      </c>
      <c r="DJ244">
        <v>1.2</v>
      </c>
      <c r="DK244">
        <v>2</v>
      </c>
      <c r="DL244">
        <v>159.8</v>
      </c>
      <c r="DM244">
        <v>0</v>
      </c>
      <c r="DN244">
        <v>6</v>
      </c>
      <c r="DO244">
        <v>10</v>
      </c>
      <c r="DP244">
        <v>0</v>
      </c>
      <c r="DQ244">
        <v>255</v>
      </c>
      <c r="DR244">
        <v>255</v>
      </c>
      <c r="DS244">
        <v>255</v>
      </c>
      <c r="DT244">
        <v>255</v>
      </c>
      <c r="DU244">
        <v>255</v>
      </c>
      <c r="DV244">
        <v>255</v>
      </c>
      <c r="DW244">
        <v>255</v>
      </c>
      <c r="DX244" t="s">
        <v>206</v>
      </c>
      <c r="DY244" t="s">
        <v>206</v>
      </c>
      <c r="DZ244" t="s">
        <v>207</v>
      </c>
      <c r="EA244" t="s">
        <v>198</v>
      </c>
      <c r="EB244" t="s">
        <v>198</v>
      </c>
      <c r="EC244" t="s">
        <v>198</v>
      </c>
      <c r="ED244">
        <v>0</v>
      </c>
      <c r="EE244">
        <v>0</v>
      </c>
      <c r="EF244">
        <v>0</v>
      </c>
      <c r="EG244">
        <v>0</v>
      </c>
      <c r="EH244">
        <v>255</v>
      </c>
      <c r="EI244">
        <v>255</v>
      </c>
      <c r="EJ244">
        <v>255</v>
      </c>
      <c r="EK244">
        <v>255</v>
      </c>
      <c r="EL244">
        <v>255</v>
      </c>
      <c r="EM244">
        <v>255</v>
      </c>
      <c r="EN244">
        <v>255</v>
      </c>
      <c r="EO244">
        <v>255</v>
      </c>
      <c r="EP244">
        <v>255</v>
      </c>
      <c r="EQ244">
        <v>255</v>
      </c>
      <c r="ER244" t="s">
        <v>208</v>
      </c>
      <c r="ES244" t="s">
        <v>209</v>
      </c>
      <c r="ET244" t="s">
        <v>209</v>
      </c>
      <c r="EU244">
        <v>0</v>
      </c>
      <c r="EV244">
        <v>16.2</v>
      </c>
      <c r="EW244">
        <v>-114.7</v>
      </c>
      <c r="EX244">
        <v>-0.2</v>
      </c>
      <c r="EY244">
        <v>0</v>
      </c>
      <c r="EZ244">
        <v>0</v>
      </c>
      <c r="FA244">
        <v>0</v>
      </c>
      <c r="FB244" t="s">
        <v>198</v>
      </c>
      <c r="FC244" t="s">
        <v>198</v>
      </c>
      <c r="FD244" t="s">
        <v>198</v>
      </c>
      <c r="FE244" t="s">
        <v>198</v>
      </c>
      <c r="FF244" t="s">
        <v>198</v>
      </c>
      <c r="FG244" t="s">
        <v>198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 t="s">
        <v>203</v>
      </c>
      <c r="FP244" t="s">
        <v>203</v>
      </c>
      <c r="FQ244" t="s">
        <v>203</v>
      </c>
      <c r="FR244" t="s">
        <v>203</v>
      </c>
      <c r="FS244" t="s">
        <v>203</v>
      </c>
      <c r="FT244" t="s">
        <v>203</v>
      </c>
      <c r="FU244" t="s">
        <v>198</v>
      </c>
      <c r="FV244" t="s">
        <v>198</v>
      </c>
      <c r="FW244" t="s">
        <v>198</v>
      </c>
      <c r="FX244" t="s">
        <v>198</v>
      </c>
      <c r="FY244" t="s">
        <v>198</v>
      </c>
      <c r="FZ244" t="s">
        <v>198</v>
      </c>
      <c r="GA244">
        <v>31.2</v>
      </c>
      <c r="GB244">
        <v>31.2</v>
      </c>
      <c r="GC244" t="s">
        <v>203</v>
      </c>
      <c r="GD244">
        <v>0</v>
      </c>
      <c r="GE244">
        <v>504</v>
      </c>
      <c r="GF244">
        <v>0</v>
      </c>
      <c r="GG244">
        <v>0</v>
      </c>
      <c r="GH244">
        <v>0</v>
      </c>
      <c r="GI244">
        <v>1</v>
      </c>
      <c r="GJ244">
        <v>1</v>
      </c>
      <c r="GK244">
        <v>0</v>
      </c>
      <c r="GL244" t="s">
        <v>198</v>
      </c>
      <c r="GM244" t="s">
        <v>198</v>
      </c>
      <c r="GN244" t="s">
        <v>198</v>
      </c>
    </row>
    <row r="245" spans="1:196">
      <c r="A245" s="19">
        <v>46316.90671692129</v>
      </c>
      <c r="B245">
        <v>0</v>
      </c>
      <c r="C245">
        <v>0</v>
      </c>
      <c r="D245">
        <v>277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584.2</v>
      </c>
      <c r="N245">
        <v>-0.5</v>
      </c>
      <c r="O245">
        <v>0</v>
      </c>
      <c r="P245">
        <v>0</v>
      </c>
      <c r="Q245">
        <v>0</v>
      </c>
      <c r="R245">
        <v>0</v>
      </c>
      <c r="S245">
        <v>115.6</v>
      </c>
      <c r="T245" t="s">
        <v>485</v>
      </c>
      <c r="U245">
        <v>115.7</v>
      </c>
      <c r="V245">
        <v>1762727256586.8</v>
      </c>
      <c r="W245">
        <v>1</v>
      </c>
      <c r="X245" t="s">
        <v>197</v>
      </c>
      <c r="Y245">
        <v>0</v>
      </c>
      <c r="Z245">
        <v>98</v>
      </c>
      <c r="AA245">
        <v>278</v>
      </c>
      <c r="AB245" t="s">
        <v>197</v>
      </c>
      <c r="AC245" t="s">
        <v>198</v>
      </c>
      <c r="AD245" t="s">
        <v>199</v>
      </c>
      <c r="AE245">
        <v>0</v>
      </c>
      <c r="AF245">
        <v>44</v>
      </c>
      <c r="AG245">
        <v>255</v>
      </c>
      <c r="AH245">
        <v>0</v>
      </c>
      <c r="AI245">
        <v>0</v>
      </c>
      <c r="AJ245">
        <v>0</v>
      </c>
      <c r="AK245">
        <v>12.6</v>
      </c>
      <c r="AL245">
        <v>0</v>
      </c>
      <c r="AM245">
        <v>0</v>
      </c>
      <c r="AN245" t="s">
        <v>197</v>
      </c>
      <c r="AO245">
        <v>100</v>
      </c>
      <c r="AP245" t="s">
        <v>197</v>
      </c>
      <c r="AQ245" t="s">
        <v>200</v>
      </c>
      <c r="AR245">
        <v>1</v>
      </c>
      <c r="AS245">
        <v>0</v>
      </c>
      <c r="AT245" t="s">
        <v>591</v>
      </c>
      <c r="AU245" t="s">
        <v>591</v>
      </c>
      <c r="AV245" t="s">
        <v>202</v>
      </c>
      <c r="AW245" t="s">
        <v>203</v>
      </c>
      <c r="AX245" t="s">
        <v>203</v>
      </c>
      <c r="AY245" t="s">
        <v>203</v>
      </c>
      <c r="AZ245" t="s">
        <v>203</v>
      </c>
      <c r="BA245" t="s">
        <v>203</v>
      </c>
      <c r="BB245" t="s">
        <v>203</v>
      </c>
      <c r="BC245" t="s">
        <v>203</v>
      </c>
      <c r="BD245" t="s">
        <v>203</v>
      </c>
      <c r="BE245" t="s">
        <v>203</v>
      </c>
      <c r="BF245">
        <v>0</v>
      </c>
      <c r="BG245">
        <v>0.2</v>
      </c>
      <c r="BH245">
        <v>50</v>
      </c>
      <c r="BI245">
        <v>0</v>
      </c>
      <c r="BJ245" t="s">
        <v>198</v>
      </c>
      <c r="BK245" t="s">
        <v>198</v>
      </c>
      <c r="BL245" t="s">
        <v>198</v>
      </c>
      <c r="BM245" t="s">
        <v>198</v>
      </c>
      <c r="BN245" t="s">
        <v>198</v>
      </c>
      <c r="BO245" t="s">
        <v>198</v>
      </c>
      <c r="BP245" t="s">
        <v>198</v>
      </c>
      <c r="BQ245" t="s">
        <v>198</v>
      </c>
      <c r="BR245" t="s">
        <v>198</v>
      </c>
      <c r="BS245" t="s">
        <v>198</v>
      </c>
      <c r="BT245" t="s">
        <v>198</v>
      </c>
      <c r="BU245" t="s">
        <v>198</v>
      </c>
      <c r="BV245" t="s">
        <v>198</v>
      </c>
      <c r="BW245" t="s">
        <v>198</v>
      </c>
      <c r="BX245" t="s">
        <v>198</v>
      </c>
      <c r="BY245" t="s">
        <v>198</v>
      </c>
      <c r="BZ245" t="s">
        <v>198</v>
      </c>
      <c r="CA245" t="s">
        <v>198</v>
      </c>
      <c r="CB245" t="s">
        <v>204</v>
      </c>
      <c r="CC245" t="s">
        <v>204</v>
      </c>
      <c r="CD245" t="s">
        <v>204</v>
      </c>
      <c r="CE245" t="s">
        <v>204</v>
      </c>
      <c r="CF245" t="s">
        <v>204</v>
      </c>
      <c r="CG245" t="s">
        <v>204</v>
      </c>
      <c r="CH245" t="s">
        <v>204</v>
      </c>
      <c r="CI245" t="s">
        <v>204</v>
      </c>
      <c r="CJ245" t="s">
        <v>204</v>
      </c>
      <c r="CK245" t="s">
        <v>204</v>
      </c>
      <c r="CL245" t="s">
        <v>204</v>
      </c>
      <c r="CM245" t="s">
        <v>204</v>
      </c>
      <c r="CN245" t="s">
        <v>203</v>
      </c>
      <c r="CO245" t="s">
        <v>203</v>
      </c>
      <c r="CP245" t="s">
        <v>203</v>
      </c>
      <c r="CQ245" t="s">
        <v>203</v>
      </c>
      <c r="CR245" t="s">
        <v>203</v>
      </c>
      <c r="CS245" t="s">
        <v>203</v>
      </c>
      <c r="CT245" t="s">
        <v>203</v>
      </c>
      <c r="CU245" t="s">
        <v>203</v>
      </c>
      <c r="CV245">
        <v>0</v>
      </c>
      <c r="CW245">
        <v>0</v>
      </c>
      <c r="CX245" t="s">
        <v>198</v>
      </c>
      <c r="CY245" t="s">
        <v>198</v>
      </c>
      <c r="CZ245" t="s">
        <v>198</v>
      </c>
      <c r="DA245" t="s">
        <v>198</v>
      </c>
      <c r="DB245" t="s">
        <v>198</v>
      </c>
      <c r="DC245">
        <v>0</v>
      </c>
      <c r="DD245">
        <v>0</v>
      </c>
      <c r="DE245">
        <v>0</v>
      </c>
      <c r="DF245">
        <v>0</v>
      </c>
      <c r="DG245">
        <v>-35.3631166</v>
      </c>
      <c r="DH245">
        <v>149.1639735</v>
      </c>
      <c r="DI245" t="s">
        <v>360</v>
      </c>
      <c r="DJ245">
        <v>1.2</v>
      </c>
      <c r="DK245">
        <v>2</v>
      </c>
      <c r="DL245">
        <v>159.8</v>
      </c>
      <c r="DM245">
        <v>0</v>
      </c>
      <c r="DN245">
        <v>6</v>
      </c>
      <c r="DO245">
        <v>10</v>
      </c>
      <c r="DP245">
        <v>0</v>
      </c>
      <c r="DQ245">
        <v>255</v>
      </c>
      <c r="DR245">
        <v>255</v>
      </c>
      <c r="DS245">
        <v>255</v>
      </c>
      <c r="DT245">
        <v>255</v>
      </c>
      <c r="DU245">
        <v>255</v>
      </c>
      <c r="DV245">
        <v>255</v>
      </c>
      <c r="DW245">
        <v>255</v>
      </c>
      <c r="DX245" t="s">
        <v>206</v>
      </c>
      <c r="DY245" t="s">
        <v>206</v>
      </c>
      <c r="DZ245" t="s">
        <v>207</v>
      </c>
      <c r="EA245" t="s">
        <v>198</v>
      </c>
      <c r="EB245" t="s">
        <v>198</v>
      </c>
      <c r="EC245" t="s">
        <v>198</v>
      </c>
      <c r="ED245">
        <v>0</v>
      </c>
      <c r="EE245">
        <v>0</v>
      </c>
      <c r="EF245">
        <v>0</v>
      </c>
      <c r="EG245">
        <v>0</v>
      </c>
      <c r="EH245">
        <v>255</v>
      </c>
      <c r="EI245">
        <v>255</v>
      </c>
      <c r="EJ245">
        <v>255</v>
      </c>
      <c r="EK245">
        <v>255</v>
      </c>
      <c r="EL245">
        <v>255</v>
      </c>
      <c r="EM245">
        <v>255</v>
      </c>
      <c r="EN245">
        <v>255</v>
      </c>
      <c r="EO245">
        <v>255</v>
      </c>
      <c r="EP245">
        <v>255</v>
      </c>
      <c r="EQ245">
        <v>255</v>
      </c>
      <c r="ER245" t="s">
        <v>208</v>
      </c>
      <c r="ES245" t="s">
        <v>209</v>
      </c>
      <c r="ET245" t="s">
        <v>209</v>
      </c>
      <c r="EU245">
        <v>0</v>
      </c>
      <c r="EV245">
        <v>16.2</v>
      </c>
      <c r="EW245">
        <v>-114.7</v>
      </c>
      <c r="EX245">
        <v>-0.2</v>
      </c>
      <c r="EY245">
        <v>0</v>
      </c>
      <c r="EZ245">
        <v>0</v>
      </c>
      <c r="FA245">
        <v>0</v>
      </c>
      <c r="FB245" t="s">
        <v>198</v>
      </c>
      <c r="FC245" t="s">
        <v>198</v>
      </c>
      <c r="FD245" t="s">
        <v>198</v>
      </c>
      <c r="FE245" t="s">
        <v>198</v>
      </c>
      <c r="FF245" t="s">
        <v>198</v>
      </c>
      <c r="FG245" t="s">
        <v>198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 t="s">
        <v>203</v>
      </c>
      <c r="FP245" t="s">
        <v>203</v>
      </c>
      <c r="FQ245" t="s">
        <v>203</v>
      </c>
      <c r="FR245" t="s">
        <v>203</v>
      </c>
      <c r="FS245" t="s">
        <v>203</v>
      </c>
      <c r="FT245" t="s">
        <v>203</v>
      </c>
      <c r="FU245" t="s">
        <v>198</v>
      </c>
      <c r="FV245" t="s">
        <v>198</v>
      </c>
      <c r="FW245" t="s">
        <v>198</v>
      </c>
      <c r="FX245" t="s">
        <v>198</v>
      </c>
      <c r="FY245" t="s">
        <v>198</v>
      </c>
      <c r="FZ245" t="s">
        <v>198</v>
      </c>
      <c r="GA245">
        <v>31.2</v>
      </c>
      <c r="GB245">
        <v>31.2</v>
      </c>
      <c r="GC245" t="s">
        <v>203</v>
      </c>
      <c r="GD245">
        <v>0</v>
      </c>
      <c r="GE245">
        <v>504</v>
      </c>
      <c r="GF245">
        <v>0</v>
      </c>
      <c r="GG245">
        <v>0</v>
      </c>
      <c r="GH245">
        <v>0</v>
      </c>
      <c r="GI245">
        <v>1</v>
      </c>
      <c r="GJ245">
        <v>1</v>
      </c>
      <c r="GK245">
        <v>0</v>
      </c>
      <c r="GL245" t="s">
        <v>198</v>
      </c>
      <c r="GM245" t="s">
        <v>198</v>
      </c>
      <c r="GN245" t="s">
        <v>198</v>
      </c>
    </row>
    <row r="246" spans="1:196">
      <c r="A246" s="19">
        <v>46316.90672849537</v>
      </c>
      <c r="B246">
        <v>0</v>
      </c>
      <c r="C246">
        <v>0</v>
      </c>
      <c r="D246">
        <v>277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584.2</v>
      </c>
      <c r="N246">
        <v>-0.5</v>
      </c>
      <c r="O246">
        <v>0</v>
      </c>
      <c r="P246">
        <v>0</v>
      </c>
      <c r="Q246">
        <v>0</v>
      </c>
      <c r="R246">
        <v>0</v>
      </c>
      <c r="S246">
        <v>115.6</v>
      </c>
      <c r="T246" t="s">
        <v>485</v>
      </c>
      <c r="U246">
        <v>115.7</v>
      </c>
      <c r="V246">
        <v>1762727256586.8</v>
      </c>
      <c r="W246">
        <v>1</v>
      </c>
      <c r="X246" t="s">
        <v>197</v>
      </c>
      <c r="Y246">
        <v>0</v>
      </c>
      <c r="Z246">
        <v>98</v>
      </c>
      <c r="AA246">
        <v>278</v>
      </c>
      <c r="AB246" t="s">
        <v>197</v>
      </c>
      <c r="AC246" t="s">
        <v>198</v>
      </c>
      <c r="AD246" t="s">
        <v>199</v>
      </c>
      <c r="AE246">
        <v>0</v>
      </c>
      <c r="AF246">
        <v>44</v>
      </c>
      <c r="AG246">
        <v>255</v>
      </c>
      <c r="AH246">
        <v>0</v>
      </c>
      <c r="AI246">
        <v>0</v>
      </c>
      <c r="AJ246">
        <v>0</v>
      </c>
      <c r="AK246">
        <v>12.6</v>
      </c>
      <c r="AL246">
        <v>0</v>
      </c>
      <c r="AM246">
        <v>0</v>
      </c>
      <c r="AN246" t="s">
        <v>197</v>
      </c>
      <c r="AO246">
        <v>100</v>
      </c>
      <c r="AP246" t="s">
        <v>197</v>
      </c>
      <c r="AQ246" t="s">
        <v>200</v>
      </c>
      <c r="AR246">
        <v>1</v>
      </c>
      <c r="AS246">
        <v>0</v>
      </c>
      <c r="AT246" t="s">
        <v>592</v>
      </c>
      <c r="AU246" t="s">
        <v>592</v>
      </c>
      <c r="AV246" t="s">
        <v>202</v>
      </c>
      <c r="AW246" t="s">
        <v>203</v>
      </c>
      <c r="AX246" t="s">
        <v>203</v>
      </c>
      <c r="AY246" t="s">
        <v>203</v>
      </c>
      <c r="AZ246" t="s">
        <v>203</v>
      </c>
      <c r="BA246" t="s">
        <v>203</v>
      </c>
      <c r="BB246" t="s">
        <v>203</v>
      </c>
      <c r="BC246" t="s">
        <v>203</v>
      </c>
      <c r="BD246" t="s">
        <v>203</v>
      </c>
      <c r="BE246" t="s">
        <v>203</v>
      </c>
      <c r="BF246">
        <v>0</v>
      </c>
      <c r="BG246">
        <v>0.2</v>
      </c>
      <c r="BH246">
        <v>50</v>
      </c>
      <c r="BI246">
        <v>0</v>
      </c>
      <c r="BJ246" t="s">
        <v>198</v>
      </c>
      <c r="BK246" t="s">
        <v>198</v>
      </c>
      <c r="BL246" t="s">
        <v>198</v>
      </c>
      <c r="BM246" t="s">
        <v>198</v>
      </c>
      <c r="BN246" t="s">
        <v>198</v>
      </c>
      <c r="BO246" t="s">
        <v>198</v>
      </c>
      <c r="BP246" t="s">
        <v>198</v>
      </c>
      <c r="BQ246" t="s">
        <v>198</v>
      </c>
      <c r="BR246" t="s">
        <v>198</v>
      </c>
      <c r="BS246" t="s">
        <v>198</v>
      </c>
      <c r="BT246" t="s">
        <v>198</v>
      </c>
      <c r="BU246" t="s">
        <v>198</v>
      </c>
      <c r="BV246" t="s">
        <v>198</v>
      </c>
      <c r="BW246" t="s">
        <v>198</v>
      </c>
      <c r="BX246" t="s">
        <v>198</v>
      </c>
      <c r="BY246" t="s">
        <v>198</v>
      </c>
      <c r="BZ246" t="s">
        <v>198</v>
      </c>
      <c r="CA246" t="s">
        <v>198</v>
      </c>
      <c r="CB246" t="s">
        <v>204</v>
      </c>
      <c r="CC246" t="s">
        <v>204</v>
      </c>
      <c r="CD246" t="s">
        <v>204</v>
      </c>
      <c r="CE246" t="s">
        <v>204</v>
      </c>
      <c r="CF246" t="s">
        <v>204</v>
      </c>
      <c r="CG246" t="s">
        <v>204</v>
      </c>
      <c r="CH246" t="s">
        <v>204</v>
      </c>
      <c r="CI246" t="s">
        <v>204</v>
      </c>
      <c r="CJ246" t="s">
        <v>204</v>
      </c>
      <c r="CK246" t="s">
        <v>204</v>
      </c>
      <c r="CL246" t="s">
        <v>204</v>
      </c>
      <c r="CM246" t="s">
        <v>204</v>
      </c>
      <c r="CN246" t="s">
        <v>203</v>
      </c>
      <c r="CO246" t="s">
        <v>203</v>
      </c>
      <c r="CP246" t="s">
        <v>203</v>
      </c>
      <c r="CQ246" t="s">
        <v>203</v>
      </c>
      <c r="CR246" t="s">
        <v>203</v>
      </c>
      <c r="CS246" t="s">
        <v>203</v>
      </c>
      <c r="CT246" t="s">
        <v>203</v>
      </c>
      <c r="CU246" t="s">
        <v>203</v>
      </c>
      <c r="CV246">
        <v>0</v>
      </c>
      <c r="CW246">
        <v>0</v>
      </c>
      <c r="CX246" t="s">
        <v>198</v>
      </c>
      <c r="CY246" t="s">
        <v>198</v>
      </c>
      <c r="CZ246" t="s">
        <v>198</v>
      </c>
      <c r="DA246" t="s">
        <v>198</v>
      </c>
      <c r="DB246" t="s">
        <v>198</v>
      </c>
      <c r="DC246">
        <v>0</v>
      </c>
      <c r="DD246">
        <v>0</v>
      </c>
      <c r="DE246">
        <v>0</v>
      </c>
      <c r="DF246">
        <v>0</v>
      </c>
      <c r="DG246">
        <v>-35.3631166</v>
      </c>
      <c r="DH246">
        <v>149.1639735</v>
      </c>
      <c r="DI246" t="s">
        <v>360</v>
      </c>
      <c r="DJ246">
        <v>1.2</v>
      </c>
      <c r="DK246">
        <v>2</v>
      </c>
      <c r="DL246">
        <v>159.8</v>
      </c>
      <c r="DM246">
        <v>0</v>
      </c>
      <c r="DN246">
        <v>6</v>
      </c>
      <c r="DO246">
        <v>10</v>
      </c>
      <c r="DP246">
        <v>0</v>
      </c>
      <c r="DQ246">
        <v>255</v>
      </c>
      <c r="DR246">
        <v>255</v>
      </c>
      <c r="DS246">
        <v>255</v>
      </c>
      <c r="DT246">
        <v>255</v>
      </c>
      <c r="DU246">
        <v>255</v>
      </c>
      <c r="DV246">
        <v>255</v>
      </c>
      <c r="DW246">
        <v>255</v>
      </c>
      <c r="DX246" t="s">
        <v>206</v>
      </c>
      <c r="DY246" t="s">
        <v>206</v>
      </c>
      <c r="DZ246" t="s">
        <v>207</v>
      </c>
      <c r="EA246" t="s">
        <v>198</v>
      </c>
      <c r="EB246" t="s">
        <v>198</v>
      </c>
      <c r="EC246" t="s">
        <v>198</v>
      </c>
      <c r="ED246">
        <v>0</v>
      </c>
      <c r="EE246">
        <v>0</v>
      </c>
      <c r="EF246">
        <v>0</v>
      </c>
      <c r="EG246">
        <v>0</v>
      </c>
      <c r="EH246">
        <v>255</v>
      </c>
      <c r="EI246">
        <v>255</v>
      </c>
      <c r="EJ246">
        <v>255</v>
      </c>
      <c r="EK246">
        <v>255</v>
      </c>
      <c r="EL246">
        <v>255</v>
      </c>
      <c r="EM246">
        <v>255</v>
      </c>
      <c r="EN246">
        <v>255</v>
      </c>
      <c r="EO246">
        <v>255</v>
      </c>
      <c r="EP246">
        <v>255</v>
      </c>
      <c r="EQ246">
        <v>255</v>
      </c>
      <c r="ER246" t="s">
        <v>208</v>
      </c>
      <c r="ES246" t="s">
        <v>209</v>
      </c>
      <c r="ET246" t="s">
        <v>209</v>
      </c>
      <c r="EU246">
        <v>0</v>
      </c>
      <c r="EV246">
        <v>16.2</v>
      </c>
      <c r="EW246">
        <v>-114.7</v>
      </c>
      <c r="EX246">
        <v>-0.2</v>
      </c>
      <c r="EY246">
        <v>0</v>
      </c>
      <c r="EZ246">
        <v>0</v>
      </c>
      <c r="FA246">
        <v>0</v>
      </c>
      <c r="FB246" t="s">
        <v>198</v>
      </c>
      <c r="FC246" t="s">
        <v>198</v>
      </c>
      <c r="FD246" t="s">
        <v>198</v>
      </c>
      <c r="FE246" t="s">
        <v>198</v>
      </c>
      <c r="FF246" t="s">
        <v>198</v>
      </c>
      <c r="FG246" t="s">
        <v>198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 t="s">
        <v>203</v>
      </c>
      <c r="FP246" t="s">
        <v>203</v>
      </c>
      <c r="FQ246" t="s">
        <v>203</v>
      </c>
      <c r="FR246" t="s">
        <v>203</v>
      </c>
      <c r="FS246" t="s">
        <v>203</v>
      </c>
      <c r="FT246" t="s">
        <v>203</v>
      </c>
      <c r="FU246" t="s">
        <v>198</v>
      </c>
      <c r="FV246" t="s">
        <v>198</v>
      </c>
      <c r="FW246" t="s">
        <v>198</v>
      </c>
      <c r="FX246" t="s">
        <v>198</v>
      </c>
      <c r="FY246" t="s">
        <v>198</v>
      </c>
      <c r="FZ246" t="s">
        <v>198</v>
      </c>
      <c r="GA246">
        <v>31.2</v>
      </c>
      <c r="GB246">
        <v>31.2</v>
      </c>
      <c r="GC246" t="s">
        <v>203</v>
      </c>
      <c r="GD246">
        <v>0</v>
      </c>
      <c r="GE246">
        <v>504</v>
      </c>
      <c r="GF246">
        <v>0</v>
      </c>
      <c r="GG246">
        <v>0</v>
      </c>
      <c r="GH246">
        <v>0</v>
      </c>
      <c r="GI246">
        <v>1</v>
      </c>
      <c r="GJ246">
        <v>1</v>
      </c>
      <c r="GK246">
        <v>0</v>
      </c>
      <c r="GL246" t="s">
        <v>198</v>
      </c>
      <c r="GM246" t="s">
        <v>198</v>
      </c>
      <c r="GN246" t="s">
        <v>198</v>
      </c>
    </row>
    <row r="247" spans="1:196">
      <c r="A247" s="19">
        <v>46316.90674008102</v>
      </c>
      <c r="B247">
        <v>0</v>
      </c>
      <c r="C247">
        <v>0</v>
      </c>
      <c r="D247">
        <v>277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584.2</v>
      </c>
      <c r="N247">
        <v>-0.5</v>
      </c>
      <c r="O247">
        <v>0</v>
      </c>
      <c r="P247">
        <v>0</v>
      </c>
      <c r="Q247">
        <v>0</v>
      </c>
      <c r="R247">
        <v>0</v>
      </c>
      <c r="S247">
        <v>115.6</v>
      </c>
      <c r="T247" t="s">
        <v>485</v>
      </c>
      <c r="U247">
        <v>115.7</v>
      </c>
      <c r="V247">
        <v>1762727256586.8</v>
      </c>
      <c r="W247">
        <v>1</v>
      </c>
      <c r="X247" t="s">
        <v>197</v>
      </c>
      <c r="Y247">
        <v>0</v>
      </c>
      <c r="Z247">
        <v>98</v>
      </c>
      <c r="AA247">
        <v>278</v>
      </c>
      <c r="AB247" t="s">
        <v>197</v>
      </c>
      <c r="AC247" t="s">
        <v>198</v>
      </c>
      <c r="AD247" t="s">
        <v>199</v>
      </c>
      <c r="AE247">
        <v>0</v>
      </c>
      <c r="AF247">
        <v>44</v>
      </c>
      <c r="AG247">
        <v>255</v>
      </c>
      <c r="AH247">
        <v>0</v>
      </c>
      <c r="AI247">
        <v>0</v>
      </c>
      <c r="AJ247">
        <v>0</v>
      </c>
      <c r="AK247">
        <v>12.6</v>
      </c>
      <c r="AL247">
        <v>0</v>
      </c>
      <c r="AM247">
        <v>0</v>
      </c>
      <c r="AN247" t="s">
        <v>197</v>
      </c>
      <c r="AO247">
        <v>100</v>
      </c>
      <c r="AP247" t="s">
        <v>197</v>
      </c>
      <c r="AQ247" t="s">
        <v>200</v>
      </c>
      <c r="AR247">
        <v>1</v>
      </c>
      <c r="AS247">
        <v>0</v>
      </c>
      <c r="AT247" t="s">
        <v>593</v>
      </c>
      <c r="AU247" t="s">
        <v>593</v>
      </c>
      <c r="AV247" t="s">
        <v>202</v>
      </c>
      <c r="AW247" t="s">
        <v>203</v>
      </c>
      <c r="AX247" t="s">
        <v>203</v>
      </c>
      <c r="AY247" t="s">
        <v>203</v>
      </c>
      <c r="AZ247" t="s">
        <v>203</v>
      </c>
      <c r="BA247" t="s">
        <v>203</v>
      </c>
      <c r="BB247" t="s">
        <v>203</v>
      </c>
      <c r="BC247" t="s">
        <v>203</v>
      </c>
      <c r="BD247" t="s">
        <v>203</v>
      </c>
      <c r="BE247" t="s">
        <v>203</v>
      </c>
      <c r="BF247">
        <v>0</v>
      </c>
      <c r="BG247">
        <v>0.2</v>
      </c>
      <c r="BH247">
        <v>50</v>
      </c>
      <c r="BI247">
        <v>0</v>
      </c>
      <c r="BJ247" t="s">
        <v>198</v>
      </c>
      <c r="BK247" t="s">
        <v>198</v>
      </c>
      <c r="BL247" t="s">
        <v>198</v>
      </c>
      <c r="BM247" t="s">
        <v>198</v>
      </c>
      <c r="BN247" t="s">
        <v>198</v>
      </c>
      <c r="BO247" t="s">
        <v>198</v>
      </c>
      <c r="BP247" t="s">
        <v>198</v>
      </c>
      <c r="BQ247" t="s">
        <v>198</v>
      </c>
      <c r="BR247" t="s">
        <v>198</v>
      </c>
      <c r="BS247" t="s">
        <v>198</v>
      </c>
      <c r="BT247" t="s">
        <v>198</v>
      </c>
      <c r="BU247" t="s">
        <v>198</v>
      </c>
      <c r="BV247" t="s">
        <v>198</v>
      </c>
      <c r="BW247" t="s">
        <v>198</v>
      </c>
      <c r="BX247" t="s">
        <v>198</v>
      </c>
      <c r="BY247" t="s">
        <v>198</v>
      </c>
      <c r="BZ247" t="s">
        <v>198</v>
      </c>
      <c r="CA247" t="s">
        <v>198</v>
      </c>
      <c r="CB247" t="s">
        <v>204</v>
      </c>
      <c r="CC247" t="s">
        <v>204</v>
      </c>
      <c r="CD247" t="s">
        <v>204</v>
      </c>
      <c r="CE247" t="s">
        <v>204</v>
      </c>
      <c r="CF247" t="s">
        <v>204</v>
      </c>
      <c r="CG247" t="s">
        <v>204</v>
      </c>
      <c r="CH247" t="s">
        <v>204</v>
      </c>
      <c r="CI247" t="s">
        <v>204</v>
      </c>
      <c r="CJ247" t="s">
        <v>204</v>
      </c>
      <c r="CK247" t="s">
        <v>204</v>
      </c>
      <c r="CL247" t="s">
        <v>204</v>
      </c>
      <c r="CM247" t="s">
        <v>204</v>
      </c>
      <c r="CN247" t="s">
        <v>203</v>
      </c>
      <c r="CO247" t="s">
        <v>203</v>
      </c>
      <c r="CP247" t="s">
        <v>203</v>
      </c>
      <c r="CQ247" t="s">
        <v>203</v>
      </c>
      <c r="CR247" t="s">
        <v>203</v>
      </c>
      <c r="CS247" t="s">
        <v>203</v>
      </c>
      <c r="CT247" t="s">
        <v>203</v>
      </c>
      <c r="CU247" t="s">
        <v>203</v>
      </c>
      <c r="CV247">
        <v>0</v>
      </c>
      <c r="CW247">
        <v>0</v>
      </c>
      <c r="CX247" t="s">
        <v>198</v>
      </c>
      <c r="CY247" t="s">
        <v>198</v>
      </c>
      <c r="CZ247" t="s">
        <v>198</v>
      </c>
      <c r="DA247" t="s">
        <v>198</v>
      </c>
      <c r="DB247" t="s">
        <v>198</v>
      </c>
      <c r="DC247">
        <v>0</v>
      </c>
      <c r="DD247">
        <v>0</v>
      </c>
      <c r="DE247">
        <v>0</v>
      </c>
      <c r="DF247">
        <v>0</v>
      </c>
      <c r="DG247">
        <v>-35.3631166</v>
      </c>
      <c r="DH247">
        <v>149.1639735</v>
      </c>
      <c r="DI247" t="s">
        <v>360</v>
      </c>
      <c r="DJ247">
        <v>1.2</v>
      </c>
      <c r="DK247">
        <v>2</v>
      </c>
      <c r="DL247">
        <v>159.8</v>
      </c>
      <c r="DM247">
        <v>0</v>
      </c>
      <c r="DN247">
        <v>6</v>
      </c>
      <c r="DO247">
        <v>10</v>
      </c>
      <c r="DP247">
        <v>0</v>
      </c>
      <c r="DQ247">
        <v>255</v>
      </c>
      <c r="DR247">
        <v>255</v>
      </c>
      <c r="DS247">
        <v>255</v>
      </c>
      <c r="DT247">
        <v>255</v>
      </c>
      <c r="DU247">
        <v>255</v>
      </c>
      <c r="DV247">
        <v>255</v>
      </c>
      <c r="DW247">
        <v>255</v>
      </c>
      <c r="DX247" t="s">
        <v>206</v>
      </c>
      <c r="DY247" t="s">
        <v>206</v>
      </c>
      <c r="DZ247" t="s">
        <v>207</v>
      </c>
      <c r="EA247" t="s">
        <v>198</v>
      </c>
      <c r="EB247" t="s">
        <v>198</v>
      </c>
      <c r="EC247" t="s">
        <v>198</v>
      </c>
      <c r="ED247">
        <v>0</v>
      </c>
      <c r="EE247">
        <v>0</v>
      </c>
      <c r="EF247">
        <v>0</v>
      </c>
      <c r="EG247">
        <v>0</v>
      </c>
      <c r="EH247">
        <v>255</v>
      </c>
      <c r="EI247">
        <v>255</v>
      </c>
      <c r="EJ247">
        <v>255</v>
      </c>
      <c r="EK247">
        <v>255</v>
      </c>
      <c r="EL247">
        <v>255</v>
      </c>
      <c r="EM247">
        <v>255</v>
      </c>
      <c r="EN247">
        <v>255</v>
      </c>
      <c r="EO247">
        <v>255</v>
      </c>
      <c r="EP247">
        <v>255</v>
      </c>
      <c r="EQ247">
        <v>255</v>
      </c>
      <c r="ER247" t="s">
        <v>208</v>
      </c>
      <c r="ES247" t="s">
        <v>209</v>
      </c>
      <c r="ET247" t="s">
        <v>209</v>
      </c>
      <c r="EU247">
        <v>0</v>
      </c>
      <c r="EV247">
        <v>16.2</v>
      </c>
      <c r="EW247">
        <v>-114.7</v>
      </c>
      <c r="EX247">
        <v>-0.2</v>
      </c>
      <c r="EY247">
        <v>0</v>
      </c>
      <c r="EZ247">
        <v>0</v>
      </c>
      <c r="FA247">
        <v>0</v>
      </c>
      <c r="FB247" t="s">
        <v>198</v>
      </c>
      <c r="FC247" t="s">
        <v>198</v>
      </c>
      <c r="FD247" t="s">
        <v>198</v>
      </c>
      <c r="FE247" t="s">
        <v>198</v>
      </c>
      <c r="FF247" t="s">
        <v>198</v>
      </c>
      <c r="FG247" t="s">
        <v>198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 t="s">
        <v>203</v>
      </c>
      <c r="FP247" t="s">
        <v>203</v>
      </c>
      <c r="FQ247" t="s">
        <v>203</v>
      </c>
      <c r="FR247" t="s">
        <v>203</v>
      </c>
      <c r="FS247" t="s">
        <v>203</v>
      </c>
      <c r="FT247" t="s">
        <v>203</v>
      </c>
      <c r="FU247" t="s">
        <v>198</v>
      </c>
      <c r="FV247" t="s">
        <v>198</v>
      </c>
      <c r="FW247" t="s">
        <v>198</v>
      </c>
      <c r="FX247" t="s">
        <v>198</v>
      </c>
      <c r="FY247" t="s">
        <v>198</v>
      </c>
      <c r="FZ247" t="s">
        <v>198</v>
      </c>
      <c r="GA247">
        <v>31.2</v>
      </c>
      <c r="GB247">
        <v>31.2</v>
      </c>
      <c r="GC247" t="s">
        <v>203</v>
      </c>
      <c r="GD247">
        <v>0</v>
      </c>
      <c r="GE247">
        <v>504</v>
      </c>
      <c r="GF247">
        <v>0</v>
      </c>
      <c r="GG247">
        <v>0</v>
      </c>
      <c r="GH247">
        <v>0</v>
      </c>
      <c r="GI247">
        <v>1</v>
      </c>
      <c r="GJ247">
        <v>1</v>
      </c>
      <c r="GK247">
        <v>0</v>
      </c>
      <c r="GL247" t="s">
        <v>198</v>
      </c>
      <c r="GM247" t="s">
        <v>198</v>
      </c>
      <c r="GN247" t="s">
        <v>198</v>
      </c>
    </row>
    <row r="248" spans="1:196">
      <c r="A248" s="19">
        <v>46316.90675165509</v>
      </c>
      <c r="B248">
        <v>0</v>
      </c>
      <c r="C248">
        <v>0</v>
      </c>
      <c r="D248">
        <v>277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584.2</v>
      </c>
      <c r="N248">
        <v>-0.5</v>
      </c>
      <c r="O248">
        <v>0</v>
      </c>
      <c r="P248">
        <v>0</v>
      </c>
      <c r="Q248">
        <v>0</v>
      </c>
      <c r="R248">
        <v>0</v>
      </c>
      <c r="S248">
        <v>115.6</v>
      </c>
      <c r="T248" t="s">
        <v>485</v>
      </c>
      <c r="U248">
        <v>115.7</v>
      </c>
      <c r="V248">
        <v>1762727256586.8</v>
      </c>
      <c r="W248">
        <v>1</v>
      </c>
      <c r="X248" t="s">
        <v>197</v>
      </c>
      <c r="Y248">
        <v>0</v>
      </c>
      <c r="Z248">
        <v>98</v>
      </c>
      <c r="AA248">
        <v>278</v>
      </c>
      <c r="AB248" t="s">
        <v>197</v>
      </c>
      <c r="AC248" t="s">
        <v>198</v>
      </c>
      <c r="AD248" t="s">
        <v>199</v>
      </c>
      <c r="AE248">
        <v>0</v>
      </c>
      <c r="AF248">
        <v>44</v>
      </c>
      <c r="AG248">
        <v>255</v>
      </c>
      <c r="AH248">
        <v>0</v>
      </c>
      <c r="AI248">
        <v>0</v>
      </c>
      <c r="AJ248">
        <v>0</v>
      </c>
      <c r="AK248">
        <v>12.6</v>
      </c>
      <c r="AL248">
        <v>0</v>
      </c>
      <c r="AM248">
        <v>0</v>
      </c>
      <c r="AN248" t="s">
        <v>197</v>
      </c>
      <c r="AO248">
        <v>100</v>
      </c>
      <c r="AP248" t="s">
        <v>197</v>
      </c>
      <c r="AQ248" t="s">
        <v>200</v>
      </c>
      <c r="AR248">
        <v>1</v>
      </c>
      <c r="AS248">
        <v>0</v>
      </c>
      <c r="AT248" t="s">
        <v>594</v>
      </c>
      <c r="AU248" t="s">
        <v>594</v>
      </c>
      <c r="AV248" t="s">
        <v>202</v>
      </c>
      <c r="AW248" t="s">
        <v>203</v>
      </c>
      <c r="AX248" t="s">
        <v>203</v>
      </c>
      <c r="AY248" t="s">
        <v>203</v>
      </c>
      <c r="AZ248" t="s">
        <v>203</v>
      </c>
      <c r="BA248" t="s">
        <v>203</v>
      </c>
      <c r="BB248" t="s">
        <v>203</v>
      </c>
      <c r="BC248" t="s">
        <v>203</v>
      </c>
      <c r="BD248" t="s">
        <v>203</v>
      </c>
      <c r="BE248" t="s">
        <v>203</v>
      </c>
      <c r="BF248">
        <v>0</v>
      </c>
      <c r="BG248">
        <v>0.2</v>
      </c>
      <c r="BH248">
        <v>50</v>
      </c>
      <c r="BI248">
        <v>0</v>
      </c>
      <c r="BJ248" t="s">
        <v>198</v>
      </c>
      <c r="BK248" t="s">
        <v>198</v>
      </c>
      <c r="BL248" t="s">
        <v>198</v>
      </c>
      <c r="BM248" t="s">
        <v>198</v>
      </c>
      <c r="BN248" t="s">
        <v>198</v>
      </c>
      <c r="BO248" t="s">
        <v>198</v>
      </c>
      <c r="BP248" t="s">
        <v>198</v>
      </c>
      <c r="BQ248" t="s">
        <v>198</v>
      </c>
      <c r="BR248" t="s">
        <v>198</v>
      </c>
      <c r="BS248" t="s">
        <v>198</v>
      </c>
      <c r="BT248" t="s">
        <v>198</v>
      </c>
      <c r="BU248" t="s">
        <v>198</v>
      </c>
      <c r="BV248" t="s">
        <v>198</v>
      </c>
      <c r="BW248" t="s">
        <v>198</v>
      </c>
      <c r="BX248" t="s">
        <v>198</v>
      </c>
      <c r="BY248" t="s">
        <v>198</v>
      </c>
      <c r="BZ248" t="s">
        <v>198</v>
      </c>
      <c r="CA248" t="s">
        <v>198</v>
      </c>
      <c r="CB248" t="s">
        <v>204</v>
      </c>
      <c r="CC248" t="s">
        <v>204</v>
      </c>
      <c r="CD248" t="s">
        <v>204</v>
      </c>
      <c r="CE248" t="s">
        <v>204</v>
      </c>
      <c r="CF248" t="s">
        <v>204</v>
      </c>
      <c r="CG248" t="s">
        <v>204</v>
      </c>
      <c r="CH248" t="s">
        <v>204</v>
      </c>
      <c r="CI248" t="s">
        <v>204</v>
      </c>
      <c r="CJ248" t="s">
        <v>204</v>
      </c>
      <c r="CK248" t="s">
        <v>204</v>
      </c>
      <c r="CL248" t="s">
        <v>204</v>
      </c>
      <c r="CM248" t="s">
        <v>204</v>
      </c>
      <c r="CN248" t="s">
        <v>203</v>
      </c>
      <c r="CO248" t="s">
        <v>203</v>
      </c>
      <c r="CP248" t="s">
        <v>203</v>
      </c>
      <c r="CQ248" t="s">
        <v>203</v>
      </c>
      <c r="CR248" t="s">
        <v>203</v>
      </c>
      <c r="CS248" t="s">
        <v>203</v>
      </c>
      <c r="CT248" t="s">
        <v>203</v>
      </c>
      <c r="CU248" t="s">
        <v>203</v>
      </c>
      <c r="CV248">
        <v>0</v>
      </c>
      <c r="CW248">
        <v>0</v>
      </c>
      <c r="CX248" t="s">
        <v>198</v>
      </c>
      <c r="CY248" t="s">
        <v>198</v>
      </c>
      <c r="CZ248" t="s">
        <v>198</v>
      </c>
      <c r="DA248" t="s">
        <v>198</v>
      </c>
      <c r="DB248" t="s">
        <v>198</v>
      </c>
      <c r="DC248">
        <v>0</v>
      </c>
      <c r="DD248">
        <v>0</v>
      </c>
      <c r="DE248">
        <v>0</v>
      </c>
      <c r="DF248">
        <v>0</v>
      </c>
      <c r="DG248">
        <v>-35.3631166</v>
      </c>
      <c r="DH248">
        <v>149.1639735</v>
      </c>
      <c r="DI248" t="s">
        <v>360</v>
      </c>
      <c r="DJ248">
        <v>1.2</v>
      </c>
      <c r="DK248">
        <v>2</v>
      </c>
      <c r="DL248">
        <v>159.8</v>
      </c>
      <c r="DM248">
        <v>0</v>
      </c>
      <c r="DN248">
        <v>6</v>
      </c>
      <c r="DO248">
        <v>10</v>
      </c>
      <c r="DP248">
        <v>0</v>
      </c>
      <c r="DQ248">
        <v>255</v>
      </c>
      <c r="DR248">
        <v>255</v>
      </c>
      <c r="DS248">
        <v>255</v>
      </c>
      <c r="DT248">
        <v>255</v>
      </c>
      <c r="DU248">
        <v>255</v>
      </c>
      <c r="DV248">
        <v>255</v>
      </c>
      <c r="DW248">
        <v>255</v>
      </c>
      <c r="DX248" t="s">
        <v>206</v>
      </c>
      <c r="DY248" t="s">
        <v>206</v>
      </c>
      <c r="DZ248" t="s">
        <v>207</v>
      </c>
      <c r="EA248" t="s">
        <v>198</v>
      </c>
      <c r="EB248" t="s">
        <v>198</v>
      </c>
      <c r="EC248" t="s">
        <v>198</v>
      </c>
      <c r="ED248">
        <v>0</v>
      </c>
      <c r="EE248">
        <v>0</v>
      </c>
      <c r="EF248">
        <v>0</v>
      </c>
      <c r="EG248">
        <v>0</v>
      </c>
      <c r="EH248">
        <v>255</v>
      </c>
      <c r="EI248">
        <v>255</v>
      </c>
      <c r="EJ248">
        <v>255</v>
      </c>
      <c r="EK248">
        <v>255</v>
      </c>
      <c r="EL248">
        <v>255</v>
      </c>
      <c r="EM248">
        <v>255</v>
      </c>
      <c r="EN248">
        <v>255</v>
      </c>
      <c r="EO248">
        <v>255</v>
      </c>
      <c r="EP248">
        <v>255</v>
      </c>
      <c r="EQ248">
        <v>255</v>
      </c>
      <c r="ER248" t="s">
        <v>208</v>
      </c>
      <c r="ES248" t="s">
        <v>209</v>
      </c>
      <c r="ET248" t="s">
        <v>209</v>
      </c>
      <c r="EU248">
        <v>0</v>
      </c>
      <c r="EV248">
        <v>16.2</v>
      </c>
      <c r="EW248">
        <v>-114.7</v>
      </c>
      <c r="EX248">
        <v>-0.2</v>
      </c>
      <c r="EY248">
        <v>0</v>
      </c>
      <c r="EZ248">
        <v>0</v>
      </c>
      <c r="FA248">
        <v>0</v>
      </c>
      <c r="FB248" t="s">
        <v>198</v>
      </c>
      <c r="FC248" t="s">
        <v>198</v>
      </c>
      <c r="FD248" t="s">
        <v>198</v>
      </c>
      <c r="FE248" t="s">
        <v>198</v>
      </c>
      <c r="FF248" t="s">
        <v>198</v>
      </c>
      <c r="FG248" t="s">
        <v>198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 t="s">
        <v>203</v>
      </c>
      <c r="FP248" t="s">
        <v>203</v>
      </c>
      <c r="FQ248" t="s">
        <v>203</v>
      </c>
      <c r="FR248" t="s">
        <v>203</v>
      </c>
      <c r="FS248" t="s">
        <v>203</v>
      </c>
      <c r="FT248" t="s">
        <v>203</v>
      </c>
      <c r="FU248" t="s">
        <v>198</v>
      </c>
      <c r="FV248" t="s">
        <v>198</v>
      </c>
      <c r="FW248" t="s">
        <v>198</v>
      </c>
      <c r="FX248" t="s">
        <v>198</v>
      </c>
      <c r="FY248" t="s">
        <v>198</v>
      </c>
      <c r="FZ248" t="s">
        <v>198</v>
      </c>
      <c r="GA248">
        <v>31.2</v>
      </c>
      <c r="GB248">
        <v>31.2</v>
      </c>
      <c r="GC248" t="s">
        <v>203</v>
      </c>
      <c r="GD248">
        <v>0</v>
      </c>
      <c r="GE248">
        <v>504</v>
      </c>
      <c r="GF248">
        <v>0</v>
      </c>
      <c r="GG248">
        <v>0</v>
      </c>
      <c r="GH248">
        <v>0</v>
      </c>
      <c r="GI248">
        <v>1</v>
      </c>
      <c r="GJ248">
        <v>1</v>
      </c>
      <c r="GK248">
        <v>0</v>
      </c>
      <c r="GL248" t="s">
        <v>198</v>
      </c>
      <c r="GM248" t="s">
        <v>198</v>
      </c>
      <c r="GN248" t="s">
        <v>198</v>
      </c>
    </row>
    <row r="249" spans="1:196">
      <c r="A249" s="19">
        <v>46316.90676322917</v>
      </c>
      <c r="B249">
        <v>0</v>
      </c>
      <c r="C249">
        <v>0</v>
      </c>
      <c r="D249">
        <v>277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584.2</v>
      </c>
      <c r="N249">
        <v>-0.5</v>
      </c>
      <c r="O249">
        <v>0</v>
      </c>
      <c r="P249">
        <v>0</v>
      </c>
      <c r="Q249">
        <v>0</v>
      </c>
      <c r="R249">
        <v>0</v>
      </c>
      <c r="S249">
        <v>115.6</v>
      </c>
      <c r="T249" t="s">
        <v>485</v>
      </c>
      <c r="U249">
        <v>115.7</v>
      </c>
      <c r="V249">
        <v>1762727256586.8</v>
      </c>
      <c r="W249">
        <v>1</v>
      </c>
      <c r="X249" t="s">
        <v>197</v>
      </c>
      <c r="Y249">
        <v>0</v>
      </c>
      <c r="Z249">
        <v>98</v>
      </c>
      <c r="AA249">
        <v>278</v>
      </c>
      <c r="AB249" t="s">
        <v>197</v>
      </c>
      <c r="AC249" t="s">
        <v>198</v>
      </c>
      <c r="AD249" t="s">
        <v>199</v>
      </c>
      <c r="AE249">
        <v>0</v>
      </c>
      <c r="AF249">
        <v>44</v>
      </c>
      <c r="AG249">
        <v>255</v>
      </c>
      <c r="AH249">
        <v>0</v>
      </c>
      <c r="AI249">
        <v>0</v>
      </c>
      <c r="AJ249">
        <v>0</v>
      </c>
      <c r="AK249">
        <v>12.6</v>
      </c>
      <c r="AL249">
        <v>0</v>
      </c>
      <c r="AM249">
        <v>0</v>
      </c>
      <c r="AN249" t="s">
        <v>197</v>
      </c>
      <c r="AO249">
        <v>100</v>
      </c>
      <c r="AP249" t="s">
        <v>197</v>
      </c>
      <c r="AQ249" t="s">
        <v>200</v>
      </c>
      <c r="AR249">
        <v>1</v>
      </c>
      <c r="AS249">
        <v>0</v>
      </c>
      <c r="AT249" t="s">
        <v>595</v>
      </c>
      <c r="AU249" t="s">
        <v>595</v>
      </c>
      <c r="AV249" t="s">
        <v>202</v>
      </c>
      <c r="AW249" t="s">
        <v>203</v>
      </c>
      <c r="AX249" t="s">
        <v>203</v>
      </c>
      <c r="AY249" t="s">
        <v>203</v>
      </c>
      <c r="AZ249" t="s">
        <v>203</v>
      </c>
      <c r="BA249" t="s">
        <v>203</v>
      </c>
      <c r="BB249" t="s">
        <v>203</v>
      </c>
      <c r="BC249" t="s">
        <v>203</v>
      </c>
      <c r="BD249" t="s">
        <v>203</v>
      </c>
      <c r="BE249" t="s">
        <v>203</v>
      </c>
      <c r="BF249">
        <v>0</v>
      </c>
      <c r="BG249">
        <v>0.2</v>
      </c>
      <c r="BH249">
        <v>50</v>
      </c>
      <c r="BI249">
        <v>0</v>
      </c>
      <c r="BJ249" t="s">
        <v>198</v>
      </c>
      <c r="BK249" t="s">
        <v>198</v>
      </c>
      <c r="BL249" t="s">
        <v>198</v>
      </c>
      <c r="BM249" t="s">
        <v>198</v>
      </c>
      <c r="BN249" t="s">
        <v>198</v>
      </c>
      <c r="BO249" t="s">
        <v>198</v>
      </c>
      <c r="BP249" t="s">
        <v>198</v>
      </c>
      <c r="BQ249" t="s">
        <v>198</v>
      </c>
      <c r="BR249" t="s">
        <v>198</v>
      </c>
      <c r="BS249" t="s">
        <v>198</v>
      </c>
      <c r="BT249" t="s">
        <v>198</v>
      </c>
      <c r="BU249" t="s">
        <v>198</v>
      </c>
      <c r="BV249" t="s">
        <v>198</v>
      </c>
      <c r="BW249" t="s">
        <v>198</v>
      </c>
      <c r="BX249" t="s">
        <v>198</v>
      </c>
      <c r="BY249" t="s">
        <v>198</v>
      </c>
      <c r="BZ249" t="s">
        <v>198</v>
      </c>
      <c r="CA249" t="s">
        <v>198</v>
      </c>
      <c r="CB249" t="s">
        <v>204</v>
      </c>
      <c r="CC249" t="s">
        <v>204</v>
      </c>
      <c r="CD249" t="s">
        <v>204</v>
      </c>
      <c r="CE249" t="s">
        <v>204</v>
      </c>
      <c r="CF249" t="s">
        <v>204</v>
      </c>
      <c r="CG249" t="s">
        <v>204</v>
      </c>
      <c r="CH249" t="s">
        <v>204</v>
      </c>
      <c r="CI249" t="s">
        <v>204</v>
      </c>
      <c r="CJ249" t="s">
        <v>204</v>
      </c>
      <c r="CK249" t="s">
        <v>204</v>
      </c>
      <c r="CL249" t="s">
        <v>204</v>
      </c>
      <c r="CM249" t="s">
        <v>204</v>
      </c>
      <c r="CN249" t="s">
        <v>203</v>
      </c>
      <c r="CO249" t="s">
        <v>203</v>
      </c>
      <c r="CP249" t="s">
        <v>203</v>
      </c>
      <c r="CQ249" t="s">
        <v>203</v>
      </c>
      <c r="CR249" t="s">
        <v>203</v>
      </c>
      <c r="CS249" t="s">
        <v>203</v>
      </c>
      <c r="CT249" t="s">
        <v>203</v>
      </c>
      <c r="CU249" t="s">
        <v>203</v>
      </c>
      <c r="CV249">
        <v>0</v>
      </c>
      <c r="CW249">
        <v>0</v>
      </c>
      <c r="CX249" t="s">
        <v>198</v>
      </c>
      <c r="CY249" t="s">
        <v>198</v>
      </c>
      <c r="CZ249" t="s">
        <v>198</v>
      </c>
      <c r="DA249" t="s">
        <v>198</v>
      </c>
      <c r="DB249" t="s">
        <v>198</v>
      </c>
      <c r="DC249">
        <v>0</v>
      </c>
      <c r="DD249">
        <v>0</v>
      </c>
      <c r="DE249">
        <v>0</v>
      </c>
      <c r="DF249">
        <v>0</v>
      </c>
      <c r="DG249">
        <v>-35.3631166</v>
      </c>
      <c r="DH249">
        <v>149.1639735</v>
      </c>
      <c r="DI249" t="s">
        <v>360</v>
      </c>
      <c r="DJ249">
        <v>1.2</v>
      </c>
      <c r="DK249">
        <v>2</v>
      </c>
      <c r="DL249">
        <v>159.8</v>
      </c>
      <c r="DM249">
        <v>0</v>
      </c>
      <c r="DN249">
        <v>6</v>
      </c>
      <c r="DO249">
        <v>10</v>
      </c>
      <c r="DP249">
        <v>0</v>
      </c>
      <c r="DQ249">
        <v>255</v>
      </c>
      <c r="DR249">
        <v>255</v>
      </c>
      <c r="DS249">
        <v>255</v>
      </c>
      <c r="DT249">
        <v>255</v>
      </c>
      <c r="DU249">
        <v>255</v>
      </c>
      <c r="DV249">
        <v>255</v>
      </c>
      <c r="DW249">
        <v>255</v>
      </c>
      <c r="DX249" t="s">
        <v>206</v>
      </c>
      <c r="DY249" t="s">
        <v>206</v>
      </c>
      <c r="DZ249" t="s">
        <v>207</v>
      </c>
      <c r="EA249" t="s">
        <v>198</v>
      </c>
      <c r="EB249" t="s">
        <v>198</v>
      </c>
      <c r="EC249" t="s">
        <v>198</v>
      </c>
      <c r="ED249">
        <v>0</v>
      </c>
      <c r="EE249">
        <v>0</v>
      </c>
      <c r="EF249">
        <v>0</v>
      </c>
      <c r="EG249">
        <v>0</v>
      </c>
      <c r="EH249">
        <v>255</v>
      </c>
      <c r="EI249">
        <v>255</v>
      </c>
      <c r="EJ249">
        <v>255</v>
      </c>
      <c r="EK249">
        <v>255</v>
      </c>
      <c r="EL249">
        <v>255</v>
      </c>
      <c r="EM249">
        <v>255</v>
      </c>
      <c r="EN249">
        <v>255</v>
      </c>
      <c r="EO249">
        <v>255</v>
      </c>
      <c r="EP249">
        <v>255</v>
      </c>
      <c r="EQ249">
        <v>255</v>
      </c>
      <c r="ER249" t="s">
        <v>208</v>
      </c>
      <c r="ES249" t="s">
        <v>209</v>
      </c>
      <c r="ET249" t="s">
        <v>209</v>
      </c>
      <c r="EU249">
        <v>0</v>
      </c>
      <c r="EV249">
        <v>16.2</v>
      </c>
      <c r="EW249">
        <v>-114.7</v>
      </c>
      <c r="EX249">
        <v>-0.2</v>
      </c>
      <c r="EY249">
        <v>0</v>
      </c>
      <c r="EZ249">
        <v>0</v>
      </c>
      <c r="FA249">
        <v>0</v>
      </c>
      <c r="FB249" t="s">
        <v>198</v>
      </c>
      <c r="FC249" t="s">
        <v>198</v>
      </c>
      <c r="FD249" t="s">
        <v>198</v>
      </c>
      <c r="FE249" t="s">
        <v>198</v>
      </c>
      <c r="FF249" t="s">
        <v>198</v>
      </c>
      <c r="FG249" t="s">
        <v>198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203</v>
      </c>
      <c r="FP249" t="s">
        <v>203</v>
      </c>
      <c r="FQ249" t="s">
        <v>203</v>
      </c>
      <c r="FR249" t="s">
        <v>203</v>
      </c>
      <c r="FS249" t="s">
        <v>203</v>
      </c>
      <c r="FT249" t="s">
        <v>203</v>
      </c>
      <c r="FU249" t="s">
        <v>198</v>
      </c>
      <c r="FV249" t="s">
        <v>198</v>
      </c>
      <c r="FW249" t="s">
        <v>198</v>
      </c>
      <c r="FX249" t="s">
        <v>198</v>
      </c>
      <c r="FY249" t="s">
        <v>198</v>
      </c>
      <c r="FZ249" t="s">
        <v>198</v>
      </c>
      <c r="GA249">
        <v>31.2</v>
      </c>
      <c r="GB249">
        <v>31.2</v>
      </c>
      <c r="GC249" t="s">
        <v>203</v>
      </c>
      <c r="GD249">
        <v>0</v>
      </c>
      <c r="GE249">
        <v>504</v>
      </c>
      <c r="GF249">
        <v>0</v>
      </c>
      <c r="GG249">
        <v>0</v>
      </c>
      <c r="GH249">
        <v>0</v>
      </c>
      <c r="GI249">
        <v>1</v>
      </c>
      <c r="GJ249">
        <v>1</v>
      </c>
      <c r="GK249">
        <v>0</v>
      </c>
      <c r="GL249" t="s">
        <v>198</v>
      </c>
      <c r="GM249" t="s">
        <v>198</v>
      </c>
      <c r="GN249" t="s">
        <v>198</v>
      </c>
    </row>
    <row r="250" spans="1:196">
      <c r="A250" s="19">
        <v>46316.90677480324</v>
      </c>
      <c r="B250">
        <v>0</v>
      </c>
      <c r="C250">
        <v>0</v>
      </c>
      <c r="D250">
        <v>277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584.2</v>
      </c>
      <c r="N250">
        <v>-0.5</v>
      </c>
      <c r="O250">
        <v>0</v>
      </c>
      <c r="P250">
        <v>0</v>
      </c>
      <c r="Q250">
        <v>0</v>
      </c>
      <c r="R250">
        <v>0</v>
      </c>
      <c r="S250">
        <v>115.6</v>
      </c>
      <c r="T250" t="s">
        <v>485</v>
      </c>
      <c r="U250">
        <v>115.7</v>
      </c>
      <c r="V250">
        <v>1762727256586.8</v>
      </c>
      <c r="W250">
        <v>1</v>
      </c>
      <c r="X250" t="s">
        <v>197</v>
      </c>
      <c r="Y250">
        <v>0</v>
      </c>
      <c r="Z250">
        <v>98</v>
      </c>
      <c r="AA250">
        <v>278</v>
      </c>
      <c r="AB250" t="s">
        <v>197</v>
      </c>
      <c r="AC250" t="s">
        <v>198</v>
      </c>
      <c r="AD250" t="s">
        <v>199</v>
      </c>
      <c r="AE250">
        <v>0</v>
      </c>
      <c r="AF250">
        <v>44</v>
      </c>
      <c r="AG250">
        <v>255</v>
      </c>
      <c r="AH250">
        <v>0</v>
      </c>
      <c r="AI250">
        <v>0</v>
      </c>
      <c r="AJ250">
        <v>0</v>
      </c>
      <c r="AK250">
        <v>12.6</v>
      </c>
      <c r="AL250">
        <v>0</v>
      </c>
      <c r="AM250">
        <v>0</v>
      </c>
      <c r="AN250" t="s">
        <v>197</v>
      </c>
      <c r="AO250">
        <v>100</v>
      </c>
      <c r="AP250" t="s">
        <v>197</v>
      </c>
      <c r="AQ250" t="s">
        <v>200</v>
      </c>
      <c r="AR250">
        <v>1</v>
      </c>
      <c r="AS250">
        <v>0</v>
      </c>
      <c r="AT250" t="s">
        <v>596</v>
      </c>
      <c r="AU250" t="s">
        <v>596</v>
      </c>
      <c r="AV250" t="s">
        <v>202</v>
      </c>
      <c r="AW250" t="s">
        <v>203</v>
      </c>
      <c r="AX250" t="s">
        <v>203</v>
      </c>
      <c r="AY250" t="s">
        <v>203</v>
      </c>
      <c r="AZ250" t="s">
        <v>203</v>
      </c>
      <c r="BA250" t="s">
        <v>203</v>
      </c>
      <c r="BB250" t="s">
        <v>203</v>
      </c>
      <c r="BC250" t="s">
        <v>203</v>
      </c>
      <c r="BD250" t="s">
        <v>203</v>
      </c>
      <c r="BE250" t="s">
        <v>203</v>
      </c>
      <c r="BF250">
        <v>0</v>
      </c>
      <c r="BG250">
        <v>0.2</v>
      </c>
      <c r="BH250">
        <v>50</v>
      </c>
      <c r="BI250">
        <v>0</v>
      </c>
      <c r="BJ250" t="s">
        <v>198</v>
      </c>
      <c r="BK250" t="s">
        <v>198</v>
      </c>
      <c r="BL250" t="s">
        <v>198</v>
      </c>
      <c r="BM250" t="s">
        <v>198</v>
      </c>
      <c r="BN250" t="s">
        <v>198</v>
      </c>
      <c r="BO250" t="s">
        <v>198</v>
      </c>
      <c r="BP250" t="s">
        <v>198</v>
      </c>
      <c r="BQ250" t="s">
        <v>198</v>
      </c>
      <c r="BR250" t="s">
        <v>198</v>
      </c>
      <c r="BS250" t="s">
        <v>198</v>
      </c>
      <c r="BT250" t="s">
        <v>198</v>
      </c>
      <c r="BU250" t="s">
        <v>198</v>
      </c>
      <c r="BV250" t="s">
        <v>198</v>
      </c>
      <c r="BW250" t="s">
        <v>198</v>
      </c>
      <c r="BX250" t="s">
        <v>198</v>
      </c>
      <c r="BY250" t="s">
        <v>198</v>
      </c>
      <c r="BZ250" t="s">
        <v>198</v>
      </c>
      <c r="CA250" t="s">
        <v>198</v>
      </c>
      <c r="CB250" t="s">
        <v>204</v>
      </c>
      <c r="CC250" t="s">
        <v>204</v>
      </c>
      <c r="CD250" t="s">
        <v>204</v>
      </c>
      <c r="CE250" t="s">
        <v>204</v>
      </c>
      <c r="CF250" t="s">
        <v>204</v>
      </c>
      <c r="CG250" t="s">
        <v>204</v>
      </c>
      <c r="CH250" t="s">
        <v>204</v>
      </c>
      <c r="CI250" t="s">
        <v>204</v>
      </c>
      <c r="CJ250" t="s">
        <v>204</v>
      </c>
      <c r="CK250" t="s">
        <v>204</v>
      </c>
      <c r="CL250" t="s">
        <v>204</v>
      </c>
      <c r="CM250" t="s">
        <v>204</v>
      </c>
      <c r="CN250" t="s">
        <v>203</v>
      </c>
      <c r="CO250" t="s">
        <v>203</v>
      </c>
      <c r="CP250" t="s">
        <v>203</v>
      </c>
      <c r="CQ250" t="s">
        <v>203</v>
      </c>
      <c r="CR250" t="s">
        <v>203</v>
      </c>
      <c r="CS250" t="s">
        <v>203</v>
      </c>
      <c r="CT250" t="s">
        <v>203</v>
      </c>
      <c r="CU250" t="s">
        <v>203</v>
      </c>
      <c r="CV250">
        <v>0</v>
      </c>
      <c r="CW250">
        <v>0</v>
      </c>
      <c r="CX250" t="s">
        <v>198</v>
      </c>
      <c r="CY250" t="s">
        <v>198</v>
      </c>
      <c r="CZ250" t="s">
        <v>198</v>
      </c>
      <c r="DA250" t="s">
        <v>198</v>
      </c>
      <c r="DB250" t="s">
        <v>198</v>
      </c>
      <c r="DC250">
        <v>0</v>
      </c>
      <c r="DD250">
        <v>0</v>
      </c>
      <c r="DE250">
        <v>0</v>
      </c>
      <c r="DF250">
        <v>0</v>
      </c>
      <c r="DG250">
        <v>-35.3631166</v>
      </c>
      <c r="DH250">
        <v>149.1639735</v>
      </c>
      <c r="DI250" t="s">
        <v>360</v>
      </c>
      <c r="DJ250">
        <v>1.2</v>
      </c>
      <c r="DK250">
        <v>2</v>
      </c>
      <c r="DL250">
        <v>159.8</v>
      </c>
      <c r="DM250">
        <v>0</v>
      </c>
      <c r="DN250">
        <v>6</v>
      </c>
      <c r="DO250">
        <v>10</v>
      </c>
      <c r="DP250">
        <v>0</v>
      </c>
      <c r="DQ250">
        <v>255</v>
      </c>
      <c r="DR250">
        <v>255</v>
      </c>
      <c r="DS250">
        <v>255</v>
      </c>
      <c r="DT250">
        <v>255</v>
      </c>
      <c r="DU250">
        <v>255</v>
      </c>
      <c r="DV250">
        <v>255</v>
      </c>
      <c r="DW250">
        <v>255</v>
      </c>
      <c r="DX250" t="s">
        <v>206</v>
      </c>
      <c r="DY250" t="s">
        <v>206</v>
      </c>
      <c r="DZ250" t="s">
        <v>207</v>
      </c>
      <c r="EA250" t="s">
        <v>198</v>
      </c>
      <c r="EB250" t="s">
        <v>198</v>
      </c>
      <c r="EC250" t="s">
        <v>198</v>
      </c>
      <c r="ED250">
        <v>0</v>
      </c>
      <c r="EE250">
        <v>0</v>
      </c>
      <c r="EF250">
        <v>0</v>
      </c>
      <c r="EG250">
        <v>0</v>
      </c>
      <c r="EH250">
        <v>255</v>
      </c>
      <c r="EI250">
        <v>255</v>
      </c>
      <c r="EJ250">
        <v>255</v>
      </c>
      <c r="EK250">
        <v>255</v>
      </c>
      <c r="EL250">
        <v>255</v>
      </c>
      <c r="EM250">
        <v>255</v>
      </c>
      <c r="EN250">
        <v>255</v>
      </c>
      <c r="EO250">
        <v>255</v>
      </c>
      <c r="EP250">
        <v>255</v>
      </c>
      <c r="EQ250">
        <v>255</v>
      </c>
      <c r="ER250" t="s">
        <v>208</v>
      </c>
      <c r="ES250" t="s">
        <v>209</v>
      </c>
      <c r="ET250" t="s">
        <v>209</v>
      </c>
      <c r="EU250">
        <v>0</v>
      </c>
      <c r="EV250">
        <v>16.2</v>
      </c>
      <c r="EW250">
        <v>-114.7</v>
      </c>
      <c r="EX250">
        <v>-0.2</v>
      </c>
      <c r="EY250">
        <v>0</v>
      </c>
      <c r="EZ250">
        <v>0</v>
      </c>
      <c r="FA250">
        <v>0</v>
      </c>
      <c r="FB250" t="s">
        <v>198</v>
      </c>
      <c r="FC250" t="s">
        <v>198</v>
      </c>
      <c r="FD250" t="s">
        <v>198</v>
      </c>
      <c r="FE250" t="s">
        <v>198</v>
      </c>
      <c r="FF250" t="s">
        <v>198</v>
      </c>
      <c r="FG250" t="s">
        <v>198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 t="s">
        <v>203</v>
      </c>
      <c r="FP250" t="s">
        <v>203</v>
      </c>
      <c r="FQ250" t="s">
        <v>203</v>
      </c>
      <c r="FR250" t="s">
        <v>203</v>
      </c>
      <c r="FS250" t="s">
        <v>203</v>
      </c>
      <c r="FT250" t="s">
        <v>203</v>
      </c>
      <c r="FU250" t="s">
        <v>198</v>
      </c>
      <c r="FV250" t="s">
        <v>198</v>
      </c>
      <c r="FW250" t="s">
        <v>198</v>
      </c>
      <c r="FX250" t="s">
        <v>198</v>
      </c>
      <c r="FY250" t="s">
        <v>198</v>
      </c>
      <c r="FZ250" t="s">
        <v>198</v>
      </c>
      <c r="GA250">
        <v>31.2</v>
      </c>
      <c r="GB250">
        <v>31.2</v>
      </c>
      <c r="GC250" t="s">
        <v>203</v>
      </c>
      <c r="GD250">
        <v>0</v>
      </c>
      <c r="GE250">
        <v>504</v>
      </c>
      <c r="GF250">
        <v>0</v>
      </c>
      <c r="GG250">
        <v>0</v>
      </c>
      <c r="GH250">
        <v>0</v>
      </c>
      <c r="GI250">
        <v>1</v>
      </c>
      <c r="GJ250">
        <v>1</v>
      </c>
      <c r="GK250">
        <v>0</v>
      </c>
      <c r="GL250" t="s">
        <v>198</v>
      </c>
      <c r="GM250" t="s">
        <v>198</v>
      </c>
      <c r="GN250" t="s">
        <v>198</v>
      </c>
    </row>
    <row r="251" spans="1:196">
      <c r="A251" s="19">
        <v>46316.90678637732</v>
      </c>
      <c r="B251">
        <v>0</v>
      </c>
      <c r="C251">
        <v>0</v>
      </c>
      <c r="D251">
        <v>277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584.2</v>
      </c>
      <c r="N251">
        <v>-0.5</v>
      </c>
      <c r="O251">
        <v>0</v>
      </c>
      <c r="P251">
        <v>0</v>
      </c>
      <c r="Q251">
        <v>0</v>
      </c>
      <c r="R251">
        <v>0</v>
      </c>
      <c r="S251">
        <v>115.6</v>
      </c>
      <c r="T251" t="s">
        <v>485</v>
      </c>
      <c r="U251">
        <v>115.7</v>
      </c>
      <c r="V251">
        <v>1762727256586.8</v>
      </c>
      <c r="W251">
        <v>1</v>
      </c>
      <c r="X251" t="s">
        <v>197</v>
      </c>
      <c r="Y251">
        <v>0</v>
      </c>
      <c r="Z251">
        <v>98</v>
      </c>
      <c r="AA251">
        <v>278</v>
      </c>
      <c r="AB251" t="s">
        <v>197</v>
      </c>
      <c r="AC251" t="s">
        <v>198</v>
      </c>
      <c r="AD251" t="s">
        <v>199</v>
      </c>
      <c r="AE251">
        <v>0</v>
      </c>
      <c r="AF251">
        <v>44</v>
      </c>
      <c r="AG251">
        <v>255</v>
      </c>
      <c r="AH251">
        <v>0</v>
      </c>
      <c r="AI251">
        <v>0</v>
      </c>
      <c r="AJ251">
        <v>0</v>
      </c>
      <c r="AK251">
        <v>12.6</v>
      </c>
      <c r="AL251">
        <v>0</v>
      </c>
      <c r="AM251">
        <v>0</v>
      </c>
      <c r="AN251" t="s">
        <v>197</v>
      </c>
      <c r="AO251">
        <v>100</v>
      </c>
      <c r="AP251" t="s">
        <v>197</v>
      </c>
      <c r="AQ251" t="s">
        <v>200</v>
      </c>
      <c r="AR251">
        <v>1</v>
      </c>
      <c r="AS251">
        <v>0</v>
      </c>
      <c r="AT251" t="s">
        <v>597</v>
      </c>
      <c r="AU251" t="s">
        <v>597</v>
      </c>
      <c r="AV251" t="s">
        <v>202</v>
      </c>
      <c r="AW251" t="s">
        <v>203</v>
      </c>
      <c r="AX251" t="s">
        <v>203</v>
      </c>
      <c r="AY251" t="s">
        <v>203</v>
      </c>
      <c r="AZ251" t="s">
        <v>203</v>
      </c>
      <c r="BA251" t="s">
        <v>203</v>
      </c>
      <c r="BB251" t="s">
        <v>203</v>
      </c>
      <c r="BC251" t="s">
        <v>203</v>
      </c>
      <c r="BD251" t="s">
        <v>203</v>
      </c>
      <c r="BE251" t="s">
        <v>203</v>
      </c>
      <c r="BF251">
        <v>0</v>
      </c>
      <c r="BG251">
        <v>0.2</v>
      </c>
      <c r="BH251">
        <v>50</v>
      </c>
      <c r="BI251">
        <v>0</v>
      </c>
      <c r="BJ251" t="s">
        <v>198</v>
      </c>
      <c r="BK251" t="s">
        <v>198</v>
      </c>
      <c r="BL251" t="s">
        <v>198</v>
      </c>
      <c r="BM251" t="s">
        <v>198</v>
      </c>
      <c r="BN251" t="s">
        <v>198</v>
      </c>
      <c r="BO251" t="s">
        <v>198</v>
      </c>
      <c r="BP251" t="s">
        <v>198</v>
      </c>
      <c r="BQ251" t="s">
        <v>198</v>
      </c>
      <c r="BR251" t="s">
        <v>198</v>
      </c>
      <c r="BS251" t="s">
        <v>198</v>
      </c>
      <c r="BT251" t="s">
        <v>198</v>
      </c>
      <c r="BU251" t="s">
        <v>198</v>
      </c>
      <c r="BV251" t="s">
        <v>198</v>
      </c>
      <c r="BW251" t="s">
        <v>198</v>
      </c>
      <c r="BX251" t="s">
        <v>198</v>
      </c>
      <c r="BY251" t="s">
        <v>198</v>
      </c>
      <c r="BZ251" t="s">
        <v>198</v>
      </c>
      <c r="CA251" t="s">
        <v>198</v>
      </c>
      <c r="CB251" t="s">
        <v>204</v>
      </c>
      <c r="CC251" t="s">
        <v>204</v>
      </c>
      <c r="CD251" t="s">
        <v>204</v>
      </c>
      <c r="CE251" t="s">
        <v>204</v>
      </c>
      <c r="CF251" t="s">
        <v>204</v>
      </c>
      <c r="CG251" t="s">
        <v>204</v>
      </c>
      <c r="CH251" t="s">
        <v>204</v>
      </c>
      <c r="CI251" t="s">
        <v>204</v>
      </c>
      <c r="CJ251" t="s">
        <v>204</v>
      </c>
      <c r="CK251" t="s">
        <v>204</v>
      </c>
      <c r="CL251" t="s">
        <v>204</v>
      </c>
      <c r="CM251" t="s">
        <v>204</v>
      </c>
      <c r="CN251" t="s">
        <v>203</v>
      </c>
      <c r="CO251" t="s">
        <v>203</v>
      </c>
      <c r="CP251" t="s">
        <v>203</v>
      </c>
      <c r="CQ251" t="s">
        <v>203</v>
      </c>
      <c r="CR251" t="s">
        <v>203</v>
      </c>
      <c r="CS251" t="s">
        <v>203</v>
      </c>
      <c r="CT251" t="s">
        <v>203</v>
      </c>
      <c r="CU251" t="s">
        <v>203</v>
      </c>
      <c r="CV251">
        <v>0</v>
      </c>
      <c r="CW251">
        <v>0</v>
      </c>
      <c r="CX251" t="s">
        <v>198</v>
      </c>
      <c r="CY251" t="s">
        <v>198</v>
      </c>
      <c r="CZ251" t="s">
        <v>198</v>
      </c>
      <c r="DA251" t="s">
        <v>198</v>
      </c>
      <c r="DB251" t="s">
        <v>198</v>
      </c>
      <c r="DC251">
        <v>0</v>
      </c>
      <c r="DD251">
        <v>0</v>
      </c>
      <c r="DE251">
        <v>0</v>
      </c>
      <c r="DF251">
        <v>0</v>
      </c>
      <c r="DG251">
        <v>-35.3631166</v>
      </c>
      <c r="DH251">
        <v>149.1639735</v>
      </c>
      <c r="DI251" t="s">
        <v>360</v>
      </c>
      <c r="DJ251">
        <v>1.2</v>
      </c>
      <c r="DK251">
        <v>2</v>
      </c>
      <c r="DL251">
        <v>159.8</v>
      </c>
      <c r="DM251">
        <v>0</v>
      </c>
      <c r="DN251">
        <v>6</v>
      </c>
      <c r="DO251">
        <v>10</v>
      </c>
      <c r="DP251">
        <v>0</v>
      </c>
      <c r="DQ251">
        <v>255</v>
      </c>
      <c r="DR251">
        <v>255</v>
      </c>
      <c r="DS251">
        <v>255</v>
      </c>
      <c r="DT251">
        <v>255</v>
      </c>
      <c r="DU251">
        <v>255</v>
      </c>
      <c r="DV251">
        <v>255</v>
      </c>
      <c r="DW251">
        <v>255</v>
      </c>
      <c r="DX251" t="s">
        <v>206</v>
      </c>
      <c r="DY251" t="s">
        <v>206</v>
      </c>
      <c r="DZ251" t="s">
        <v>207</v>
      </c>
      <c r="EA251" t="s">
        <v>198</v>
      </c>
      <c r="EB251" t="s">
        <v>198</v>
      </c>
      <c r="EC251" t="s">
        <v>198</v>
      </c>
      <c r="ED251">
        <v>0</v>
      </c>
      <c r="EE251">
        <v>0</v>
      </c>
      <c r="EF251">
        <v>0</v>
      </c>
      <c r="EG251">
        <v>0</v>
      </c>
      <c r="EH251">
        <v>255</v>
      </c>
      <c r="EI251">
        <v>255</v>
      </c>
      <c r="EJ251">
        <v>255</v>
      </c>
      <c r="EK251">
        <v>255</v>
      </c>
      <c r="EL251">
        <v>255</v>
      </c>
      <c r="EM251">
        <v>255</v>
      </c>
      <c r="EN251">
        <v>255</v>
      </c>
      <c r="EO251">
        <v>255</v>
      </c>
      <c r="EP251">
        <v>255</v>
      </c>
      <c r="EQ251">
        <v>255</v>
      </c>
      <c r="ER251" t="s">
        <v>208</v>
      </c>
      <c r="ES251" t="s">
        <v>209</v>
      </c>
      <c r="ET251" t="s">
        <v>209</v>
      </c>
      <c r="EU251">
        <v>0</v>
      </c>
      <c r="EV251">
        <v>16.2</v>
      </c>
      <c r="EW251">
        <v>-114.7</v>
      </c>
      <c r="EX251">
        <v>-0.2</v>
      </c>
      <c r="EY251">
        <v>0</v>
      </c>
      <c r="EZ251">
        <v>0</v>
      </c>
      <c r="FA251">
        <v>0</v>
      </c>
      <c r="FB251" t="s">
        <v>198</v>
      </c>
      <c r="FC251" t="s">
        <v>198</v>
      </c>
      <c r="FD251" t="s">
        <v>198</v>
      </c>
      <c r="FE251" t="s">
        <v>198</v>
      </c>
      <c r="FF251" t="s">
        <v>198</v>
      </c>
      <c r="FG251" t="s">
        <v>198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 t="s">
        <v>203</v>
      </c>
      <c r="FP251" t="s">
        <v>203</v>
      </c>
      <c r="FQ251" t="s">
        <v>203</v>
      </c>
      <c r="FR251" t="s">
        <v>203</v>
      </c>
      <c r="FS251" t="s">
        <v>203</v>
      </c>
      <c r="FT251" t="s">
        <v>203</v>
      </c>
      <c r="FU251" t="s">
        <v>198</v>
      </c>
      <c r="FV251" t="s">
        <v>198</v>
      </c>
      <c r="FW251" t="s">
        <v>198</v>
      </c>
      <c r="FX251" t="s">
        <v>198</v>
      </c>
      <c r="FY251" t="s">
        <v>198</v>
      </c>
      <c r="FZ251" t="s">
        <v>198</v>
      </c>
      <c r="GA251">
        <v>31.2</v>
      </c>
      <c r="GB251">
        <v>31.2</v>
      </c>
      <c r="GC251" t="s">
        <v>203</v>
      </c>
      <c r="GD251">
        <v>0</v>
      </c>
      <c r="GE251">
        <v>504</v>
      </c>
      <c r="GF251">
        <v>0</v>
      </c>
      <c r="GG251">
        <v>0</v>
      </c>
      <c r="GH251">
        <v>0</v>
      </c>
      <c r="GI251">
        <v>1</v>
      </c>
      <c r="GJ251">
        <v>1</v>
      </c>
      <c r="GK251">
        <v>0</v>
      </c>
      <c r="GL251" t="s">
        <v>198</v>
      </c>
      <c r="GM251" t="s">
        <v>198</v>
      </c>
      <c r="GN251" t="s">
        <v>198</v>
      </c>
    </row>
    <row r="252" spans="1:196">
      <c r="A252" s="19">
        <v>46316.90679795139</v>
      </c>
      <c r="B252">
        <v>0</v>
      </c>
      <c r="C252">
        <v>0</v>
      </c>
      <c r="D252">
        <v>277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584.2</v>
      </c>
      <c r="N252">
        <v>-0.5</v>
      </c>
      <c r="O252">
        <v>0</v>
      </c>
      <c r="P252">
        <v>0</v>
      </c>
      <c r="Q252">
        <v>0</v>
      </c>
      <c r="R252">
        <v>0</v>
      </c>
      <c r="S252">
        <v>115.6</v>
      </c>
      <c r="T252" t="s">
        <v>485</v>
      </c>
      <c r="U252">
        <v>115.7</v>
      </c>
      <c r="V252">
        <v>1762727256586.8</v>
      </c>
      <c r="W252">
        <v>1</v>
      </c>
      <c r="X252" t="s">
        <v>197</v>
      </c>
      <c r="Y252">
        <v>0</v>
      </c>
      <c r="Z252">
        <v>98</v>
      </c>
      <c r="AA252">
        <v>278</v>
      </c>
      <c r="AB252" t="s">
        <v>197</v>
      </c>
      <c r="AC252" t="s">
        <v>198</v>
      </c>
      <c r="AD252" t="s">
        <v>199</v>
      </c>
      <c r="AE252">
        <v>0</v>
      </c>
      <c r="AF252">
        <v>44</v>
      </c>
      <c r="AG252">
        <v>255</v>
      </c>
      <c r="AH252">
        <v>0</v>
      </c>
      <c r="AI252">
        <v>0</v>
      </c>
      <c r="AJ252">
        <v>0</v>
      </c>
      <c r="AK252">
        <v>12.6</v>
      </c>
      <c r="AL252">
        <v>0</v>
      </c>
      <c r="AM252">
        <v>0</v>
      </c>
      <c r="AN252" t="s">
        <v>197</v>
      </c>
      <c r="AO252">
        <v>100</v>
      </c>
      <c r="AP252" t="s">
        <v>197</v>
      </c>
      <c r="AQ252" t="s">
        <v>200</v>
      </c>
      <c r="AR252">
        <v>1</v>
      </c>
      <c r="AS252">
        <v>0</v>
      </c>
      <c r="AT252" t="s">
        <v>598</v>
      </c>
      <c r="AU252" t="s">
        <v>598</v>
      </c>
      <c r="AV252" t="s">
        <v>202</v>
      </c>
      <c r="AW252" t="s">
        <v>203</v>
      </c>
      <c r="AX252" t="s">
        <v>203</v>
      </c>
      <c r="AY252" t="s">
        <v>203</v>
      </c>
      <c r="AZ252" t="s">
        <v>203</v>
      </c>
      <c r="BA252" t="s">
        <v>203</v>
      </c>
      <c r="BB252" t="s">
        <v>203</v>
      </c>
      <c r="BC252" t="s">
        <v>203</v>
      </c>
      <c r="BD252" t="s">
        <v>203</v>
      </c>
      <c r="BE252" t="s">
        <v>203</v>
      </c>
      <c r="BF252">
        <v>0</v>
      </c>
      <c r="BG252">
        <v>0.2</v>
      </c>
      <c r="BH252">
        <v>50</v>
      </c>
      <c r="BI252">
        <v>0</v>
      </c>
      <c r="BJ252" t="s">
        <v>198</v>
      </c>
      <c r="BK252" t="s">
        <v>198</v>
      </c>
      <c r="BL252" t="s">
        <v>198</v>
      </c>
      <c r="BM252" t="s">
        <v>198</v>
      </c>
      <c r="BN252" t="s">
        <v>198</v>
      </c>
      <c r="BO252" t="s">
        <v>198</v>
      </c>
      <c r="BP252" t="s">
        <v>198</v>
      </c>
      <c r="BQ252" t="s">
        <v>198</v>
      </c>
      <c r="BR252" t="s">
        <v>198</v>
      </c>
      <c r="BS252" t="s">
        <v>198</v>
      </c>
      <c r="BT252" t="s">
        <v>198</v>
      </c>
      <c r="BU252" t="s">
        <v>198</v>
      </c>
      <c r="BV252" t="s">
        <v>198</v>
      </c>
      <c r="BW252" t="s">
        <v>198</v>
      </c>
      <c r="BX252" t="s">
        <v>198</v>
      </c>
      <c r="BY252" t="s">
        <v>198</v>
      </c>
      <c r="BZ252" t="s">
        <v>198</v>
      </c>
      <c r="CA252" t="s">
        <v>198</v>
      </c>
      <c r="CB252" t="s">
        <v>204</v>
      </c>
      <c r="CC252" t="s">
        <v>204</v>
      </c>
      <c r="CD252" t="s">
        <v>204</v>
      </c>
      <c r="CE252" t="s">
        <v>204</v>
      </c>
      <c r="CF252" t="s">
        <v>204</v>
      </c>
      <c r="CG252" t="s">
        <v>204</v>
      </c>
      <c r="CH252" t="s">
        <v>204</v>
      </c>
      <c r="CI252" t="s">
        <v>204</v>
      </c>
      <c r="CJ252" t="s">
        <v>204</v>
      </c>
      <c r="CK252" t="s">
        <v>204</v>
      </c>
      <c r="CL252" t="s">
        <v>204</v>
      </c>
      <c r="CM252" t="s">
        <v>204</v>
      </c>
      <c r="CN252" t="s">
        <v>203</v>
      </c>
      <c r="CO252" t="s">
        <v>203</v>
      </c>
      <c r="CP252" t="s">
        <v>203</v>
      </c>
      <c r="CQ252" t="s">
        <v>203</v>
      </c>
      <c r="CR252" t="s">
        <v>203</v>
      </c>
      <c r="CS252" t="s">
        <v>203</v>
      </c>
      <c r="CT252" t="s">
        <v>203</v>
      </c>
      <c r="CU252" t="s">
        <v>203</v>
      </c>
      <c r="CV252">
        <v>0</v>
      </c>
      <c r="CW252">
        <v>0</v>
      </c>
      <c r="CX252" t="s">
        <v>198</v>
      </c>
      <c r="CY252" t="s">
        <v>198</v>
      </c>
      <c r="CZ252" t="s">
        <v>198</v>
      </c>
      <c r="DA252" t="s">
        <v>198</v>
      </c>
      <c r="DB252" t="s">
        <v>198</v>
      </c>
      <c r="DC252">
        <v>0</v>
      </c>
      <c r="DD252">
        <v>0</v>
      </c>
      <c r="DE252">
        <v>0</v>
      </c>
      <c r="DF252">
        <v>0</v>
      </c>
      <c r="DG252">
        <v>-35.3631166</v>
      </c>
      <c r="DH252">
        <v>149.1639735</v>
      </c>
      <c r="DI252" t="s">
        <v>360</v>
      </c>
      <c r="DJ252">
        <v>1.2</v>
      </c>
      <c r="DK252">
        <v>2</v>
      </c>
      <c r="DL252">
        <v>159.8</v>
      </c>
      <c r="DM252">
        <v>0</v>
      </c>
      <c r="DN252">
        <v>6</v>
      </c>
      <c r="DO252">
        <v>10</v>
      </c>
      <c r="DP252">
        <v>0</v>
      </c>
      <c r="DQ252">
        <v>255</v>
      </c>
      <c r="DR252">
        <v>255</v>
      </c>
      <c r="DS252">
        <v>255</v>
      </c>
      <c r="DT252">
        <v>255</v>
      </c>
      <c r="DU252">
        <v>255</v>
      </c>
      <c r="DV252">
        <v>255</v>
      </c>
      <c r="DW252">
        <v>255</v>
      </c>
      <c r="DX252" t="s">
        <v>206</v>
      </c>
      <c r="DY252" t="s">
        <v>206</v>
      </c>
      <c r="DZ252" t="s">
        <v>207</v>
      </c>
      <c r="EA252" t="s">
        <v>198</v>
      </c>
      <c r="EB252" t="s">
        <v>198</v>
      </c>
      <c r="EC252" t="s">
        <v>198</v>
      </c>
      <c r="ED252">
        <v>0</v>
      </c>
      <c r="EE252">
        <v>0</v>
      </c>
      <c r="EF252">
        <v>0</v>
      </c>
      <c r="EG252">
        <v>0</v>
      </c>
      <c r="EH252">
        <v>255</v>
      </c>
      <c r="EI252">
        <v>255</v>
      </c>
      <c r="EJ252">
        <v>255</v>
      </c>
      <c r="EK252">
        <v>255</v>
      </c>
      <c r="EL252">
        <v>255</v>
      </c>
      <c r="EM252">
        <v>255</v>
      </c>
      <c r="EN252">
        <v>255</v>
      </c>
      <c r="EO252">
        <v>255</v>
      </c>
      <c r="EP252">
        <v>255</v>
      </c>
      <c r="EQ252">
        <v>255</v>
      </c>
      <c r="ER252" t="s">
        <v>208</v>
      </c>
      <c r="ES252" t="s">
        <v>209</v>
      </c>
      <c r="ET252" t="s">
        <v>209</v>
      </c>
      <c r="EU252">
        <v>0</v>
      </c>
      <c r="EV252">
        <v>16.2</v>
      </c>
      <c r="EW252">
        <v>-114.7</v>
      </c>
      <c r="EX252">
        <v>-0.2</v>
      </c>
      <c r="EY252">
        <v>0</v>
      </c>
      <c r="EZ252">
        <v>0</v>
      </c>
      <c r="FA252">
        <v>0</v>
      </c>
      <c r="FB252" t="s">
        <v>198</v>
      </c>
      <c r="FC252" t="s">
        <v>198</v>
      </c>
      <c r="FD252" t="s">
        <v>198</v>
      </c>
      <c r="FE252" t="s">
        <v>198</v>
      </c>
      <c r="FF252" t="s">
        <v>198</v>
      </c>
      <c r="FG252" t="s">
        <v>198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 t="s">
        <v>203</v>
      </c>
      <c r="FP252" t="s">
        <v>203</v>
      </c>
      <c r="FQ252" t="s">
        <v>203</v>
      </c>
      <c r="FR252" t="s">
        <v>203</v>
      </c>
      <c r="FS252" t="s">
        <v>203</v>
      </c>
      <c r="FT252" t="s">
        <v>203</v>
      </c>
      <c r="FU252" t="s">
        <v>198</v>
      </c>
      <c r="FV252" t="s">
        <v>198</v>
      </c>
      <c r="FW252" t="s">
        <v>198</v>
      </c>
      <c r="FX252" t="s">
        <v>198</v>
      </c>
      <c r="FY252" t="s">
        <v>198</v>
      </c>
      <c r="FZ252" t="s">
        <v>198</v>
      </c>
      <c r="GA252">
        <v>31.2</v>
      </c>
      <c r="GB252">
        <v>31.2</v>
      </c>
      <c r="GC252" t="s">
        <v>203</v>
      </c>
      <c r="GD252">
        <v>0</v>
      </c>
      <c r="GE252">
        <v>504</v>
      </c>
      <c r="GF252">
        <v>0</v>
      </c>
      <c r="GG252">
        <v>0</v>
      </c>
      <c r="GH252">
        <v>0</v>
      </c>
      <c r="GI252">
        <v>1</v>
      </c>
      <c r="GJ252">
        <v>1</v>
      </c>
      <c r="GK252">
        <v>0</v>
      </c>
      <c r="GL252" t="s">
        <v>198</v>
      </c>
      <c r="GM252" t="s">
        <v>198</v>
      </c>
      <c r="GN252" t="s">
        <v>198</v>
      </c>
    </row>
    <row r="253" spans="1:196">
      <c r="A253" s="19">
        <v>46316.90680951389</v>
      </c>
      <c r="B253">
        <v>0</v>
      </c>
      <c r="C253">
        <v>0</v>
      </c>
      <c r="D253">
        <v>277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584.2</v>
      </c>
      <c r="N253">
        <v>-0.5</v>
      </c>
      <c r="O253">
        <v>0</v>
      </c>
      <c r="P253">
        <v>0</v>
      </c>
      <c r="Q253">
        <v>0</v>
      </c>
      <c r="R253">
        <v>0</v>
      </c>
      <c r="S253">
        <v>115.6</v>
      </c>
      <c r="T253" t="s">
        <v>485</v>
      </c>
      <c r="U253">
        <v>115.7</v>
      </c>
      <c r="V253">
        <v>1762727256586.8</v>
      </c>
      <c r="W253">
        <v>1</v>
      </c>
      <c r="X253" t="s">
        <v>197</v>
      </c>
      <c r="Y253">
        <v>0</v>
      </c>
      <c r="Z253">
        <v>98</v>
      </c>
      <c r="AA253">
        <v>278</v>
      </c>
      <c r="AB253" t="s">
        <v>197</v>
      </c>
      <c r="AC253" t="s">
        <v>198</v>
      </c>
      <c r="AD253" t="s">
        <v>199</v>
      </c>
      <c r="AE253">
        <v>0</v>
      </c>
      <c r="AF253">
        <v>44</v>
      </c>
      <c r="AG253">
        <v>255</v>
      </c>
      <c r="AH253">
        <v>0</v>
      </c>
      <c r="AI253">
        <v>0</v>
      </c>
      <c r="AJ253">
        <v>0</v>
      </c>
      <c r="AK253">
        <v>12.6</v>
      </c>
      <c r="AL253">
        <v>0</v>
      </c>
      <c r="AM253">
        <v>0</v>
      </c>
      <c r="AN253" t="s">
        <v>197</v>
      </c>
      <c r="AO253">
        <v>100</v>
      </c>
      <c r="AP253" t="s">
        <v>197</v>
      </c>
      <c r="AQ253" t="s">
        <v>200</v>
      </c>
      <c r="AR253">
        <v>1</v>
      </c>
      <c r="AS253">
        <v>0</v>
      </c>
      <c r="AT253" t="s">
        <v>599</v>
      </c>
      <c r="AU253" t="s">
        <v>599</v>
      </c>
      <c r="AV253" t="s">
        <v>202</v>
      </c>
      <c r="AW253" t="s">
        <v>203</v>
      </c>
      <c r="AX253" t="s">
        <v>203</v>
      </c>
      <c r="AY253" t="s">
        <v>203</v>
      </c>
      <c r="AZ253" t="s">
        <v>203</v>
      </c>
      <c r="BA253" t="s">
        <v>203</v>
      </c>
      <c r="BB253" t="s">
        <v>203</v>
      </c>
      <c r="BC253" t="s">
        <v>203</v>
      </c>
      <c r="BD253" t="s">
        <v>203</v>
      </c>
      <c r="BE253" t="s">
        <v>203</v>
      </c>
      <c r="BF253">
        <v>0</v>
      </c>
      <c r="BG253">
        <v>0.2</v>
      </c>
      <c r="BH253">
        <v>50</v>
      </c>
      <c r="BI253">
        <v>0</v>
      </c>
      <c r="BJ253" t="s">
        <v>198</v>
      </c>
      <c r="BK253" t="s">
        <v>198</v>
      </c>
      <c r="BL253" t="s">
        <v>198</v>
      </c>
      <c r="BM253" t="s">
        <v>198</v>
      </c>
      <c r="BN253" t="s">
        <v>198</v>
      </c>
      <c r="BO253" t="s">
        <v>198</v>
      </c>
      <c r="BP253" t="s">
        <v>198</v>
      </c>
      <c r="BQ253" t="s">
        <v>198</v>
      </c>
      <c r="BR253" t="s">
        <v>198</v>
      </c>
      <c r="BS253" t="s">
        <v>198</v>
      </c>
      <c r="BT253" t="s">
        <v>198</v>
      </c>
      <c r="BU253" t="s">
        <v>198</v>
      </c>
      <c r="BV253" t="s">
        <v>198</v>
      </c>
      <c r="BW253" t="s">
        <v>198</v>
      </c>
      <c r="BX253" t="s">
        <v>198</v>
      </c>
      <c r="BY253" t="s">
        <v>198</v>
      </c>
      <c r="BZ253" t="s">
        <v>198</v>
      </c>
      <c r="CA253" t="s">
        <v>198</v>
      </c>
      <c r="CB253" t="s">
        <v>204</v>
      </c>
      <c r="CC253" t="s">
        <v>204</v>
      </c>
      <c r="CD253" t="s">
        <v>204</v>
      </c>
      <c r="CE253" t="s">
        <v>204</v>
      </c>
      <c r="CF253" t="s">
        <v>204</v>
      </c>
      <c r="CG253" t="s">
        <v>204</v>
      </c>
      <c r="CH253" t="s">
        <v>204</v>
      </c>
      <c r="CI253" t="s">
        <v>204</v>
      </c>
      <c r="CJ253" t="s">
        <v>204</v>
      </c>
      <c r="CK253" t="s">
        <v>204</v>
      </c>
      <c r="CL253" t="s">
        <v>204</v>
      </c>
      <c r="CM253" t="s">
        <v>204</v>
      </c>
      <c r="CN253" t="s">
        <v>203</v>
      </c>
      <c r="CO253" t="s">
        <v>203</v>
      </c>
      <c r="CP253" t="s">
        <v>203</v>
      </c>
      <c r="CQ253" t="s">
        <v>203</v>
      </c>
      <c r="CR253" t="s">
        <v>203</v>
      </c>
      <c r="CS253" t="s">
        <v>203</v>
      </c>
      <c r="CT253" t="s">
        <v>203</v>
      </c>
      <c r="CU253" t="s">
        <v>203</v>
      </c>
      <c r="CV253">
        <v>0</v>
      </c>
      <c r="CW253">
        <v>0</v>
      </c>
      <c r="CX253" t="s">
        <v>198</v>
      </c>
      <c r="CY253" t="s">
        <v>198</v>
      </c>
      <c r="CZ253" t="s">
        <v>198</v>
      </c>
      <c r="DA253" t="s">
        <v>198</v>
      </c>
      <c r="DB253" t="s">
        <v>198</v>
      </c>
      <c r="DC253">
        <v>0</v>
      </c>
      <c r="DD253">
        <v>0</v>
      </c>
      <c r="DE253">
        <v>0</v>
      </c>
      <c r="DF253">
        <v>0</v>
      </c>
      <c r="DG253">
        <v>-35.3631166</v>
      </c>
      <c r="DH253">
        <v>149.1639735</v>
      </c>
      <c r="DI253" t="s">
        <v>360</v>
      </c>
      <c r="DJ253">
        <v>1.2</v>
      </c>
      <c r="DK253">
        <v>2</v>
      </c>
      <c r="DL253">
        <v>159.8</v>
      </c>
      <c r="DM253">
        <v>0</v>
      </c>
      <c r="DN253">
        <v>6</v>
      </c>
      <c r="DO253">
        <v>10</v>
      </c>
      <c r="DP253">
        <v>0</v>
      </c>
      <c r="DQ253">
        <v>255</v>
      </c>
      <c r="DR253">
        <v>255</v>
      </c>
      <c r="DS253">
        <v>255</v>
      </c>
      <c r="DT253">
        <v>255</v>
      </c>
      <c r="DU253">
        <v>255</v>
      </c>
      <c r="DV253">
        <v>255</v>
      </c>
      <c r="DW253">
        <v>255</v>
      </c>
      <c r="DX253" t="s">
        <v>206</v>
      </c>
      <c r="DY253" t="s">
        <v>206</v>
      </c>
      <c r="DZ253" t="s">
        <v>207</v>
      </c>
      <c r="EA253" t="s">
        <v>198</v>
      </c>
      <c r="EB253" t="s">
        <v>198</v>
      </c>
      <c r="EC253" t="s">
        <v>198</v>
      </c>
      <c r="ED253">
        <v>0</v>
      </c>
      <c r="EE253">
        <v>0</v>
      </c>
      <c r="EF253">
        <v>0</v>
      </c>
      <c r="EG253">
        <v>0</v>
      </c>
      <c r="EH253">
        <v>255</v>
      </c>
      <c r="EI253">
        <v>255</v>
      </c>
      <c r="EJ253">
        <v>255</v>
      </c>
      <c r="EK253">
        <v>255</v>
      </c>
      <c r="EL253">
        <v>255</v>
      </c>
      <c r="EM253">
        <v>255</v>
      </c>
      <c r="EN253">
        <v>255</v>
      </c>
      <c r="EO253">
        <v>255</v>
      </c>
      <c r="EP253">
        <v>255</v>
      </c>
      <c r="EQ253">
        <v>255</v>
      </c>
      <c r="ER253" t="s">
        <v>208</v>
      </c>
      <c r="ES253" t="s">
        <v>209</v>
      </c>
      <c r="ET253" t="s">
        <v>209</v>
      </c>
      <c r="EU253">
        <v>0</v>
      </c>
      <c r="EV253">
        <v>16.2</v>
      </c>
      <c r="EW253">
        <v>-114.7</v>
      </c>
      <c r="EX253">
        <v>-0.2</v>
      </c>
      <c r="EY253">
        <v>0</v>
      </c>
      <c r="EZ253">
        <v>0</v>
      </c>
      <c r="FA253">
        <v>0</v>
      </c>
      <c r="FB253" t="s">
        <v>198</v>
      </c>
      <c r="FC253" t="s">
        <v>198</v>
      </c>
      <c r="FD253" t="s">
        <v>198</v>
      </c>
      <c r="FE253" t="s">
        <v>198</v>
      </c>
      <c r="FF253" t="s">
        <v>198</v>
      </c>
      <c r="FG253" t="s">
        <v>198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 t="s">
        <v>203</v>
      </c>
      <c r="FP253" t="s">
        <v>203</v>
      </c>
      <c r="FQ253" t="s">
        <v>203</v>
      </c>
      <c r="FR253" t="s">
        <v>203</v>
      </c>
      <c r="FS253" t="s">
        <v>203</v>
      </c>
      <c r="FT253" t="s">
        <v>203</v>
      </c>
      <c r="FU253" t="s">
        <v>198</v>
      </c>
      <c r="FV253" t="s">
        <v>198</v>
      </c>
      <c r="FW253" t="s">
        <v>198</v>
      </c>
      <c r="FX253" t="s">
        <v>198</v>
      </c>
      <c r="FY253" t="s">
        <v>198</v>
      </c>
      <c r="FZ253" t="s">
        <v>198</v>
      </c>
      <c r="GA253">
        <v>31.2</v>
      </c>
      <c r="GB253">
        <v>31.2</v>
      </c>
      <c r="GC253" t="s">
        <v>203</v>
      </c>
      <c r="GD253">
        <v>0</v>
      </c>
      <c r="GE253">
        <v>504</v>
      </c>
      <c r="GF253">
        <v>0</v>
      </c>
      <c r="GG253">
        <v>0</v>
      </c>
      <c r="GH253">
        <v>0</v>
      </c>
      <c r="GI253">
        <v>1</v>
      </c>
      <c r="GJ253">
        <v>1</v>
      </c>
      <c r="GK253">
        <v>0</v>
      </c>
      <c r="GL253" t="s">
        <v>198</v>
      </c>
      <c r="GM253" t="s">
        <v>198</v>
      </c>
      <c r="GN253" t="s">
        <v>198</v>
      </c>
    </row>
    <row r="254" spans="1:196">
      <c r="A254" s="19">
        <v>46316.90682109954</v>
      </c>
      <c r="B254">
        <v>0</v>
      </c>
      <c r="C254">
        <v>0</v>
      </c>
      <c r="D254">
        <v>277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584.2</v>
      </c>
      <c r="N254">
        <v>-0.5</v>
      </c>
      <c r="O254">
        <v>0</v>
      </c>
      <c r="P254">
        <v>0</v>
      </c>
      <c r="Q254">
        <v>0</v>
      </c>
      <c r="R254">
        <v>0</v>
      </c>
      <c r="S254">
        <v>115.6</v>
      </c>
      <c r="T254" t="s">
        <v>485</v>
      </c>
      <c r="U254">
        <v>115.7</v>
      </c>
      <c r="V254">
        <v>1762727256586.8</v>
      </c>
      <c r="W254">
        <v>1</v>
      </c>
      <c r="X254" t="s">
        <v>197</v>
      </c>
      <c r="Y254">
        <v>0</v>
      </c>
      <c r="Z254">
        <v>98</v>
      </c>
      <c r="AA254">
        <v>278</v>
      </c>
      <c r="AB254" t="s">
        <v>197</v>
      </c>
      <c r="AC254" t="s">
        <v>198</v>
      </c>
      <c r="AD254" t="s">
        <v>199</v>
      </c>
      <c r="AE254">
        <v>0</v>
      </c>
      <c r="AF254">
        <v>44</v>
      </c>
      <c r="AG254">
        <v>255</v>
      </c>
      <c r="AH254">
        <v>0</v>
      </c>
      <c r="AI254">
        <v>0</v>
      </c>
      <c r="AJ254">
        <v>0</v>
      </c>
      <c r="AK254">
        <v>12.6</v>
      </c>
      <c r="AL254">
        <v>0</v>
      </c>
      <c r="AM254">
        <v>0</v>
      </c>
      <c r="AN254" t="s">
        <v>197</v>
      </c>
      <c r="AO254">
        <v>100</v>
      </c>
      <c r="AP254" t="s">
        <v>197</v>
      </c>
      <c r="AQ254" t="s">
        <v>200</v>
      </c>
      <c r="AR254">
        <v>1</v>
      </c>
      <c r="AS254">
        <v>0</v>
      </c>
      <c r="AT254" t="s">
        <v>600</v>
      </c>
      <c r="AU254" t="s">
        <v>600</v>
      </c>
      <c r="AV254" t="s">
        <v>202</v>
      </c>
      <c r="AW254" t="s">
        <v>203</v>
      </c>
      <c r="AX254" t="s">
        <v>203</v>
      </c>
      <c r="AY254" t="s">
        <v>203</v>
      </c>
      <c r="AZ254" t="s">
        <v>203</v>
      </c>
      <c r="BA254" t="s">
        <v>203</v>
      </c>
      <c r="BB254" t="s">
        <v>203</v>
      </c>
      <c r="BC254" t="s">
        <v>203</v>
      </c>
      <c r="BD254" t="s">
        <v>203</v>
      </c>
      <c r="BE254" t="s">
        <v>203</v>
      </c>
      <c r="BF254">
        <v>0</v>
      </c>
      <c r="BG254">
        <v>0.2</v>
      </c>
      <c r="BH254">
        <v>50</v>
      </c>
      <c r="BI254">
        <v>0</v>
      </c>
      <c r="BJ254" t="s">
        <v>198</v>
      </c>
      <c r="BK254" t="s">
        <v>198</v>
      </c>
      <c r="BL254" t="s">
        <v>198</v>
      </c>
      <c r="BM254" t="s">
        <v>198</v>
      </c>
      <c r="BN254" t="s">
        <v>198</v>
      </c>
      <c r="BO254" t="s">
        <v>198</v>
      </c>
      <c r="BP254" t="s">
        <v>198</v>
      </c>
      <c r="BQ254" t="s">
        <v>198</v>
      </c>
      <c r="BR254" t="s">
        <v>198</v>
      </c>
      <c r="BS254" t="s">
        <v>198</v>
      </c>
      <c r="BT254" t="s">
        <v>198</v>
      </c>
      <c r="BU254" t="s">
        <v>198</v>
      </c>
      <c r="BV254" t="s">
        <v>198</v>
      </c>
      <c r="BW254" t="s">
        <v>198</v>
      </c>
      <c r="BX254" t="s">
        <v>198</v>
      </c>
      <c r="BY254" t="s">
        <v>198</v>
      </c>
      <c r="BZ254" t="s">
        <v>198</v>
      </c>
      <c r="CA254" t="s">
        <v>198</v>
      </c>
      <c r="CB254" t="s">
        <v>204</v>
      </c>
      <c r="CC254" t="s">
        <v>204</v>
      </c>
      <c r="CD254" t="s">
        <v>204</v>
      </c>
      <c r="CE254" t="s">
        <v>204</v>
      </c>
      <c r="CF254" t="s">
        <v>204</v>
      </c>
      <c r="CG254" t="s">
        <v>204</v>
      </c>
      <c r="CH254" t="s">
        <v>204</v>
      </c>
      <c r="CI254" t="s">
        <v>204</v>
      </c>
      <c r="CJ254" t="s">
        <v>204</v>
      </c>
      <c r="CK254" t="s">
        <v>204</v>
      </c>
      <c r="CL254" t="s">
        <v>204</v>
      </c>
      <c r="CM254" t="s">
        <v>204</v>
      </c>
      <c r="CN254" t="s">
        <v>203</v>
      </c>
      <c r="CO254" t="s">
        <v>203</v>
      </c>
      <c r="CP254" t="s">
        <v>203</v>
      </c>
      <c r="CQ254" t="s">
        <v>203</v>
      </c>
      <c r="CR254" t="s">
        <v>203</v>
      </c>
      <c r="CS254" t="s">
        <v>203</v>
      </c>
      <c r="CT254" t="s">
        <v>203</v>
      </c>
      <c r="CU254" t="s">
        <v>203</v>
      </c>
      <c r="CV254">
        <v>0</v>
      </c>
      <c r="CW254">
        <v>0</v>
      </c>
      <c r="CX254" t="s">
        <v>198</v>
      </c>
      <c r="CY254" t="s">
        <v>198</v>
      </c>
      <c r="CZ254" t="s">
        <v>198</v>
      </c>
      <c r="DA254" t="s">
        <v>198</v>
      </c>
      <c r="DB254" t="s">
        <v>198</v>
      </c>
      <c r="DC254">
        <v>0</v>
      </c>
      <c r="DD254">
        <v>0</v>
      </c>
      <c r="DE254">
        <v>0</v>
      </c>
      <c r="DF254">
        <v>0</v>
      </c>
      <c r="DG254">
        <v>-35.3631166</v>
      </c>
      <c r="DH254">
        <v>149.1639735</v>
      </c>
      <c r="DI254" t="s">
        <v>360</v>
      </c>
      <c r="DJ254">
        <v>1.2</v>
      </c>
      <c r="DK254">
        <v>2</v>
      </c>
      <c r="DL254">
        <v>159.8</v>
      </c>
      <c r="DM254">
        <v>0</v>
      </c>
      <c r="DN254">
        <v>6</v>
      </c>
      <c r="DO254">
        <v>10</v>
      </c>
      <c r="DP254">
        <v>0</v>
      </c>
      <c r="DQ254">
        <v>255</v>
      </c>
      <c r="DR254">
        <v>255</v>
      </c>
      <c r="DS254">
        <v>255</v>
      </c>
      <c r="DT254">
        <v>255</v>
      </c>
      <c r="DU254">
        <v>255</v>
      </c>
      <c r="DV254">
        <v>255</v>
      </c>
      <c r="DW254">
        <v>255</v>
      </c>
      <c r="DX254" t="s">
        <v>206</v>
      </c>
      <c r="DY254" t="s">
        <v>206</v>
      </c>
      <c r="DZ254" t="s">
        <v>207</v>
      </c>
      <c r="EA254" t="s">
        <v>198</v>
      </c>
      <c r="EB254" t="s">
        <v>198</v>
      </c>
      <c r="EC254" t="s">
        <v>198</v>
      </c>
      <c r="ED254">
        <v>0</v>
      </c>
      <c r="EE254">
        <v>0</v>
      </c>
      <c r="EF254">
        <v>0</v>
      </c>
      <c r="EG254">
        <v>0</v>
      </c>
      <c r="EH254">
        <v>255</v>
      </c>
      <c r="EI254">
        <v>255</v>
      </c>
      <c r="EJ254">
        <v>255</v>
      </c>
      <c r="EK254">
        <v>255</v>
      </c>
      <c r="EL254">
        <v>255</v>
      </c>
      <c r="EM254">
        <v>255</v>
      </c>
      <c r="EN254">
        <v>255</v>
      </c>
      <c r="EO254">
        <v>255</v>
      </c>
      <c r="EP254">
        <v>255</v>
      </c>
      <c r="EQ254">
        <v>255</v>
      </c>
      <c r="ER254" t="s">
        <v>208</v>
      </c>
      <c r="ES254" t="s">
        <v>209</v>
      </c>
      <c r="ET254" t="s">
        <v>209</v>
      </c>
      <c r="EU254">
        <v>0</v>
      </c>
      <c r="EV254">
        <v>16.2</v>
      </c>
      <c r="EW254">
        <v>-114.7</v>
      </c>
      <c r="EX254">
        <v>-0.2</v>
      </c>
      <c r="EY254">
        <v>0</v>
      </c>
      <c r="EZ254">
        <v>0</v>
      </c>
      <c r="FA254">
        <v>0</v>
      </c>
      <c r="FB254" t="s">
        <v>198</v>
      </c>
      <c r="FC254" t="s">
        <v>198</v>
      </c>
      <c r="FD254" t="s">
        <v>198</v>
      </c>
      <c r="FE254" t="s">
        <v>198</v>
      </c>
      <c r="FF254" t="s">
        <v>198</v>
      </c>
      <c r="FG254" t="s">
        <v>198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 t="s">
        <v>203</v>
      </c>
      <c r="FP254" t="s">
        <v>203</v>
      </c>
      <c r="FQ254" t="s">
        <v>203</v>
      </c>
      <c r="FR254" t="s">
        <v>203</v>
      </c>
      <c r="FS254" t="s">
        <v>203</v>
      </c>
      <c r="FT254" t="s">
        <v>203</v>
      </c>
      <c r="FU254" t="s">
        <v>198</v>
      </c>
      <c r="FV254" t="s">
        <v>198</v>
      </c>
      <c r="FW254" t="s">
        <v>198</v>
      </c>
      <c r="FX254" t="s">
        <v>198</v>
      </c>
      <c r="FY254" t="s">
        <v>198</v>
      </c>
      <c r="FZ254" t="s">
        <v>198</v>
      </c>
      <c r="GA254">
        <v>31.2</v>
      </c>
      <c r="GB254">
        <v>31.2</v>
      </c>
      <c r="GC254" t="s">
        <v>203</v>
      </c>
      <c r="GD254">
        <v>0</v>
      </c>
      <c r="GE254">
        <v>504</v>
      </c>
      <c r="GF254">
        <v>0</v>
      </c>
      <c r="GG254">
        <v>0</v>
      </c>
      <c r="GH254">
        <v>0</v>
      </c>
      <c r="GI254">
        <v>1</v>
      </c>
      <c r="GJ254">
        <v>1</v>
      </c>
      <c r="GK254">
        <v>0</v>
      </c>
      <c r="GL254" t="s">
        <v>198</v>
      </c>
      <c r="GM254" t="s">
        <v>198</v>
      </c>
      <c r="GN254" t="s">
        <v>198</v>
      </c>
    </row>
    <row r="255" spans="1:196">
      <c r="A255" s="19">
        <v>46316.90683266204</v>
      </c>
      <c r="B255">
        <v>0</v>
      </c>
      <c r="C255">
        <v>0</v>
      </c>
      <c r="D255">
        <v>277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584.2</v>
      </c>
      <c r="N255">
        <v>-0.5</v>
      </c>
      <c r="O255">
        <v>0</v>
      </c>
      <c r="P255">
        <v>0</v>
      </c>
      <c r="Q255">
        <v>0</v>
      </c>
      <c r="R255">
        <v>0</v>
      </c>
      <c r="S255">
        <v>115.6</v>
      </c>
      <c r="T255" t="s">
        <v>485</v>
      </c>
      <c r="U255">
        <v>115.7</v>
      </c>
      <c r="V255">
        <v>1762727256586.8</v>
      </c>
      <c r="W255">
        <v>1</v>
      </c>
      <c r="X255" t="s">
        <v>197</v>
      </c>
      <c r="Y255">
        <v>0</v>
      </c>
      <c r="Z255">
        <v>98</v>
      </c>
      <c r="AA255">
        <v>278</v>
      </c>
      <c r="AB255" t="s">
        <v>197</v>
      </c>
      <c r="AC255" t="s">
        <v>198</v>
      </c>
      <c r="AD255" t="s">
        <v>199</v>
      </c>
      <c r="AE255">
        <v>0</v>
      </c>
      <c r="AF255">
        <v>44</v>
      </c>
      <c r="AG255">
        <v>255</v>
      </c>
      <c r="AH255">
        <v>0</v>
      </c>
      <c r="AI255">
        <v>0</v>
      </c>
      <c r="AJ255">
        <v>0</v>
      </c>
      <c r="AK255">
        <v>12.6</v>
      </c>
      <c r="AL255">
        <v>0</v>
      </c>
      <c r="AM255">
        <v>0</v>
      </c>
      <c r="AN255" t="s">
        <v>197</v>
      </c>
      <c r="AO255">
        <v>100</v>
      </c>
      <c r="AP255" t="s">
        <v>197</v>
      </c>
      <c r="AQ255" t="s">
        <v>200</v>
      </c>
      <c r="AR255">
        <v>1</v>
      </c>
      <c r="AS255">
        <v>0</v>
      </c>
      <c r="AT255" t="s">
        <v>601</v>
      </c>
      <c r="AU255" t="s">
        <v>601</v>
      </c>
      <c r="AV255" t="s">
        <v>202</v>
      </c>
      <c r="AW255" t="s">
        <v>203</v>
      </c>
      <c r="AX255" t="s">
        <v>203</v>
      </c>
      <c r="AY255" t="s">
        <v>203</v>
      </c>
      <c r="AZ255" t="s">
        <v>203</v>
      </c>
      <c r="BA255" t="s">
        <v>203</v>
      </c>
      <c r="BB255" t="s">
        <v>203</v>
      </c>
      <c r="BC255" t="s">
        <v>203</v>
      </c>
      <c r="BD255" t="s">
        <v>203</v>
      </c>
      <c r="BE255" t="s">
        <v>203</v>
      </c>
      <c r="BF255">
        <v>0</v>
      </c>
      <c r="BG255">
        <v>0.2</v>
      </c>
      <c r="BH255">
        <v>50</v>
      </c>
      <c r="BI255">
        <v>0</v>
      </c>
      <c r="BJ255" t="s">
        <v>198</v>
      </c>
      <c r="BK255" t="s">
        <v>198</v>
      </c>
      <c r="BL255" t="s">
        <v>198</v>
      </c>
      <c r="BM255" t="s">
        <v>198</v>
      </c>
      <c r="BN255" t="s">
        <v>198</v>
      </c>
      <c r="BO255" t="s">
        <v>198</v>
      </c>
      <c r="BP255" t="s">
        <v>198</v>
      </c>
      <c r="BQ255" t="s">
        <v>198</v>
      </c>
      <c r="BR255" t="s">
        <v>198</v>
      </c>
      <c r="BS255" t="s">
        <v>198</v>
      </c>
      <c r="BT255" t="s">
        <v>198</v>
      </c>
      <c r="BU255" t="s">
        <v>198</v>
      </c>
      <c r="BV255" t="s">
        <v>198</v>
      </c>
      <c r="BW255" t="s">
        <v>198</v>
      </c>
      <c r="BX255" t="s">
        <v>198</v>
      </c>
      <c r="BY255" t="s">
        <v>198</v>
      </c>
      <c r="BZ255" t="s">
        <v>198</v>
      </c>
      <c r="CA255" t="s">
        <v>198</v>
      </c>
      <c r="CB255" t="s">
        <v>204</v>
      </c>
      <c r="CC255" t="s">
        <v>204</v>
      </c>
      <c r="CD255" t="s">
        <v>204</v>
      </c>
      <c r="CE255" t="s">
        <v>204</v>
      </c>
      <c r="CF255" t="s">
        <v>204</v>
      </c>
      <c r="CG255" t="s">
        <v>204</v>
      </c>
      <c r="CH255" t="s">
        <v>204</v>
      </c>
      <c r="CI255" t="s">
        <v>204</v>
      </c>
      <c r="CJ255" t="s">
        <v>204</v>
      </c>
      <c r="CK255" t="s">
        <v>204</v>
      </c>
      <c r="CL255" t="s">
        <v>204</v>
      </c>
      <c r="CM255" t="s">
        <v>204</v>
      </c>
      <c r="CN255" t="s">
        <v>203</v>
      </c>
      <c r="CO255" t="s">
        <v>203</v>
      </c>
      <c r="CP255" t="s">
        <v>203</v>
      </c>
      <c r="CQ255" t="s">
        <v>203</v>
      </c>
      <c r="CR255" t="s">
        <v>203</v>
      </c>
      <c r="CS255" t="s">
        <v>203</v>
      </c>
      <c r="CT255" t="s">
        <v>203</v>
      </c>
      <c r="CU255" t="s">
        <v>203</v>
      </c>
      <c r="CV255">
        <v>0</v>
      </c>
      <c r="CW255">
        <v>0</v>
      </c>
      <c r="CX255" t="s">
        <v>198</v>
      </c>
      <c r="CY255" t="s">
        <v>198</v>
      </c>
      <c r="CZ255" t="s">
        <v>198</v>
      </c>
      <c r="DA255" t="s">
        <v>198</v>
      </c>
      <c r="DB255" t="s">
        <v>198</v>
      </c>
      <c r="DC255">
        <v>0</v>
      </c>
      <c r="DD255">
        <v>0</v>
      </c>
      <c r="DE255">
        <v>0</v>
      </c>
      <c r="DF255">
        <v>0</v>
      </c>
      <c r="DG255">
        <v>-35.3631166</v>
      </c>
      <c r="DH255">
        <v>149.1639735</v>
      </c>
      <c r="DI255" t="s">
        <v>360</v>
      </c>
      <c r="DJ255">
        <v>1.2</v>
      </c>
      <c r="DK255">
        <v>2</v>
      </c>
      <c r="DL255">
        <v>159.8</v>
      </c>
      <c r="DM255">
        <v>0</v>
      </c>
      <c r="DN255">
        <v>6</v>
      </c>
      <c r="DO255">
        <v>10</v>
      </c>
      <c r="DP255">
        <v>0</v>
      </c>
      <c r="DQ255">
        <v>255</v>
      </c>
      <c r="DR255">
        <v>255</v>
      </c>
      <c r="DS255">
        <v>255</v>
      </c>
      <c r="DT255">
        <v>255</v>
      </c>
      <c r="DU255">
        <v>255</v>
      </c>
      <c r="DV255">
        <v>255</v>
      </c>
      <c r="DW255">
        <v>255</v>
      </c>
      <c r="DX255" t="s">
        <v>206</v>
      </c>
      <c r="DY255" t="s">
        <v>206</v>
      </c>
      <c r="DZ255" t="s">
        <v>207</v>
      </c>
      <c r="EA255" t="s">
        <v>198</v>
      </c>
      <c r="EB255" t="s">
        <v>198</v>
      </c>
      <c r="EC255" t="s">
        <v>198</v>
      </c>
      <c r="ED255">
        <v>0</v>
      </c>
      <c r="EE255">
        <v>0</v>
      </c>
      <c r="EF255">
        <v>0</v>
      </c>
      <c r="EG255">
        <v>0</v>
      </c>
      <c r="EH255">
        <v>255</v>
      </c>
      <c r="EI255">
        <v>255</v>
      </c>
      <c r="EJ255">
        <v>255</v>
      </c>
      <c r="EK255">
        <v>255</v>
      </c>
      <c r="EL255">
        <v>255</v>
      </c>
      <c r="EM255">
        <v>255</v>
      </c>
      <c r="EN255">
        <v>255</v>
      </c>
      <c r="EO255">
        <v>255</v>
      </c>
      <c r="EP255">
        <v>255</v>
      </c>
      <c r="EQ255">
        <v>255</v>
      </c>
      <c r="ER255" t="s">
        <v>208</v>
      </c>
      <c r="ES255" t="s">
        <v>209</v>
      </c>
      <c r="ET255" t="s">
        <v>209</v>
      </c>
      <c r="EU255">
        <v>0</v>
      </c>
      <c r="EV255">
        <v>16.2</v>
      </c>
      <c r="EW255">
        <v>-114.7</v>
      </c>
      <c r="EX255">
        <v>-0.2</v>
      </c>
      <c r="EY255">
        <v>0</v>
      </c>
      <c r="EZ255">
        <v>0</v>
      </c>
      <c r="FA255">
        <v>0</v>
      </c>
      <c r="FB255" t="s">
        <v>198</v>
      </c>
      <c r="FC255" t="s">
        <v>198</v>
      </c>
      <c r="FD255" t="s">
        <v>198</v>
      </c>
      <c r="FE255" t="s">
        <v>198</v>
      </c>
      <c r="FF255" t="s">
        <v>198</v>
      </c>
      <c r="FG255" t="s">
        <v>198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203</v>
      </c>
      <c r="FP255" t="s">
        <v>203</v>
      </c>
      <c r="FQ255" t="s">
        <v>203</v>
      </c>
      <c r="FR255" t="s">
        <v>203</v>
      </c>
      <c r="FS255" t="s">
        <v>203</v>
      </c>
      <c r="FT255" t="s">
        <v>203</v>
      </c>
      <c r="FU255" t="s">
        <v>198</v>
      </c>
      <c r="FV255" t="s">
        <v>198</v>
      </c>
      <c r="FW255" t="s">
        <v>198</v>
      </c>
      <c r="FX255" t="s">
        <v>198</v>
      </c>
      <c r="FY255" t="s">
        <v>198</v>
      </c>
      <c r="FZ255" t="s">
        <v>198</v>
      </c>
      <c r="GA255">
        <v>31.2</v>
      </c>
      <c r="GB255">
        <v>31.2</v>
      </c>
      <c r="GC255" t="s">
        <v>203</v>
      </c>
      <c r="GD255">
        <v>0</v>
      </c>
      <c r="GE255">
        <v>504</v>
      </c>
      <c r="GF255">
        <v>0</v>
      </c>
      <c r="GG255">
        <v>0</v>
      </c>
      <c r="GH255">
        <v>0</v>
      </c>
      <c r="GI255">
        <v>1</v>
      </c>
      <c r="GJ255">
        <v>1</v>
      </c>
      <c r="GK255">
        <v>0</v>
      </c>
      <c r="GL255" t="s">
        <v>198</v>
      </c>
      <c r="GM255" t="s">
        <v>198</v>
      </c>
      <c r="GN255" t="s">
        <v>198</v>
      </c>
    </row>
    <row r="256" spans="1:196">
      <c r="A256" s="19">
        <v>46316.90684424769</v>
      </c>
      <c r="B256">
        <v>0</v>
      </c>
      <c r="C256">
        <v>0</v>
      </c>
      <c r="D256">
        <v>277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584.2</v>
      </c>
      <c r="N256">
        <v>-0.5</v>
      </c>
      <c r="O256">
        <v>0</v>
      </c>
      <c r="P256">
        <v>0</v>
      </c>
      <c r="Q256">
        <v>0</v>
      </c>
      <c r="R256">
        <v>0</v>
      </c>
      <c r="S256">
        <v>115.6</v>
      </c>
      <c r="T256" t="s">
        <v>485</v>
      </c>
      <c r="U256">
        <v>115.7</v>
      </c>
      <c r="V256">
        <v>1762727256586.8</v>
      </c>
      <c r="W256">
        <v>1</v>
      </c>
      <c r="X256" t="s">
        <v>197</v>
      </c>
      <c r="Y256">
        <v>0</v>
      </c>
      <c r="Z256">
        <v>98</v>
      </c>
      <c r="AA256">
        <v>278</v>
      </c>
      <c r="AB256" t="s">
        <v>197</v>
      </c>
      <c r="AC256" t="s">
        <v>198</v>
      </c>
      <c r="AD256" t="s">
        <v>199</v>
      </c>
      <c r="AE256">
        <v>0</v>
      </c>
      <c r="AF256">
        <v>44</v>
      </c>
      <c r="AG256">
        <v>255</v>
      </c>
      <c r="AH256">
        <v>0</v>
      </c>
      <c r="AI256">
        <v>0</v>
      </c>
      <c r="AJ256">
        <v>0</v>
      </c>
      <c r="AK256">
        <v>12.6</v>
      </c>
      <c r="AL256">
        <v>0</v>
      </c>
      <c r="AM256">
        <v>0</v>
      </c>
      <c r="AN256" t="s">
        <v>197</v>
      </c>
      <c r="AO256">
        <v>100</v>
      </c>
      <c r="AP256" t="s">
        <v>197</v>
      </c>
      <c r="AQ256" t="s">
        <v>200</v>
      </c>
      <c r="AR256">
        <v>1</v>
      </c>
      <c r="AS256">
        <v>0</v>
      </c>
      <c r="AT256" t="s">
        <v>602</v>
      </c>
      <c r="AU256" t="s">
        <v>602</v>
      </c>
      <c r="AV256" t="s">
        <v>202</v>
      </c>
      <c r="AW256" t="s">
        <v>203</v>
      </c>
      <c r="AX256" t="s">
        <v>203</v>
      </c>
      <c r="AY256" t="s">
        <v>203</v>
      </c>
      <c r="AZ256" t="s">
        <v>203</v>
      </c>
      <c r="BA256" t="s">
        <v>203</v>
      </c>
      <c r="BB256" t="s">
        <v>203</v>
      </c>
      <c r="BC256" t="s">
        <v>203</v>
      </c>
      <c r="BD256" t="s">
        <v>203</v>
      </c>
      <c r="BE256" t="s">
        <v>203</v>
      </c>
      <c r="BF256">
        <v>0</v>
      </c>
      <c r="BG256">
        <v>0.2</v>
      </c>
      <c r="BH256">
        <v>50</v>
      </c>
      <c r="BI256">
        <v>0</v>
      </c>
      <c r="BJ256" t="s">
        <v>198</v>
      </c>
      <c r="BK256" t="s">
        <v>198</v>
      </c>
      <c r="BL256" t="s">
        <v>198</v>
      </c>
      <c r="BM256" t="s">
        <v>198</v>
      </c>
      <c r="BN256" t="s">
        <v>198</v>
      </c>
      <c r="BO256" t="s">
        <v>198</v>
      </c>
      <c r="BP256" t="s">
        <v>198</v>
      </c>
      <c r="BQ256" t="s">
        <v>198</v>
      </c>
      <c r="BR256" t="s">
        <v>198</v>
      </c>
      <c r="BS256" t="s">
        <v>198</v>
      </c>
      <c r="BT256" t="s">
        <v>198</v>
      </c>
      <c r="BU256" t="s">
        <v>198</v>
      </c>
      <c r="BV256" t="s">
        <v>198</v>
      </c>
      <c r="BW256" t="s">
        <v>198</v>
      </c>
      <c r="BX256" t="s">
        <v>198</v>
      </c>
      <c r="BY256" t="s">
        <v>198</v>
      </c>
      <c r="BZ256" t="s">
        <v>198</v>
      </c>
      <c r="CA256" t="s">
        <v>198</v>
      </c>
      <c r="CB256" t="s">
        <v>204</v>
      </c>
      <c r="CC256" t="s">
        <v>204</v>
      </c>
      <c r="CD256" t="s">
        <v>204</v>
      </c>
      <c r="CE256" t="s">
        <v>204</v>
      </c>
      <c r="CF256" t="s">
        <v>204</v>
      </c>
      <c r="CG256" t="s">
        <v>204</v>
      </c>
      <c r="CH256" t="s">
        <v>204</v>
      </c>
      <c r="CI256" t="s">
        <v>204</v>
      </c>
      <c r="CJ256" t="s">
        <v>204</v>
      </c>
      <c r="CK256" t="s">
        <v>204</v>
      </c>
      <c r="CL256" t="s">
        <v>204</v>
      </c>
      <c r="CM256" t="s">
        <v>204</v>
      </c>
      <c r="CN256" t="s">
        <v>203</v>
      </c>
      <c r="CO256" t="s">
        <v>203</v>
      </c>
      <c r="CP256" t="s">
        <v>203</v>
      </c>
      <c r="CQ256" t="s">
        <v>203</v>
      </c>
      <c r="CR256" t="s">
        <v>203</v>
      </c>
      <c r="CS256" t="s">
        <v>203</v>
      </c>
      <c r="CT256" t="s">
        <v>203</v>
      </c>
      <c r="CU256" t="s">
        <v>203</v>
      </c>
      <c r="CV256">
        <v>0</v>
      </c>
      <c r="CW256">
        <v>0</v>
      </c>
      <c r="CX256" t="s">
        <v>198</v>
      </c>
      <c r="CY256" t="s">
        <v>198</v>
      </c>
      <c r="CZ256" t="s">
        <v>198</v>
      </c>
      <c r="DA256" t="s">
        <v>198</v>
      </c>
      <c r="DB256" t="s">
        <v>198</v>
      </c>
      <c r="DC256">
        <v>0</v>
      </c>
      <c r="DD256">
        <v>0</v>
      </c>
      <c r="DE256">
        <v>0</v>
      </c>
      <c r="DF256">
        <v>0</v>
      </c>
      <c r="DG256">
        <v>-35.3631166</v>
      </c>
      <c r="DH256">
        <v>149.1639735</v>
      </c>
      <c r="DI256" t="s">
        <v>360</v>
      </c>
      <c r="DJ256">
        <v>1.2</v>
      </c>
      <c r="DK256">
        <v>2</v>
      </c>
      <c r="DL256">
        <v>159.8</v>
      </c>
      <c r="DM256">
        <v>0</v>
      </c>
      <c r="DN256">
        <v>6</v>
      </c>
      <c r="DO256">
        <v>10</v>
      </c>
      <c r="DP256">
        <v>0</v>
      </c>
      <c r="DQ256">
        <v>255</v>
      </c>
      <c r="DR256">
        <v>255</v>
      </c>
      <c r="DS256">
        <v>255</v>
      </c>
      <c r="DT256">
        <v>255</v>
      </c>
      <c r="DU256">
        <v>255</v>
      </c>
      <c r="DV256">
        <v>255</v>
      </c>
      <c r="DW256">
        <v>255</v>
      </c>
      <c r="DX256" t="s">
        <v>206</v>
      </c>
      <c r="DY256" t="s">
        <v>206</v>
      </c>
      <c r="DZ256" t="s">
        <v>207</v>
      </c>
      <c r="EA256" t="s">
        <v>198</v>
      </c>
      <c r="EB256" t="s">
        <v>198</v>
      </c>
      <c r="EC256" t="s">
        <v>198</v>
      </c>
      <c r="ED256">
        <v>0</v>
      </c>
      <c r="EE256">
        <v>0</v>
      </c>
      <c r="EF256">
        <v>0</v>
      </c>
      <c r="EG256">
        <v>0</v>
      </c>
      <c r="EH256">
        <v>255</v>
      </c>
      <c r="EI256">
        <v>255</v>
      </c>
      <c r="EJ256">
        <v>255</v>
      </c>
      <c r="EK256">
        <v>255</v>
      </c>
      <c r="EL256">
        <v>255</v>
      </c>
      <c r="EM256">
        <v>255</v>
      </c>
      <c r="EN256">
        <v>255</v>
      </c>
      <c r="EO256">
        <v>255</v>
      </c>
      <c r="EP256">
        <v>255</v>
      </c>
      <c r="EQ256">
        <v>255</v>
      </c>
      <c r="ER256" t="s">
        <v>208</v>
      </c>
      <c r="ES256" t="s">
        <v>209</v>
      </c>
      <c r="ET256" t="s">
        <v>209</v>
      </c>
      <c r="EU256">
        <v>0</v>
      </c>
      <c r="EV256">
        <v>16.2</v>
      </c>
      <c r="EW256">
        <v>-114.7</v>
      </c>
      <c r="EX256">
        <v>-0.2</v>
      </c>
      <c r="EY256">
        <v>0</v>
      </c>
      <c r="EZ256">
        <v>0</v>
      </c>
      <c r="FA256">
        <v>0</v>
      </c>
      <c r="FB256" t="s">
        <v>198</v>
      </c>
      <c r="FC256" t="s">
        <v>198</v>
      </c>
      <c r="FD256" t="s">
        <v>198</v>
      </c>
      <c r="FE256" t="s">
        <v>198</v>
      </c>
      <c r="FF256" t="s">
        <v>198</v>
      </c>
      <c r="FG256" t="s">
        <v>198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 t="s">
        <v>203</v>
      </c>
      <c r="FP256" t="s">
        <v>203</v>
      </c>
      <c r="FQ256" t="s">
        <v>203</v>
      </c>
      <c r="FR256" t="s">
        <v>203</v>
      </c>
      <c r="FS256" t="s">
        <v>203</v>
      </c>
      <c r="FT256" t="s">
        <v>203</v>
      </c>
      <c r="FU256" t="s">
        <v>198</v>
      </c>
      <c r="FV256" t="s">
        <v>198</v>
      </c>
      <c r="FW256" t="s">
        <v>198</v>
      </c>
      <c r="FX256" t="s">
        <v>198</v>
      </c>
      <c r="FY256" t="s">
        <v>198</v>
      </c>
      <c r="FZ256" t="s">
        <v>198</v>
      </c>
      <c r="GA256">
        <v>31.2</v>
      </c>
      <c r="GB256">
        <v>31.2</v>
      </c>
      <c r="GC256" t="s">
        <v>203</v>
      </c>
      <c r="GD256">
        <v>0</v>
      </c>
      <c r="GE256">
        <v>504</v>
      </c>
      <c r="GF256">
        <v>0</v>
      </c>
      <c r="GG256">
        <v>0</v>
      </c>
      <c r="GH256">
        <v>0</v>
      </c>
      <c r="GI256">
        <v>1</v>
      </c>
      <c r="GJ256">
        <v>1</v>
      </c>
      <c r="GK256">
        <v>0</v>
      </c>
      <c r="GL256" t="s">
        <v>198</v>
      </c>
      <c r="GM256" t="s">
        <v>198</v>
      </c>
      <c r="GN256" t="s">
        <v>198</v>
      </c>
    </row>
    <row r="257" spans="1:196">
      <c r="A257" s="19">
        <v>46316.90685582176</v>
      </c>
      <c r="B257">
        <v>0</v>
      </c>
      <c r="C257">
        <v>0</v>
      </c>
      <c r="D257">
        <v>277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584.2</v>
      </c>
      <c r="N257">
        <v>-0.5</v>
      </c>
      <c r="O257">
        <v>0</v>
      </c>
      <c r="P257">
        <v>0</v>
      </c>
      <c r="Q257">
        <v>0</v>
      </c>
      <c r="R257">
        <v>0</v>
      </c>
      <c r="S257">
        <v>115.6</v>
      </c>
      <c r="T257" t="s">
        <v>485</v>
      </c>
      <c r="U257">
        <v>115.7</v>
      </c>
      <c r="V257">
        <v>1762727256586.8</v>
      </c>
      <c r="W257">
        <v>1</v>
      </c>
      <c r="X257" t="s">
        <v>197</v>
      </c>
      <c r="Y257">
        <v>0</v>
      </c>
      <c r="Z257">
        <v>98</v>
      </c>
      <c r="AA257">
        <v>278</v>
      </c>
      <c r="AB257" t="s">
        <v>197</v>
      </c>
      <c r="AC257" t="s">
        <v>198</v>
      </c>
      <c r="AD257" t="s">
        <v>199</v>
      </c>
      <c r="AE257">
        <v>0</v>
      </c>
      <c r="AF257">
        <v>44</v>
      </c>
      <c r="AG257">
        <v>255</v>
      </c>
      <c r="AH257">
        <v>0</v>
      </c>
      <c r="AI257">
        <v>0</v>
      </c>
      <c r="AJ257">
        <v>0</v>
      </c>
      <c r="AK257">
        <v>12.6</v>
      </c>
      <c r="AL257">
        <v>0</v>
      </c>
      <c r="AM257">
        <v>0</v>
      </c>
      <c r="AN257" t="s">
        <v>197</v>
      </c>
      <c r="AO257">
        <v>100</v>
      </c>
      <c r="AP257" t="s">
        <v>197</v>
      </c>
      <c r="AQ257" t="s">
        <v>200</v>
      </c>
      <c r="AR257">
        <v>1</v>
      </c>
      <c r="AS257">
        <v>0</v>
      </c>
      <c r="AT257" t="s">
        <v>603</v>
      </c>
      <c r="AU257" t="s">
        <v>603</v>
      </c>
      <c r="AV257" t="s">
        <v>202</v>
      </c>
      <c r="AW257" t="s">
        <v>203</v>
      </c>
      <c r="AX257" t="s">
        <v>203</v>
      </c>
      <c r="AY257" t="s">
        <v>203</v>
      </c>
      <c r="AZ257" t="s">
        <v>203</v>
      </c>
      <c r="BA257" t="s">
        <v>203</v>
      </c>
      <c r="BB257" t="s">
        <v>203</v>
      </c>
      <c r="BC257" t="s">
        <v>203</v>
      </c>
      <c r="BD257" t="s">
        <v>203</v>
      </c>
      <c r="BE257" t="s">
        <v>203</v>
      </c>
      <c r="BF257">
        <v>0</v>
      </c>
      <c r="BG257">
        <v>0.2</v>
      </c>
      <c r="BH257">
        <v>50</v>
      </c>
      <c r="BI257">
        <v>0</v>
      </c>
      <c r="BJ257" t="s">
        <v>198</v>
      </c>
      <c r="BK257" t="s">
        <v>198</v>
      </c>
      <c r="BL257" t="s">
        <v>198</v>
      </c>
      <c r="BM257" t="s">
        <v>198</v>
      </c>
      <c r="BN257" t="s">
        <v>198</v>
      </c>
      <c r="BO257" t="s">
        <v>198</v>
      </c>
      <c r="BP257" t="s">
        <v>198</v>
      </c>
      <c r="BQ257" t="s">
        <v>198</v>
      </c>
      <c r="BR257" t="s">
        <v>198</v>
      </c>
      <c r="BS257" t="s">
        <v>198</v>
      </c>
      <c r="BT257" t="s">
        <v>198</v>
      </c>
      <c r="BU257" t="s">
        <v>198</v>
      </c>
      <c r="BV257" t="s">
        <v>198</v>
      </c>
      <c r="BW257" t="s">
        <v>198</v>
      </c>
      <c r="BX257" t="s">
        <v>198</v>
      </c>
      <c r="BY257" t="s">
        <v>198</v>
      </c>
      <c r="BZ257" t="s">
        <v>198</v>
      </c>
      <c r="CA257" t="s">
        <v>198</v>
      </c>
      <c r="CB257" t="s">
        <v>204</v>
      </c>
      <c r="CC257" t="s">
        <v>204</v>
      </c>
      <c r="CD257" t="s">
        <v>204</v>
      </c>
      <c r="CE257" t="s">
        <v>204</v>
      </c>
      <c r="CF257" t="s">
        <v>204</v>
      </c>
      <c r="CG257" t="s">
        <v>204</v>
      </c>
      <c r="CH257" t="s">
        <v>204</v>
      </c>
      <c r="CI257" t="s">
        <v>204</v>
      </c>
      <c r="CJ257" t="s">
        <v>204</v>
      </c>
      <c r="CK257" t="s">
        <v>204</v>
      </c>
      <c r="CL257" t="s">
        <v>204</v>
      </c>
      <c r="CM257" t="s">
        <v>204</v>
      </c>
      <c r="CN257" t="s">
        <v>203</v>
      </c>
      <c r="CO257" t="s">
        <v>203</v>
      </c>
      <c r="CP257" t="s">
        <v>203</v>
      </c>
      <c r="CQ257" t="s">
        <v>203</v>
      </c>
      <c r="CR257" t="s">
        <v>203</v>
      </c>
      <c r="CS257" t="s">
        <v>203</v>
      </c>
      <c r="CT257" t="s">
        <v>203</v>
      </c>
      <c r="CU257" t="s">
        <v>203</v>
      </c>
      <c r="CV257">
        <v>0</v>
      </c>
      <c r="CW257">
        <v>0</v>
      </c>
      <c r="CX257" t="s">
        <v>198</v>
      </c>
      <c r="CY257" t="s">
        <v>198</v>
      </c>
      <c r="CZ257" t="s">
        <v>198</v>
      </c>
      <c r="DA257" t="s">
        <v>198</v>
      </c>
      <c r="DB257" t="s">
        <v>198</v>
      </c>
      <c r="DC257">
        <v>0</v>
      </c>
      <c r="DD257">
        <v>0</v>
      </c>
      <c r="DE257">
        <v>0</v>
      </c>
      <c r="DF257">
        <v>0</v>
      </c>
      <c r="DG257">
        <v>-35.3631166</v>
      </c>
      <c r="DH257">
        <v>149.1639735</v>
      </c>
      <c r="DI257" t="s">
        <v>360</v>
      </c>
      <c r="DJ257">
        <v>1.2</v>
      </c>
      <c r="DK257">
        <v>2</v>
      </c>
      <c r="DL257">
        <v>159.8</v>
      </c>
      <c r="DM257">
        <v>0</v>
      </c>
      <c r="DN257">
        <v>6</v>
      </c>
      <c r="DO257">
        <v>10</v>
      </c>
      <c r="DP257">
        <v>0</v>
      </c>
      <c r="DQ257">
        <v>255</v>
      </c>
      <c r="DR257">
        <v>255</v>
      </c>
      <c r="DS257">
        <v>255</v>
      </c>
      <c r="DT257">
        <v>255</v>
      </c>
      <c r="DU257">
        <v>255</v>
      </c>
      <c r="DV257">
        <v>255</v>
      </c>
      <c r="DW257">
        <v>255</v>
      </c>
      <c r="DX257" t="s">
        <v>206</v>
      </c>
      <c r="DY257" t="s">
        <v>206</v>
      </c>
      <c r="DZ257" t="s">
        <v>207</v>
      </c>
      <c r="EA257" t="s">
        <v>198</v>
      </c>
      <c r="EB257" t="s">
        <v>198</v>
      </c>
      <c r="EC257" t="s">
        <v>198</v>
      </c>
      <c r="ED257">
        <v>0</v>
      </c>
      <c r="EE257">
        <v>0</v>
      </c>
      <c r="EF257">
        <v>0</v>
      </c>
      <c r="EG257">
        <v>0</v>
      </c>
      <c r="EH257">
        <v>255</v>
      </c>
      <c r="EI257">
        <v>255</v>
      </c>
      <c r="EJ257">
        <v>255</v>
      </c>
      <c r="EK257">
        <v>255</v>
      </c>
      <c r="EL257">
        <v>255</v>
      </c>
      <c r="EM257">
        <v>255</v>
      </c>
      <c r="EN257">
        <v>255</v>
      </c>
      <c r="EO257">
        <v>255</v>
      </c>
      <c r="EP257">
        <v>255</v>
      </c>
      <c r="EQ257">
        <v>255</v>
      </c>
      <c r="ER257" t="s">
        <v>208</v>
      </c>
      <c r="ES257" t="s">
        <v>209</v>
      </c>
      <c r="ET257" t="s">
        <v>209</v>
      </c>
      <c r="EU257">
        <v>0</v>
      </c>
      <c r="EV257">
        <v>16.2</v>
      </c>
      <c r="EW257">
        <v>-114.7</v>
      </c>
      <c r="EX257">
        <v>-0.2</v>
      </c>
      <c r="EY257">
        <v>0</v>
      </c>
      <c r="EZ257">
        <v>0</v>
      </c>
      <c r="FA257">
        <v>0</v>
      </c>
      <c r="FB257" t="s">
        <v>198</v>
      </c>
      <c r="FC257" t="s">
        <v>198</v>
      </c>
      <c r="FD257" t="s">
        <v>198</v>
      </c>
      <c r="FE257" t="s">
        <v>198</v>
      </c>
      <c r="FF257" t="s">
        <v>198</v>
      </c>
      <c r="FG257" t="s">
        <v>198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 t="s">
        <v>203</v>
      </c>
      <c r="FP257" t="s">
        <v>203</v>
      </c>
      <c r="FQ257" t="s">
        <v>203</v>
      </c>
      <c r="FR257" t="s">
        <v>203</v>
      </c>
      <c r="FS257" t="s">
        <v>203</v>
      </c>
      <c r="FT257" t="s">
        <v>203</v>
      </c>
      <c r="FU257" t="s">
        <v>198</v>
      </c>
      <c r="FV257" t="s">
        <v>198</v>
      </c>
      <c r="FW257" t="s">
        <v>198</v>
      </c>
      <c r="FX257" t="s">
        <v>198</v>
      </c>
      <c r="FY257" t="s">
        <v>198</v>
      </c>
      <c r="FZ257" t="s">
        <v>198</v>
      </c>
      <c r="GA257">
        <v>31.2</v>
      </c>
      <c r="GB257">
        <v>31.2</v>
      </c>
      <c r="GC257" t="s">
        <v>203</v>
      </c>
      <c r="GD257">
        <v>0</v>
      </c>
      <c r="GE257">
        <v>504</v>
      </c>
      <c r="GF257">
        <v>0</v>
      </c>
      <c r="GG257">
        <v>0</v>
      </c>
      <c r="GH257">
        <v>0</v>
      </c>
      <c r="GI257">
        <v>1</v>
      </c>
      <c r="GJ257">
        <v>1</v>
      </c>
      <c r="GK257">
        <v>0</v>
      </c>
      <c r="GL257" t="s">
        <v>198</v>
      </c>
      <c r="GM257" t="s">
        <v>198</v>
      </c>
      <c r="GN257" t="s">
        <v>198</v>
      </c>
    </row>
    <row r="258" spans="1:196">
      <c r="A258" s="19">
        <v>46316.90686739583</v>
      </c>
      <c r="B258">
        <v>0</v>
      </c>
      <c r="C258">
        <v>0</v>
      </c>
      <c r="D258">
        <v>277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584.2</v>
      </c>
      <c r="N258">
        <v>-0.5</v>
      </c>
      <c r="O258">
        <v>0</v>
      </c>
      <c r="P258">
        <v>0</v>
      </c>
      <c r="Q258">
        <v>0</v>
      </c>
      <c r="R258">
        <v>0</v>
      </c>
      <c r="S258">
        <v>115.6</v>
      </c>
      <c r="T258" t="s">
        <v>485</v>
      </c>
      <c r="U258">
        <v>115.7</v>
      </c>
      <c r="V258">
        <v>1762727256586.8</v>
      </c>
      <c r="W258">
        <v>1</v>
      </c>
      <c r="X258" t="s">
        <v>197</v>
      </c>
      <c r="Y258">
        <v>0</v>
      </c>
      <c r="Z258">
        <v>98</v>
      </c>
      <c r="AA258">
        <v>278</v>
      </c>
      <c r="AB258" t="s">
        <v>197</v>
      </c>
      <c r="AC258" t="s">
        <v>198</v>
      </c>
      <c r="AD258" t="s">
        <v>199</v>
      </c>
      <c r="AE258">
        <v>0</v>
      </c>
      <c r="AF258">
        <v>44</v>
      </c>
      <c r="AG258">
        <v>255</v>
      </c>
      <c r="AH258">
        <v>0</v>
      </c>
      <c r="AI258">
        <v>0</v>
      </c>
      <c r="AJ258">
        <v>0</v>
      </c>
      <c r="AK258">
        <v>12.6</v>
      </c>
      <c r="AL258">
        <v>0</v>
      </c>
      <c r="AM258">
        <v>0</v>
      </c>
      <c r="AN258" t="s">
        <v>197</v>
      </c>
      <c r="AO258">
        <v>100</v>
      </c>
      <c r="AP258" t="s">
        <v>197</v>
      </c>
      <c r="AQ258" t="s">
        <v>200</v>
      </c>
      <c r="AR258">
        <v>1</v>
      </c>
      <c r="AS258">
        <v>0</v>
      </c>
      <c r="AT258" t="s">
        <v>604</v>
      </c>
      <c r="AU258" t="s">
        <v>604</v>
      </c>
      <c r="AV258" t="s">
        <v>202</v>
      </c>
      <c r="AW258" t="s">
        <v>203</v>
      </c>
      <c r="AX258" t="s">
        <v>203</v>
      </c>
      <c r="AY258" t="s">
        <v>203</v>
      </c>
      <c r="AZ258" t="s">
        <v>203</v>
      </c>
      <c r="BA258" t="s">
        <v>203</v>
      </c>
      <c r="BB258" t="s">
        <v>203</v>
      </c>
      <c r="BC258" t="s">
        <v>203</v>
      </c>
      <c r="BD258" t="s">
        <v>203</v>
      </c>
      <c r="BE258" t="s">
        <v>203</v>
      </c>
      <c r="BF258">
        <v>0</v>
      </c>
      <c r="BG258">
        <v>0.2</v>
      </c>
      <c r="BH258">
        <v>50</v>
      </c>
      <c r="BI258">
        <v>0</v>
      </c>
      <c r="BJ258" t="s">
        <v>198</v>
      </c>
      <c r="BK258" t="s">
        <v>198</v>
      </c>
      <c r="BL258" t="s">
        <v>198</v>
      </c>
      <c r="BM258" t="s">
        <v>198</v>
      </c>
      <c r="BN258" t="s">
        <v>198</v>
      </c>
      <c r="BO258" t="s">
        <v>198</v>
      </c>
      <c r="BP258" t="s">
        <v>198</v>
      </c>
      <c r="BQ258" t="s">
        <v>198</v>
      </c>
      <c r="BR258" t="s">
        <v>198</v>
      </c>
      <c r="BS258" t="s">
        <v>198</v>
      </c>
      <c r="BT258" t="s">
        <v>198</v>
      </c>
      <c r="BU258" t="s">
        <v>198</v>
      </c>
      <c r="BV258" t="s">
        <v>198</v>
      </c>
      <c r="BW258" t="s">
        <v>198</v>
      </c>
      <c r="BX258" t="s">
        <v>198</v>
      </c>
      <c r="BY258" t="s">
        <v>198</v>
      </c>
      <c r="BZ258" t="s">
        <v>198</v>
      </c>
      <c r="CA258" t="s">
        <v>198</v>
      </c>
      <c r="CB258" t="s">
        <v>204</v>
      </c>
      <c r="CC258" t="s">
        <v>204</v>
      </c>
      <c r="CD258" t="s">
        <v>204</v>
      </c>
      <c r="CE258" t="s">
        <v>204</v>
      </c>
      <c r="CF258" t="s">
        <v>204</v>
      </c>
      <c r="CG258" t="s">
        <v>204</v>
      </c>
      <c r="CH258" t="s">
        <v>204</v>
      </c>
      <c r="CI258" t="s">
        <v>204</v>
      </c>
      <c r="CJ258" t="s">
        <v>204</v>
      </c>
      <c r="CK258" t="s">
        <v>204</v>
      </c>
      <c r="CL258" t="s">
        <v>204</v>
      </c>
      <c r="CM258" t="s">
        <v>204</v>
      </c>
      <c r="CN258" t="s">
        <v>203</v>
      </c>
      <c r="CO258" t="s">
        <v>203</v>
      </c>
      <c r="CP258" t="s">
        <v>203</v>
      </c>
      <c r="CQ258" t="s">
        <v>203</v>
      </c>
      <c r="CR258" t="s">
        <v>203</v>
      </c>
      <c r="CS258" t="s">
        <v>203</v>
      </c>
      <c r="CT258" t="s">
        <v>203</v>
      </c>
      <c r="CU258" t="s">
        <v>203</v>
      </c>
      <c r="CV258">
        <v>0</v>
      </c>
      <c r="CW258">
        <v>0</v>
      </c>
      <c r="CX258" t="s">
        <v>198</v>
      </c>
      <c r="CY258" t="s">
        <v>198</v>
      </c>
      <c r="CZ258" t="s">
        <v>198</v>
      </c>
      <c r="DA258" t="s">
        <v>198</v>
      </c>
      <c r="DB258" t="s">
        <v>198</v>
      </c>
      <c r="DC258">
        <v>0</v>
      </c>
      <c r="DD258">
        <v>0</v>
      </c>
      <c r="DE258">
        <v>0</v>
      </c>
      <c r="DF258">
        <v>0</v>
      </c>
      <c r="DG258">
        <v>-35.3631166</v>
      </c>
      <c r="DH258">
        <v>149.1639735</v>
      </c>
      <c r="DI258" t="s">
        <v>360</v>
      </c>
      <c r="DJ258">
        <v>1.2</v>
      </c>
      <c r="DK258">
        <v>2</v>
      </c>
      <c r="DL258">
        <v>159.8</v>
      </c>
      <c r="DM258">
        <v>0</v>
      </c>
      <c r="DN258">
        <v>6</v>
      </c>
      <c r="DO258">
        <v>10</v>
      </c>
      <c r="DP258">
        <v>0</v>
      </c>
      <c r="DQ258">
        <v>255</v>
      </c>
      <c r="DR258">
        <v>255</v>
      </c>
      <c r="DS258">
        <v>255</v>
      </c>
      <c r="DT258">
        <v>255</v>
      </c>
      <c r="DU258">
        <v>255</v>
      </c>
      <c r="DV258">
        <v>255</v>
      </c>
      <c r="DW258">
        <v>255</v>
      </c>
      <c r="DX258" t="s">
        <v>206</v>
      </c>
      <c r="DY258" t="s">
        <v>206</v>
      </c>
      <c r="DZ258" t="s">
        <v>207</v>
      </c>
      <c r="EA258" t="s">
        <v>198</v>
      </c>
      <c r="EB258" t="s">
        <v>198</v>
      </c>
      <c r="EC258" t="s">
        <v>198</v>
      </c>
      <c r="ED258">
        <v>0</v>
      </c>
      <c r="EE258">
        <v>0</v>
      </c>
      <c r="EF258">
        <v>0</v>
      </c>
      <c r="EG258">
        <v>0</v>
      </c>
      <c r="EH258">
        <v>255</v>
      </c>
      <c r="EI258">
        <v>255</v>
      </c>
      <c r="EJ258">
        <v>255</v>
      </c>
      <c r="EK258">
        <v>255</v>
      </c>
      <c r="EL258">
        <v>255</v>
      </c>
      <c r="EM258">
        <v>255</v>
      </c>
      <c r="EN258">
        <v>255</v>
      </c>
      <c r="EO258">
        <v>255</v>
      </c>
      <c r="EP258">
        <v>255</v>
      </c>
      <c r="EQ258">
        <v>255</v>
      </c>
      <c r="ER258" t="s">
        <v>208</v>
      </c>
      <c r="ES258" t="s">
        <v>209</v>
      </c>
      <c r="ET258" t="s">
        <v>209</v>
      </c>
      <c r="EU258">
        <v>0</v>
      </c>
      <c r="EV258">
        <v>16.2</v>
      </c>
      <c r="EW258">
        <v>-114.7</v>
      </c>
      <c r="EX258">
        <v>-0.2</v>
      </c>
      <c r="EY258">
        <v>0</v>
      </c>
      <c r="EZ258">
        <v>0</v>
      </c>
      <c r="FA258">
        <v>0</v>
      </c>
      <c r="FB258" t="s">
        <v>198</v>
      </c>
      <c r="FC258" t="s">
        <v>198</v>
      </c>
      <c r="FD258" t="s">
        <v>198</v>
      </c>
      <c r="FE258" t="s">
        <v>198</v>
      </c>
      <c r="FF258" t="s">
        <v>198</v>
      </c>
      <c r="FG258" t="s">
        <v>198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 t="s">
        <v>203</v>
      </c>
      <c r="FP258" t="s">
        <v>203</v>
      </c>
      <c r="FQ258" t="s">
        <v>203</v>
      </c>
      <c r="FR258" t="s">
        <v>203</v>
      </c>
      <c r="FS258" t="s">
        <v>203</v>
      </c>
      <c r="FT258" t="s">
        <v>203</v>
      </c>
      <c r="FU258" t="s">
        <v>198</v>
      </c>
      <c r="FV258" t="s">
        <v>198</v>
      </c>
      <c r="FW258" t="s">
        <v>198</v>
      </c>
      <c r="FX258" t="s">
        <v>198</v>
      </c>
      <c r="FY258" t="s">
        <v>198</v>
      </c>
      <c r="FZ258" t="s">
        <v>198</v>
      </c>
      <c r="GA258">
        <v>31.2</v>
      </c>
      <c r="GB258">
        <v>31.2</v>
      </c>
      <c r="GC258" t="s">
        <v>203</v>
      </c>
      <c r="GD258">
        <v>0</v>
      </c>
      <c r="GE258">
        <v>504</v>
      </c>
      <c r="GF258">
        <v>0</v>
      </c>
      <c r="GG258">
        <v>0</v>
      </c>
      <c r="GH258">
        <v>0</v>
      </c>
      <c r="GI258">
        <v>1</v>
      </c>
      <c r="GJ258">
        <v>1</v>
      </c>
      <c r="GK258">
        <v>0</v>
      </c>
      <c r="GL258" t="s">
        <v>198</v>
      </c>
      <c r="GM258" t="s">
        <v>198</v>
      </c>
      <c r="GN258" t="s">
        <v>198</v>
      </c>
    </row>
    <row r="259" spans="1:196">
      <c r="A259" s="19">
        <v>46316.90687896991</v>
      </c>
      <c r="B259">
        <v>0</v>
      </c>
      <c r="C259">
        <v>0</v>
      </c>
      <c r="D259">
        <v>277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584.2</v>
      </c>
      <c r="N259">
        <v>-0.5</v>
      </c>
      <c r="O259">
        <v>0</v>
      </c>
      <c r="P259">
        <v>0</v>
      </c>
      <c r="Q259">
        <v>0</v>
      </c>
      <c r="R259">
        <v>0</v>
      </c>
      <c r="S259">
        <v>115.6</v>
      </c>
      <c r="T259" t="s">
        <v>485</v>
      </c>
      <c r="U259">
        <v>115.7</v>
      </c>
      <c r="V259">
        <v>1762727256586.8</v>
      </c>
      <c r="W259">
        <v>1</v>
      </c>
      <c r="X259" t="s">
        <v>197</v>
      </c>
      <c r="Y259">
        <v>0</v>
      </c>
      <c r="Z259">
        <v>98</v>
      </c>
      <c r="AA259">
        <v>278</v>
      </c>
      <c r="AB259" t="s">
        <v>197</v>
      </c>
      <c r="AC259" t="s">
        <v>198</v>
      </c>
      <c r="AD259" t="s">
        <v>199</v>
      </c>
      <c r="AE259">
        <v>0</v>
      </c>
      <c r="AF259">
        <v>44</v>
      </c>
      <c r="AG259">
        <v>255</v>
      </c>
      <c r="AH259">
        <v>0</v>
      </c>
      <c r="AI259">
        <v>0</v>
      </c>
      <c r="AJ259">
        <v>0</v>
      </c>
      <c r="AK259">
        <v>12.6</v>
      </c>
      <c r="AL259">
        <v>0</v>
      </c>
      <c r="AM259">
        <v>0</v>
      </c>
      <c r="AN259" t="s">
        <v>197</v>
      </c>
      <c r="AO259">
        <v>100</v>
      </c>
      <c r="AP259" t="s">
        <v>197</v>
      </c>
      <c r="AQ259" t="s">
        <v>200</v>
      </c>
      <c r="AR259">
        <v>1</v>
      </c>
      <c r="AS259">
        <v>0</v>
      </c>
      <c r="AT259" t="s">
        <v>605</v>
      </c>
      <c r="AU259" t="s">
        <v>605</v>
      </c>
      <c r="AV259" t="s">
        <v>202</v>
      </c>
      <c r="AW259" t="s">
        <v>203</v>
      </c>
      <c r="AX259" t="s">
        <v>203</v>
      </c>
      <c r="AY259" t="s">
        <v>203</v>
      </c>
      <c r="AZ259" t="s">
        <v>203</v>
      </c>
      <c r="BA259" t="s">
        <v>203</v>
      </c>
      <c r="BB259" t="s">
        <v>203</v>
      </c>
      <c r="BC259" t="s">
        <v>203</v>
      </c>
      <c r="BD259" t="s">
        <v>203</v>
      </c>
      <c r="BE259" t="s">
        <v>203</v>
      </c>
      <c r="BF259">
        <v>0</v>
      </c>
      <c r="BG259">
        <v>0.2</v>
      </c>
      <c r="BH259">
        <v>50</v>
      </c>
      <c r="BI259">
        <v>0</v>
      </c>
      <c r="BJ259" t="s">
        <v>198</v>
      </c>
      <c r="BK259" t="s">
        <v>198</v>
      </c>
      <c r="BL259" t="s">
        <v>198</v>
      </c>
      <c r="BM259" t="s">
        <v>198</v>
      </c>
      <c r="BN259" t="s">
        <v>198</v>
      </c>
      <c r="BO259" t="s">
        <v>198</v>
      </c>
      <c r="BP259" t="s">
        <v>198</v>
      </c>
      <c r="BQ259" t="s">
        <v>198</v>
      </c>
      <c r="BR259" t="s">
        <v>198</v>
      </c>
      <c r="BS259" t="s">
        <v>198</v>
      </c>
      <c r="BT259" t="s">
        <v>198</v>
      </c>
      <c r="BU259" t="s">
        <v>198</v>
      </c>
      <c r="BV259" t="s">
        <v>198</v>
      </c>
      <c r="BW259" t="s">
        <v>198</v>
      </c>
      <c r="BX259" t="s">
        <v>198</v>
      </c>
      <c r="BY259" t="s">
        <v>198</v>
      </c>
      <c r="BZ259" t="s">
        <v>198</v>
      </c>
      <c r="CA259" t="s">
        <v>198</v>
      </c>
      <c r="CB259" t="s">
        <v>204</v>
      </c>
      <c r="CC259" t="s">
        <v>204</v>
      </c>
      <c r="CD259" t="s">
        <v>204</v>
      </c>
      <c r="CE259" t="s">
        <v>204</v>
      </c>
      <c r="CF259" t="s">
        <v>204</v>
      </c>
      <c r="CG259" t="s">
        <v>204</v>
      </c>
      <c r="CH259" t="s">
        <v>204</v>
      </c>
      <c r="CI259" t="s">
        <v>204</v>
      </c>
      <c r="CJ259" t="s">
        <v>204</v>
      </c>
      <c r="CK259" t="s">
        <v>204</v>
      </c>
      <c r="CL259" t="s">
        <v>204</v>
      </c>
      <c r="CM259" t="s">
        <v>204</v>
      </c>
      <c r="CN259" t="s">
        <v>203</v>
      </c>
      <c r="CO259" t="s">
        <v>203</v>
      </c>
      <c r="CP259" t="s">
        <v>203</v>
      </c>
      <c r="CQ259" t="s">
        <v>203</v>
      </c>
      <c r="CR259" t="s">
        <v>203</v>
      </c>
      <c r="CS259" t="s">
        <v>203</v>
      </c>
      <c r="CT259" t="s">
        <v>203</v>
      </c>
      <c r="CU259" t="s">
        <v>203</v>
      </c>
      <c r="CV259">
        <v>0</v>
      </c>
      <c r="CW259">
        <v>0</v>
      </c>
      <c r="CX259" t="s">
        <v>198</v>
      </c>
      <c r="CY259" t="s">
        <v>198</v>
      </c>
      <c r="CZ259" t="s">
        <v>198</v>
      </c>
      <c r="DA259" t="s">
        <v>198</v>
      </c>
      <c r="DB259" t="s">
        <v>198</v>
      </c>
      <c r="DC259">
        <v>0</v>
      </c>
      <c r="DD259">
        <v>0</v>
      </c>
      <c r="DE259">
        <v>0</v>
      </c>
      <c r="DF259">
        <v>0</v>
      </c>
      <c r="DG259">
        <v>-35.3631166</v>
      </c>
      <c r="DH259">
        <v>149.1639735</v>
      </c>
      <c r="DI259" t="s">
        <v>360</v>
      </c>
      <c r="DJ259">
        <v>1.2</v>
      </c>
      <c r="DK259">
        <v>2</v>
      </c>
      <c r="DL259">
        <v>159.8</v>
      </c>
      <c r="DM259">
        <v>0</v>
      </c>
      <c r="DN259">
        <v>6</v>
      </c>
      <c r="DO259">
        <v>10</v>
      </c>
      <c r="DP259">
        <v>0</v>
      </c>
      <c r="DQ259">
        <v>255</v>
      </c>
      <c r="DR259">
        <v>255</v>
      </c>
      <c r="DS259">
        <v>255</v>
      </c>
      <c r="DT259">
        <v>255</v>
      </c>
      <c r="DU259">
        <v>255</v>
      </c>
      <c r="DV259">
        <v>255</v>
      </c>
      <c r="DW259">
        <v>255</v>
      </c>
      <c r="DX259" t="s">
        <v>206</v>
      </c>
      <c r="DY259" t="s">
        <v>206</v>
      </c>
      <c r="DZ259" t="s">
        <v>207</v>
      </c>
      <c r="EA259" t="s">
        <v>198</v>
      </c>
      <c r="EB259" t="s">
        <v>198</v>
      </c>
      <c r="EC259" t="s">
        <v>198</v>
      </c>
      <c r="ED259">
        <v>0</v>
      </c>
      <c r="EE259">
        <v>0</v>
      </c>
      <c r="EF259">
        <v>0</v>
      </c>
      <c r="EG259">
        <v>0</v>
      </c>
      <c r="EH259">
        <v>255</v>
      </c>
      <c r="EI259">
        <v>255</v>
      </c>
      <c r="EJ259">
        <v>255</v>
      </c>
      <c r="EK259">
        <v>255</v>
      </c>
      <c r="EL259">
        <v>255</v>
      </c>
      <c r="EM259">
        <v>255</v>
      </c>
      <c r="EN259">
        <v>255</v>
      </c>
      <c r="EO259">
        <v>255</v>
      </c>
      <c r="EP259">
        <v>255</v>
      </c>
      <c r="EQ259">
        <v>255</v>
      </c>
      <c r="ER259" t="s">
        <v>208</v>
      </c>
      <c r="ES259" t="s">
        <v>209</v>
      </c>
      <c r="ET259" t="s">
        <v>209</v>
      </c>
      <c r="EU259">
        <v>0</v>
      </c>
      <c r="EV259">
        <v>16.2</v>
      </c>
      <c r="EW259">
        <v>-114.7</v>
      </c>
      <c r="EX259">
        <v>-0.2</v>
      </c>
      <c r="EY259">
        <v>0</v>
      </c>
      <c r="EZ259">
        <v>0</v>
      </c>
      <c r="FA259">
        <v>0</v>
      </c>
      <c r="FB259" t="s">
        <v>198</v>
      </c>
      <c r="FC259" t="s">
        <v>198</v>
      </c>
      <c r="FD259" t="s">
        <v>198</v>
      </c>
      <c r="FE259" t="s">
        <v>198</v>
      </c>
      <c r="FF259" t="s">
        <v>198</v>
      </c>
      <c r="FG259" t="s">
        <v>198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 t="s">
        <v>203</v>
      </c>
      <c r="FP259" t="s">
        <v>203</v>
      </c>
      <c r="FQ259" t="s">
        <v>203</v>
      </c>
      <c r="FR259" t="s">
        <v>203</v>
      </c>
      <c r="FS259" t="s">
        <v>203</v>
      </c>
      <c r="FT259" t="s">
        <v>203</v>
      </c>
      <c r="FU259" t="s">
        <v>198</v>
      </c>
      <c r="FV259" t="s">
        <v>198</v>
      </c>
      <c r="FW259" t="s">
        <v>198</v>
      </c>
      <c r="FX259" t="s">
        <v>198</v>
      </c>
      <c r="FY259" t="s">
        <v>198</v>
      </c>
      <c r="FZ259" t="s">
        <v>198</v>
      </c>
      <c r="GA259">
        <v>31.2</v>
      </c>
      <c r="GB259">
        <v>31.2</v>
      </c>
      <c r="GC259" t="s">
        <v>203</v>
      </c>
      <c r="GD259">
        <v>0</v>
      </c>
      <c r="GE259">
        <v>504</v>
      </c>
      <c r="GF259">
        <v>0</v>
      </c>
      <c r="GG259">
        <v>0</v>
      </c>
      <c r="GH259">
        <v>0</v>
      </c>
      <c r="GI259">
        <v>1</v>
      </c>
      <c r="GJ259">
        <v>1</v>
      </c>
      <c r="GK259">
        <v>0</v>
      </c>
      <c r="GL259" t="s">
        <v>198</v>
      </c>
      <c r="GM259" t="s">
        <v>198</v>
      </c>
      <c r="GN259" t="s">
        <v>198</v>
      </c>
    </row>
    <row r="260" spans="1:196">
      <c r="A260" s="19">
        <v>46316.90689054398</v>
      </c>
      <c r="B260">
        <v>0</v>
      </c>
      <c r="C260">
        <v>0</v>
      </c>
      <c r="D260">
        <v>277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584.2</v>
      </c>
      <c r="N260">
        <v>-0.5</v>
      </c>
      <c r="O260">
        <v>0</v>
      </c>
      <c r="P260">
        <v>0</v>
      </c>
      <c r="Q260">
        <v>0</v>
      </c>
      <c r="R260">
        <v>0</v>
      </c>
      <c r="S260">
        <v>115.6</v>
      </c>
      <c r="T260" t="s">
        <v>485</v>
      </c>
      <c r="U260">
        <v>115.7</v>
      </c>
      <c r="V260">
        <v>1762727256586.8</v>
      </c>
      <c r="W260">
        <v>1</v>
      </c>
      <c r="X260" t="s">
        <v>197</v>
      </c>
      <c r="Y260">
        <v>0</v>
      </c>
      <c r="Z260">
        <v>98</v>
      </c>
      <c r="AA260">
        <v>278</v>
      </c>
      <c r="AB260" t="s">
        <v>197</v>
      </c>
      <c r="AC260" t="s">
        <v>198</v>
      </c>
      <c r="AD260" t="s">
        <v>199</v>
      </c>
      <c r="AE260">
        <v>0</v>
      </c>
      <c r="AF260">
        <v>44</v>
      </c>
      <c r="AG260">
        <v>255</v>
      </c>
      <c r="AH260">
        <v>0</v>
      </c>
      <c r="AI260">
        <v>0</v>
      </c>
      <c r="AJ260">
        <v>0</v>
      </c>
      <c r="AK260">
        <v>12.6</v>
      </c>
      <c r="AL260">
        <v>0</v>
      </c>
      <c r="AM260">
        <v>0</v>
      </c>
      <c r="AN260" t="s">
        <v>197</v>
      </c>
      <c r="AO260">
        <v>100</v>
      </c>
      <c r="AP260" t="s">
        <v>197</v>
      </c>
      <c r="AQ260" t="s">
        <v>200</v>
      </c>
      <c r="AR260">
        <v>1</v>
      </c>
      <c r="AS260">
        <v>0</v>
      </c>
      <c r="AT260" t="s">
        <v>606</v>
      </c>
      <c r="AU260" t="s">
        <v>606</v>
      </c>
      <c r="AV260" t="s">
        <v>202</v>
      </c>
      <c r="AW260" t="s">
        <v>203</v>
      </c>
      <c r="AX260" t="s">
        <v>203</v>
      </c>
      <c r="AY260" t="s">
        <v>203</v>
      </c>
      <c r="AZ260" t="s">
        <v>203</v>
      </c>
      <c r="BA260" t="s">
        <v>203</v>
      </c>
      <c r="BB260" t="s">
        <v>203</v>
      </c>
      <c r="BC260" t="s">
        <v>203</v>
      </c>
      <c r="BD260" t="s">
        <v>203</v>
      </c>
      <c r="BE260" t="s">
        <v>203</v>
      </c>
      <c r="BF260">
        <v>0</v>
      </c>
      <c r="BG260">
        <v>0.2</v>
      </c>
      <c r="BH260">
        <v>50</v>
      </c>
      <c r="BI260">
        <v>0</v>
      </c>
      <c r="BJ260" t="s">
        <v>198</v>
      </c>
      <c r="BK260" t="s">
        <v>198</v>
      </c>
      <c r="BL260" t="s">
        <v>198</v>
      </c>
      <c r="BM260" t="s">
        <v>198</v>
      </c>
      <c r="BN260" t="s">
        <v>198</v>
      </c>
      <c r="BO260" t="s">
        <v>198</v>
      </c>
      <c r="BP260" t="s">
        <v>198</v>
      </c>
      <c r="BQ260" t="s">
        <v>198</v>
      </c>
      <c r="BR260" t="s">
        <v>198</v>
      </c>
      <c r="BS260" t="s">
        <v>198</v>
      </c>
      <c r="BT260" t="s">
        <v>198</v>
      </c>
      <c r="BU260" t="s">
        <v>198</v>
      </c>
      <c r="BV260" t="s">
        <v>198</v>
      </c>
      <c r="BW260" t="s">
        <v>198</v>
      </c>
      <c r="BX260" t="s">
        <v>198</v>
      </c>
      <c r="BY260" t="s">
        <v>198</v>
      </c>
      <c r="BZ260" t="s">
        <v>198</v>
      </c>
      <c r="CA260" t="s">
        <v>198</v>
      </c>
      <c r="CB260" t="s">
        <v>204</v>
      </c>
      <c r="CC260" t="s">
        <v>204</v>
      </c>
      <c r="CD260" t="s">
        <v>204</v>
      </c>
      <c r="CE260" t="s">
        <v>204</v>
      </c>
      <c r="CF260" t="s">
        <v>204</v>
      </c>
      <c r="CG260" t="s">
        <v>204</v>
      </c>
      <c r="CH260" t="s">
        <v>204</v>
      </c>
      <c r="CI260" t="s">
        <v>204</v>
      </c>
      <c r="CJ260" t="s">
        <v>204</v>
      </c>
      <c r="CK260" t="s">
        <v>204</v>
      </c>
      <c r="CL260" t="s">
        <v>204</v>
      </c>
      <c r="CM260" t="s">
        <v>204</v>
      </c>
      <c r="CN260" t="s">
        <v>203</v>
      </c>
      <c r="CO260" t="s">
        <v>203</v>
      </c>
      <c r="CP260" t="s">
        <v>203</v>
      </c>
      <c r="CQ260" t="s">
        <v>203</v>
      </c>
      <c r="CR260" t="s">
        <v>203</v>
      </c>
      <c r="CS260" t="s">
        <v>203</v>
      </c>
      <c r="CT260" t="s">
        <v>203</v>
      </c>
      <c r="CU260" t="s">
        <v>203</v>
      </c>
      <c r="CV260">
        <v>0</v>
      </c>
      <c r="CW260">
        <v>0</v>
      </c>
      <c r="CX260" t="s">
        <v>198</v>
      </c>
      <c r="CY260" t="s">
        <v>198</v>
      </c>
      <c r="CZ260" t="s">
        <v>198</v>
      </c>
      <c r="DA260" t="s">
        <v>198</v>
      </c>
      <c r="DB260" t="s">
        <v>198</v>
      </c>
      <c r="DC260">
        <v>0</v>
      </c>
      <c r="DD260">
        <v>0</v>
      </c>
      <c r="DE260">
        <v>0</v>
      </c>
      <c r="DF260">
        <v>0</v>
      </c>
      <c r="DG260">
        <v>-35.3631166</v>
      </c>
      <c r="DH260">
        <v>149.1639735</v>
      </c>
      <c r="DI260" t="s">
        <v>360</v>
      </c>
      <c r="DJ260">
        <v>1.2</v>
      </c>
      <c r="DK260">
        <v>2</v>
      </c>
      <c r="DL260">
        <v>159.8</v>
      </c>
      <c r="DM260">
        <v>0</v>
      </c>
      <c r="DN260">
        <v>6</v>
      </c>
      <c r="DO260">
        <v>10</v>
      </c>
      <c r="DP260">
        <v>0</v>
      </c>
      <c r="DQ260">
        <v>255</v>
      </c>
      <c r="DR260">
        <v>255</v>
      </c>
      <c r="DS260">
        <v>255</v>
      </c>
      <c r="DT260">
        <v>255</v>
      </c>
      <c r="DU260">
        <v>255</v>
      </c>
      <c r="DV260">
        <v>255</v>
      </c>
      <c r="DW260">
        <v>255</v>
      </c>
      <c r="DX260" t="s">
        <v>206</v>
      </c>
      <c r="DY260" t="s">
        <v>206</v>
      </c>
      <c r="DZ260" t="s">
        <v>207</v>
      </c>
      <c r="EA260" t="s">
        <v>198</v>
      </c>
      <c r="EB260" t="s">
        <v>198</v>
      </c>
      <c r="EC260" t="s">
        <v>198</v>
      </c>
      <c r="ED260">
        <v>0</v>
      </c>
      <c r="EE260">
        <v>0</v>
      </c>
      <c r="EF260">
        <v>0</v>
      </c>
      <c r="EG260">
        <v>0</v>
      </c>
      <c r="EH260">
        <v>255</v>
      </c>
      <c r="EI260">
        <v>255</v>
      </c>
      <c r="EJ260">
        <v>255</v>
      </c>
      <c r="EK260">
        <v>255</v>
      </c>
      <c r="EL260">
        <v>255</v>
      </c>
      <c r="EM260">
        <v>255</v>
      </c>
      <c r="EN260">
        <v>255</v>
      </c>
      <c r="EO260">
        <v>255</v>
      </c>
      <c r="EP260">
        <v>255</v>
      </c>
      <c r="EQ260">
        <v>255</v>
      </c>
      <c r="ER260" t="s">
        <v>208</v>
      </c>
      <c r="ES260" t="s">
        <v>209</v>
      </c>
      <c r="ET260" t="s">
        <v>209</v>
      </c>
      <c r="EU260">
        <v>0</v>
      </c>
      <c r="EV260">
        <v>16.2</v>
      </c>
      <c r="EW260">
        <v>-114.7</v>
      </c>
      <c r="EX260">
        <v>-0.2</v>
      </c>
      <c r="EY260">
        <v>0</v>
      </c>
      <c r="EZ260">
        <v>0</v>
      </c>
      <c r="FA260">
        <v>0</v>
      </c>
      <c r="FB260" t="s">
        <v>198</v>
      </c>
      <c r="FC260" t="s">
        <v>198</v>
      </c>
      <c r="FD260" t="s">
        <v>198</v>
      </c>
      <c r="FE260" t="s">
        <v>198</v>
      </c>
      <c r="FF260" t="s">
        <v>198</v>
      </c>
      <c r="FG260" t="s">
        <v>198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 t="s">
        <v>203</v>
      </c>
      <c r="FP260" t="s">
        <v>203</v>
      </c>
      <c r="FQ260" t="s">
        <v>203</v>
      </c>
      <c r="FR260" t="s">
        <v>203</v>
      </c>
      <c r="FS260" t="s">
        <v>203</v>
      </c>
      <c r="FT260" t="s">
        <v>203</v>
      </c>
      <c r="FU260" t="s">
        <v>198</v>
      </c>
      <c r="FV260" t="s">
        <v>198</v>
      </c>
      <c r="FW260" t="s">
        <v>198</v>
      </c>
      <c r="FX260" t="s">
        <v>198</v>
      </c>
      <c r="FY260" t="s">
        <v>198</v>
      </c>
      <c r="FZ260" t="s">
        <v>198</v>
      </c>
      <c r="GA260">
        <v>31.2</v>
      </c>
      <c r="GB260">
        <v>31.2</v>
      </c>
      <c r="GC260" t="s">
        <v>203</v>
      </c>
      <c r="GD260">
        <v>0</v>
      </c>
      <c r="GE260">
        <v>504</v>
      </c>
      <c r="GF260">
        <v>0</v>
      </c>
      <c r="GG260">
        <v>0</v>
      </c>
      <c r="GH260">
        <v>0</v>
      </c>
      <c r="GI260">
        <v>1</v>
      </c>
      <c r="GJ260">
        <v>1</v>
      </c>
      <c r="GK260">
        <v>0</v>
      </c>
      <c r="GL260" t="s">
        <v>198</v>
      </c>
      <c r="GM260" t="s">
        <v>198</v>
      </c>
      <c r="GN260" t="s">
        <v>198</v>
      </c>
    </row>
    <row r="261" spans="1:196">
      <c r="A261" s="19">
        <v>46316.90690210648</v>
      </c>
      <c r="B261">
        <v>0</v>
      </c>
      <c r="C261">
        <v>0</v>
      </c>
      <c r="D261">
        <v>277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584.2</v>
      </c>
      <c r="N261">
        <v>-0.5</v>
      </c>
      <c r="O261">
        <v>0</v>
      </c>
      <c r="P261">
        <v>0</v>
      </c>
      <c r="Q261">
        <v>0</v>
      </c>
      <c r="R261">
        <v>0</v>
      </c>
      <c r="S261">
        <v>115.6</v>
      </c>
      <c r="T261" t="s">
        <v>485</v>
      </c>
      <c r="U261">
        <v>115.7</v>
      </c>
      <c r="V261">
        <v>1762727256586.8</v>
      </c>
      <c r="W261">
        <v>1</v>
      </c>
      <c r="X261" t="s">
        <v>197</v>
      </c>
      <c r="Y261">
        <v>0</v>
      </c>
      <c r="Z261">
        <v>98</v>
      </c>
      <c r="AA261">
        <v>278</v>
      </c>
      <c r="AB261" t="s">
        <v>197</v>
      </c>
      <c r="AC261" t="s">
        <v>198</v>
      </c>
      <c r="AD261" t="s">
        <v>199</v>
      </c>
      <c r="AE261">
        <v>0</v>
      </c>
      <c r="AF261">
        <v>45</v>
      </c>
      <c r="AG261">
        <v>255</v>
      </c>
      <c r="AH261">
        <v>0</v>
      </c>
      <c r="AI261">
        <v>0</v>
      </c>
      <c r="AJ261">
        <v>0</v>
      </c>
      <c r="AK261">
        <v>12.6</v>
      </c>
      <c r="AL261">
        <v>0</v>
      </c>
      <c r="AM261">
        <v>0</v>
      </c>
      <c r="AN261" t="s">
        <v>197</v>
      </c>
      <c r="AO261">
        <v>100</v>
      </c>
      <c r="AP261" t="s">
        <v>197</v>
      </c>
      <c r="AQ261" t="s">
        <v>200</v>
      </c>
      <c r="AR261">
        <v>1</v>
      </c>
      <c r="AS261">
        <v>0</v>
      </c>
      <c r="AT261" t="s">
        <v>607</v>
      </c>
      <c r="AU261" t="s">
        <v>607</v>
      </c>
      <c r="AV261" t="s">
        <v>202</v>
      </c>
      <c r="AW261" t="s">
        <v>203</v>
      </c>
      <c r="AX261" t="s">
        <v>203</v>
      </c>
      <c r="AY261" t="s">
        <v>203</v>
      </c>
      <c r="AZ261" t="s">
        <v>203</v>
      </c>
      <c r="BA261" t="s">
        <v>203</v>
      </c>
      <c r="BB261" t="s">
        <v>203</v>
      </c>
      <c r="BC261" t="s">
        <v>203</v>
      </c>
      <c r="BD261" t="s">
        <v>203</v>
      </c>
      <c r="BE261" t="s">
        <v>203</v>
      </c>
      <c r="BF261">
        <v>0</v>
      </c>
      <c r="BG261">
        <v>0.2</v>
      </c>
      <c r="BH261">
        <v>50</v>
      </c>
      <c r="BI261">
        <v>0</v>
      </c>
      <c r="BJ261" t="s">
        <v>198</v>
      </c>
      <c r="BK261" t="s">
        <v>198</v>
      </c>
      <c r="BL261" t="s">
        <v>198</v>
      </c>
      <c r="BM261" t="s">
        <v>198</v>
      </c>
      <c r="BN261" t="s">
        <v>198</v>
      </c>
      <c r="BO261" t="s">
        <v>198</v>
      </c>
      <c r="BP261" t="s">
        <v>198</v>
      </c>
      <c r="BQ261" t="s">
        <v>198</v>
      </c>
      <c r="BR261" t="s">
        <v>198</v>
      </c>
      <c r="BS261" t="s">
        <v>198</v>
      </c>
      <c r="BT261" t="s">
        <v>198</v>
      </c>
      <c r="BU261" t="s">
        <v>198</v>
      </c>
      <c r="BV261" t="s">
        <v>198</v>
      </c>
      <c r="BW261" t="s">
        <v>198</v>
      </c>
      <c r="BX261" t="s">
        <v>198</v>
      </c>
      <c r="BY261" t="s">
        <v>198</v>
      </c>
      <c r="BZ261" t="s">
        <v>198</v>
      </c>
      <c r="CA261" t="s">
        <v>198</v>
      </c>
      <c r="CB261" t="s">
        <v>204</v>
      </c>
      <c r="CC261" t="s">
        <v>204</v>
      </c>
      <c r="CD261" t="s">
        <v>204</v>
      </c>
      <c r="CE261" t="s">
        <v>204</v>
      </c>
      <c r="CF261" t="s">
        <v>204</v>
      </c>
      <c r="CG261" t="s">
        <v>204</v>
      </c>
      <c r="CH261" t="s">
        <v>204</v>
      </c>
      <c r="CI261" t="s">
        <v>204</v>
      </c>
      <c r="CJ261" t="s">
        <v>204</v>
      </c>
      <c r="CK261" t="s">
        <v>204</v>
      </c>
      <c r="CL261" t="s">
        <v>204</v>
      </c>
      <c r="CM261" t="s">
        <v>204</v>
      </c>
      <c r="CN261" t="s">
        <v>203</v>
      </c>
      <c r="CO261" t="s">
        <v>203</v>
      </c>
      <c r="CP261" t="s">
        <v>203</v>
      </c>
      <c r="CQ261" t="s">
        <v>203</v>
      </c>
      <c r="CR261" t="s">
        <v>203</v>
      </c>
      <c r="CS261" t="s">
        <v>203</v>
      </c>
      <c r="CT261" t="s">
        <v>203</v>
      </c>
      <c r="CU261" t="s">
        <v>203</v>
      </c>
      <c r="CV261">
        <v>0</v>
      </c>
      <c r="CW261">
        <v>0</v>
      </c>
      <c r="CX261" t="s">
        <v>198</v>
      </c>
      <c r="CY261" t="s">
        <v>198</v>
      </c>
      <c r="CZ261" t="s">
        <v>198</v>
      </c>
      <c r="DA261" t="s">
        <v>198</v>
      </c>
      <c r="DB261" t="s">
        <v>198</v>
      </c>
      <c r="DC261">
        <v>0</v>
      </c>
      <c r="DD261">
        <v>0</v>
      </c>
      <c r="DE261">
        <v>0</v>
      </c>
      <c r="DF261">
        <v>0</v>
      </c>
      <c r="DG261">
        <v>-35.3631166</v>
      </c>
      <c r="DH261">
        <v>149.1639735</v>
      </c>
      <c r="DI261" t="s">
        <v>360</v>
      </c>
      <c r="DJ261">
        <v>1.2</v>
      </c>
      <c r="DK261">
        <v>2</v>
      </c>
      <c r="DL261">
        <v>159.8</v>
      </c>
      <c r="DM261">
        <v>0</v>
      </c>
      <c r="DN261">
        <v>6</v>
      </c>
      <c r="DO261">
        <v>10</v>
      </c>
      <c r="DP261">
        <v>0</v>
      </c>
      <c r="DQ261">
        <v>255</v>
      </c>
      <c r="DR261">
        <v>255</v>
      </c>
      <c r="DS261">
        <v>255</v>
      </c>
      <c r="DT261">
        <v>255</v>
      </c>
      <c r="DU261">
        <v>255</v>
      </c>
      <c r="DV261">
        <v>255</v>
      </c>
      <c r="DW261">
        <v>255</v>
      </c>
      <c r="DX261" t="s">
        <v>206</v>
      </c>
      <c r="DY261" t="s">
        <v>206</v>
      </c>
      <c r="DZ261" t="s">
        <v>207</v>
      </c>
      <c r="EA261" t="s">
        <v>198</v>
      </c>
      <c r="EB261" t="s">
        <v>198</v>
      </c>
      <c r="EC261" t="s">
        <v>198</v>
      </c>
      <c r="ED261">
        <v>0</v>
      </c>
      <c r="EE261">
        <v>0</v>
      </c>
      <c r="EF261">
        <v>0</v>
      </c>
      <c r="EG261">
        <v>0</v>
      </c>
      <c r="EH261">
        <v>255</v>
      </c>
      <c r="EI261">
        <v>255</v>
      </c>
      <c r="EJ261">
        <v>255</v>
      </c>
      <c r="EK261">
        <v>255</v>
      </c>
      <c r="EL261">
        <v>255</v>
      </c>
      <c r="EM261">
        <v>255</v>
      </c>
      <c r="EN261">
        <v>255</v>
      </c>
      <c r="EO261">
        <v>255</v>
      </c>
      <c r="EP261">
        <v>255</v>
      </c>
      <c r="EQ261">
        <v>255</v>
      </c>
      <c r="ER261" t="s">
        <v>208</v>
      </c>
      <c r="ES261" t="s">
        <v>209</v>
      </c>
      <c r="ET261" t="s">
        <v>209</v>
      </c>
      <c r="EU261">
        <v>0</v>
      </c>
      <c r="EV261">
        <v>16.2</v>
      </c>
      <c r="EW261">
        <v>-114.7</v>
      </c>
      <c r="EX261">
        <v>-0.2</v>
      </c>
      <c r="EY261">
        <v>0</v>
      </c>
      <c r="EZ261">
        <v>0</v>
      </c>
      <c r="FA261">
        <v>0</v>
      </c>
      <c r="FB261" t="s">
        <v>198</v>
      </c>
      <c r="FC261" t="s">
        <v>198</v>
      </c>
      <c r="FD261" t="s">
        <v>198</v>
      </c>
      <c r="FE261" t="s">
        <v>198</v>
      </c>
      <c r="FF261" t="s">
        <v>198</v>
      </c>
      <c r="FG261" t="s">
        <v>198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 t="s">
        <v>203</v>
      </c>
      <c r="FP261" t="s">
        <v>203</v>
      </c>
      <c r="FQ261" t="s">
        <v>203</v>
      </c>
      <c r="FR261" t="s">
        <v>203</v>
      </c>
      <c r="FS261" t="s">
        <v>203</v>
      </c>
      <c r="FT261" t="s">
        <v>203</v>
      </c>
      <c r="FU261" t="s">
        <v>198</v>
      </c>
      <c r="FV261" t="s">
        <v>198</v>
      </c>
      <c r="FW261" t="s">
        <v>198</v>
      </c>
      <c r="FX261" t="s">
        <v>198</v>
      </c>
      <c r="FY261" t="s">
        <v>198</v>
      </c>
      <c r="FZ261" t="s">
        <v>198</v>
      </c>
      <c r="GA261">
        <v>31.2</v>
      </c>
      <c r="GB261">
        <v>31.2</v>
      </c>
      <c r="GC261" t="s">
        <v>203</v>
      </c>
      <c r="GD261">
        <v>0</v>
      </c>
      <c r="GE261">
        <v>504</v>
      </c>
      <c r="GF261">
        <v>0</v>
      </c>
      <c r="GG261">
        <v>0</v>
      </c>
      <c r="GH261">
        <v>0</v>
      </c>
      <c r="GI261">
        <v>1</v>
      </c>
      <c r="GJ261">
        <v>1</v>
      </c>
      <c r="GK261">
        <v>0</v>
      </c>
      <c r="GL261" t="s">
        <v>198</v>
      </c>
      <c r="GM261" t="s">
        <v>198</v>
      </c>
      <c r="GN261" t="s">
        <v>198</v>
      </c>
    </row>
    <row r="262" spans="1:196">
      <c r="A262" s="19">
        <v>46316.90691369213</v>
      </c>
      <c r="B262">
        <v>0</v>
      </c>
      <c r="C262">
        <v>0</v>
      </c>
      <c r="D262">
        <v>277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584.2</v>
      </c>
      <c r="N262">
        <v>-0.5</v>
      </c>
      <c r="O262">
        <v>0</v>
      </c>
      <c r="P262">
        <v>0</v>
      </c>
      <c r="Q262">
        <v>0</v>
      </c>
      <c r="R262">
        <v>0</v>
      </c>
      <c r="S262">
        <v>115.6</v>
      </c>
      <c r="T262" t="s">
        <v>485</v>
      </c>
      <c r="U262">
        <v>115.7</v>
      </c>
      <c r="V262">
        <v>1762727256586.8</v>
      </c>
      <c r="W262">
        <v>1</v>
      </c>
      <c r="X262" t="s">
        <v>197</v>
      </c>
      <c r="Y262">
        <v>0</v>
      </c>
      <c r="Z262">
        <v>98</v>
      </c>
      <c r="AA262">
        <v>278</v>
      </c>
      <c r="AB262" t="s">
        <v>197</v>
      </c>
      <c r="AC262" t="s">
        <v>198</v>
      </c>
      <c r="AD262" t="s">
        <v>199</v>
      </c>
      <c r="AE262">
        <v>0</v>
      </c>
      <c r="AF262">
        <v>45</v>
      </c>
      <c r="AG262">
        <v>255</v>
      </c>
      <c r="AH262">
        <v>0</v>
      </c>
      <c r="AI262">
        <v>0</v>
      </c>
      <c r="AJ262">
        <v>0</v>
      </c>
      <c r="AK262">
        <v>12.6</v>
      </c>
      <c r="AL262">
        <v>0</v>
      </c>
      <c r="AM262">
        <v>0</v>
      </c>
      <c r="AN262" t="s">
        <v>197</v>
      </c>
      <c r="AO262">
        <v>100</v>
      </c>
      <c r="AP262" t="s">
        <v>197</v>
      </c>
      <c r="AQ262" t="s">
        <v>200</v>
      </c>
      <c r="AR262">
        <v>1</v>
      </c>
      <c r="AS262">
        <v>0</v>
      </c>
      <c r="AT262" t="s">
        <v>608</v>
      </c>
      <c r="AU262" t="s">
        <v>608</v>
      </c>
      <c r="AV262" t="s">
        <v>202</v>
      </c>
      <c r="AW262" t="s">
        <v>203</v>
      </c>
      <c r="AX262" t="s">
        <v>203</v>
      </c>
      <c r="AY262" t="s">
        <v>203</v>
      </c>
      <c r="AZ262" t="s">
        <v>203</v>
      </c>
      <c r="BA262" t="s">
        <v>203</v>
      </c>
      <c r="BB262" t="s">
        <v>203</v>
      </c>
      <c r="BC262" t="s">
        <v>203</v>
      </c>
      <c r="BD262" t="s">
        <v>203</v>
      </c>
      <c r="BE262" t="s">
        <v>203</v>
      </c>
      <c r="BF262">
        <v>0</v>
      </c>
      <c r="BG262">
        <v>0.2</v>
      </c>
      <c r="BH262">
        <v>50</v>
      </c>
      <c r="BI262">
        <v>0</v>
      </c>
      <c r="BJ262" t="s">
        <v>198</v>
      </c>
      <c r="BK262" t="s">
        <v>198</v>
      </c>
      <c r="BL262" t="s">
        <v>198</v>
      </c>
      <c r="BM262" t="s">
        <v>198</v>
      </c>
      <c r="BN262" t="s">
        <v>198</v>
      </c>
      <c r="BO262" t="s">
        <v>198</v>
      </c>
      <c r="BP262" t="s">
        <v>198</v>
      </c>
      <c r="BQ262" t="s">
        <v>198</v>
      </c>
      <c r="BR262" t="s">
        <v>198</v>
      </c>
      <c r="BS262" t="s">
        <v>198</v>
      </c>
      <c r="BT262" t="s">
        <v>198</v>
      </c>
      <c r="BU262" t="s">
        <v>198</v>
      </c>
      <c r="BV262" t="s">
        <v>198</v>
      </c>
      <c r="BW262" t="s">
        <v>198</v>
      </c>
      <c r="BX262" t="s">
        <v>198</v>
      </c>
      <c r="BY262" t="s">
        <v>198</v>
      </c>
      <c r="BZ262" t="s">
        <v>198</v>
      </c>
      <c r="CA262" t="s">
        <v>198</v>
      </c>
      <c r="CB262" t="s">
        <v>204</v>
      </c>
      <c r="CC262" t="s">
        <v>204</v>
      </c>
      <c r="CD262" t="s">
        <v>204</v>
      </c>
      <c r="CE262" t="s">
        <v>204</v>
      </c>
      <c r="CF262" t="s">
        <v>204</v>
      </c>
      <c r="CG262" t="s">
        <v>204</v>
      </c>
      <c r="CH262" t="s">
        <v>204</v>
      </c>
      <c r="CI262" t="s">
        <v>204</v>
      </c>
      <c r="CJ262" t="s">
        <v>204</v>
      </c>
      <c r="CK262" t="s">
        <v>204</v>
      </c>
      <c r="CL262" t="s">
        <v>204</v>
      </c>
      <c r="CM262" t="s">
        <v>204</v>
      </c>
      <c r="CN262" t="s">
        <v>203</v>
      </c>
      <c r="CO262" t="s">
        <v>203</v>
      </c>
      <c r="CP262" t="s">
        <v>203</v>
      </c>
      <c r="CQ262" t="s">
        <v>203</v>
      </c>
      <c r="CR262" t="s">
        <v>203</v>
      </c>
      <c r="CS262" t="s">
        <v>203</v>
      </c>
      <c r="CT262" t="s">
        <v>203</v>
      </c>
      <c r="CU262" t="s">
        <v>203</v>
      </c>
      <c r="CV262">
        <v>0</v>
      </c>
      <c r="CW262">
        <v>0</v>
      </c>
      <c r="CX262" t="s">
        <v>198</v>
      </c>
      <c r="CY262" t="s">
        <v>198</v>
      </c>
      <c r="CZ262" t="s">
        <v>198</v>
      </c>
      <c r="DA262" t="s">
        <v>198</v>
      </c>
      <c r="DB262" t="s">
        <v>198</v>
      </c>
      <c r="DC262">
        <v>0</v>
      </c>
      <c r="DD262">
        <v>0</v>
      </c>
      <c r="DE262">
        <v>0</v>
      </c>
      <c r="DF262">
        <v>0</v>
      </c>
      <c r="DG262">
        <v>-35.3631166</v>
      </c>
      <c r="DH262">
        <v>149.1639735</v>
      </c>
      <c r="DI262" t="s">
        <v>360</v>
      </c>
      <c r="DJ262">
        <v>1.2</v>
      </c>
      <c r="DK262">
        <v>2</v>
      </c>
      <c r="DL262">
        <v>159.8</v>
      </c>
      <c r="DM262">
        <v>0</v>
      </c>
      <c r="DN262">
        <v>6</v>
      </c>
      <c r="DO262">
        <v>10</v>
      </c>
      <c r="DP262">
        <v>0</v>
      </c>
      <c r="DQ262">
        <v>255</v>
      </c>
      <c r="DR262">
        <v>255</v>
      </c>
      <c r="DS262">
        <v>255</v>
      </c>
      <c r="DT262">
        <v>255</v>
      </c>
      <c r="DU262">
        <v>255</v>
      </c>
      <c r="DV262">
        <v>255</v>
      </c>
      <c r="DW262">
        <v>255</v>
      </c>
      <c r="DX262" t="s">
        <v>206</v>
      </c>
      <c r="DY262" t="s">
        <v>206</v>
      </c>
      <c r="DZ262" t="s">
        <v>207</v>
      </c>
      <c r="EA262" t="s">
        <v>198</v>
      </c>
      <c r="EB262" t="s">
        <v>198</v>
      </c>
      <c r="EC262" t="s">
        <v>198</v>
      </c>
      <c r="ED262">
        <v>0</v>
      </c>
      <c r="EE262">
        <v>0</v>
      </c>
      <c r="EF262">
        <v>0</v>
      </c>
      <c r="EG262">
        <v>0</v>
      </c>
      <c r="EH262">
        <v>255</v>
      </c>
      <c r="EI262">
        <v>255</v>
      </c>
      <c r="EJ262">
        <v>255</v>
      </c>
      <c r="EK262">
        <v>255</v>
      </c>
      <c r="EL262">
        <v>255</v>
      </c>
      <c r="EM262">
        <v>255</v>
      </c>
      <c r="EN262">
        <v>255</v>
      </c>
      <c r="EO262">
        <v>255</v>
      </c>
      <c r="EP262">
        <v>255</v>
      </c>
      <c r="EQ262">
        <v>255</v>
      </c>
      <c r="ER262" t="s">
        <v>208</v>
      </c>
      <c r="ES262" t="s">
        <v>209</v>
      </c>
      <c r="ET262" t="s">
        <v>209</v>
      </c>
      <c r="EU262">
        <v>0</v>
      </c>
      <c r="EV262">
        <v>16.2</v>
      </c>
      <c r="EW262">
        <v>-114.7</v>
      </c>
      <c r="EX262">
        <v>-0.2</v>
      </c>
      <c r="EY262">
        <v>0</v>
      </c>
      <c r="EZ262">
        <v>0</v>
      </c>
      <c r="FA262">
        <v>0</v>
      </c>
      <c r="FB262" t="s">
        <v>198</v>
      </c>
      <c r="FC262" t="s">
        <v>198</v>
      </c>
      <c r="FD262" t="s">
        <v>198</v>
      </c>
      <c r="FE262" t="s">
        <v>198</v>
      </c>
      <c r="FF262" t="s">
        <v>198</v>
      </c>
      <c r="FG262" t="s">
        <v>198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 t="s">
        <v>203</v>
      </c>
      <c r="FP262" t="s">
        <v>203</v>
      </c>
      <c r="FQ262" t="s">
        <v>203</v>
      </c>
      <c r="FR262" t="s">
        <v>203</v>
      </c>
      <c r="FS262" t="s">
        <v>203</v>
      </c>
      <c r="FT262" t="s">
        <v>203</v>
      </c>
      <c r="FU262" t="s">
        <v>198</v>
      </c>
      <c r="FV262" t="s">
        <v>198</v>
      </c>
      <c r="FW262" t="s">
        <v>198</v>
      </c>
      <c r="FX262" t="s">
        <v>198</v>
      </c>
      <c r="FY262" t="s">
        <v>198</v>
      </c>
      <c r="FZ262" t="s">
        <v>198</v>
      </c>
      <c r="GA262">
        <v>31.2</v>
      </c>
      <c r="GB262">
        <v>31.2</v>
      </c>
      <c r="GC262" t="s">
        <v>203</v>
      </c>
      <c r="GD262">
        <v>0</v>
      </c>
      <c r="GE262">
        <v>504</v>
      </c>
      <c r="GF262">
        <v>0</v>
      </c>
      <c r="GG262">
        <v>0</v>
      </c>
      <c r="GH262">
        <v>0</v>
      </c>
      <c r="GI262">
        <v>1</v>
      </c>
      <c r="GJ262">
        <v>1</v>
      </c>
      <c r="GK262">
        <v>0</v>
      </c>
      <c r="GL262" t="s">
        <v>198</v>
      </c>
      <c r="GM262" t="s">
        <v>198</v>
      </c>
      <c r="GN262" t="s">
        <v>198</v>
      </c>
    </row>
    <row r="263" spans="1:196">
      <c r="A263" s="19">
        <v>46316.9069252662</v>
      </c>
      <c r="B263">
        <v>0</v>
      </c>
      <c r="C263">
        <v>0</v>
      </c>
      <c r="D263">
        <v>277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584.2</v>
      </c>
      <c r="N263">
        <v>-0.5</v>
      </c>
      <c r="O263">
        <v>0</v>
      </c>
      <c r="P263">
        <v>0</v>
      </c>
      <c r="Q263">
        <v>0</v>
      </c>
      <c r="R263">
        <v>0</v>
      </c>
      <c r="S263">
        <v>115.6</v>
      </c>
      <c r="T263" t="s">
        <v>485</v>
      </c>
      <c r="U263">
        <v>115.7</v>
      </c>
      <c r="V263">
        <v>1762727256586.8</v>
      </c>
      <c r="W263">
        <v>1</v>
      </c>
      <c r="X263" t="s">
        <v>197</v>
      </c>
      <c r="Y263">
        <v>0</v>
      </c>
      <c r="Z263">
        <v>98</v>
      </c>
      <c r="AA263">
        <v>278</v>
      </c>
      <c r="AB263" t="s">
        <v>197</v>
      </c>
      <c r="AC263" t="s">
        <v>198</v>
      </c>
      <c r="AD263" t="s">
        <v>199</v>
      </c>
      <c r="AE263">
        <v>0</v>
      </c>
      <c r="AF263">
        <v>45</v>
      </c>
      <c r="AG263">
        <v>255</v>
      </c>
      <c r="AH263">
        <v>0</v>
      </c>
      <c r="AI263">
        <v>0</v>
      </c>
      <c r="AJ263">
        <v>0</v>
      </c>
      <c r="AK263">
        <v>12.6</v>
      </c>
      <c r="AL263">
        <v>0</v>
      </c>
      <c r="AM263">
        <v>0</v>
      </c>
      <c r="AN263" t="s">
        <v>197</v>
      </c>
      <c r="AO263">
        <v>100</v>
      </c>
      <c r="AP263" t="s">
        <v>197</v>
      </c>
      <c r="AQ263" t="s">
        <v>200</v>
      </c>
      <c r="AR263">
        <v>1</v>
      </c>
      <c r="AS263">
        <v>0</v>
      </c>
      <c r="AT263" t="s">
        <v>609</v>
      </c>
      <c r="AU263" t="s">
        <v>609</v>
      </c>
      <c r="AV263" t="s">
        <v>202</v>
      </c>
      <c r="AW263" t="s">
        <v>203</v>
      </c>
      <c r="AX263" t="s">
        <v>203</v>
      </c>
      <c r="AY263" t="s">
        <v>203</v>
      </c>
      <c r="AZ263" t="s">
        <v>203</v>
      </c>
      <c r="BA263" t="s">
        <v>203</v>
      </c>
      <c r="BB263" t="s">
        <v>203</v>
      </c>
      <c r="BC263" t="s">
        <v>203</v>
      </c>
      <c r="BD263" t="s">
        <v>203</v>
      </c>
      <c r="BE263" t="s">
        <v>203</v>
      </c>
      <c r="BF263">
        <v>0</v>
      </c>
      <c r="BG263">
        <v>0.2</v>
      </c>
      <c r="BH263">
        <v>50</v>
      </c>
      <c r="BI263">
        <v>0</v>
      </c>
      <c r="BJ263" t="s">
        <v>198</v>
      </c>
      <c r="BK263" t="s">
        <v>198</v>
      </c>
      <c r="BL263" t="s">
        <v>198</v>
      </c>
      <c r="BM263" t="s">
        <v>198</v>
      </c>
      <c r="BN263" t="s">
        <v>198</v>
      </c>
      <c r="BO263" t="s">
        <v>198</v>
      </c>
      <c r="BP263" t="s">
        <v>198</v>
      </c>
      <c r="BQ263" t="s">
        <v>198</v>
      </c>
      <c r="BR263" t="s">
        <v>198</v>
      </c>
      <c r="BS263" t="s">
        <v>198</v>
      </c>
      <c r="BT263" t="s">
        <v>198</v>
      </c>
      <c r="BU263" t="s">
        <v>198</v>
      </c>
      <c r="BV263" t="s">
        <v>198</v>
      </c>
      <c r="BW263" t="s">
        <v>198</v>
      </c>
      <c r="BX263" t="s">
        <v>198</v>
      </c>
      <c r="BY263" t="s">
        <v>198</v>
      </c>
      <c r="BZ263" t="s">
        <v>198</v>
      </c>
      <c r="CA263" t="s">
        <v>198</v>
      </c>
      <c r="CB263" t="s">
        <v>204</v>
      </c>
      <c r="CC263" t="s">
        <v>204</v>
      </c>
      <c r="CD263" t="s">
        <v>204</v>
      </c>
      <c r="CE263" t="s">
        <v>204</v>
      </c>
      <c r="CF263" t="s">
        <v>204</v>
      </c>
      <c r="CG263" t="s">
        <v>204</v>
      </c>
      <c r="CH263" t="s">
        <v>204</v>
      </c>
      <c r="CI263" t="s">
        <v>204</v>
      </c>
      <c r="CJ263" t="s">
        <v>204</v>
      </c>
      <c r="CK263" t="s">
        <v>204</v>
      </c>
      <c r="CL263" t="s">
        <v>204</v>
      </c>
      <c r="CM263" t="s">
        <v>204</v>
      </c>
      <c r="CN263" t="s">
        <v>203</v>
      </c>
      <c r="CO263" t="s">
        <v>203</v>
      </c>
      <c r="CP263" t="s">
        <v>203</v>
      </c>
      <c r="CQ263" t="s">
        <v>203</v>
      </c>
      <c r="CR263" t="s">
        <v>203</v>
      </c>
      <c r="CS263" t="s">
        <v>203</v>
      </c>
      <c r="CT263" t="s">
        <v>203</v>
      </c>
      <c r="CU263" t="s">
        <v>203</v>
      </c>
      <c r="CV263">
        <v>0</v>
      </c>
      <c r="CW263">
        <v>0</v>
      </c>
      <c r="CX263" t="s">
        <v>198</v>
      </c>
      <c r="CY263" t="s">
        <v>198</v>
      </c>
      <c r="CZ263" t="s">
        <v>198</v>
      </c>
      <c r="DA263" t="s">
        <v>198</v>
      </c>
      <c r="DB263" t="s">
        <v>198</v>
      </c>
      <c r="DC263">
        <v>0</v>
      </c>
      <c r="DD263">
        <v>0</v>
      </c>
      <c r="DE263">
        <v>0</v>
      </c>
      <c r="DF263">
        <v>0</v>
      </c>
      <c r="DG263">
        <v>-35.3631166</v>
      </c>
      <c r="DH263">
        <v>149.1639735</v>
      </c>
      <c r="DI263" t="s">
        <v>360</v>
      </c>
      <c r="DJ263">
        <v>1.2</v>
      </c>
      <c r="DK263">
        <v>2</v>
      </c>
      <c r="DL263">
        <v>159.8</v>
      </c>
      <c r="DM263">
        <v>0</v>
      </c>
      <c r="DN263">
        <v>6</v>
      </c>
      <c r="DO263">
        <v>10</v>
      </c>
      <c r="DP263">
        <v>0</v>
      </c>
      <c r="DQ263">
        <v>255</v>
      </c>
      <c r="DR263">
        <v>255</v>
      </c>
      <c r="DS263">
        <v>255</v>
      </c>
      <c r="DT263">
        <v>255</v>
      </c>
      <c r="DU263">
        <v>255</v>
      </c>
      <c r="DV263">
        <v>255</v>
      </c>
      <c r="DW263">
        <v>255</v>
      </c>
      <c r="DX263" t="s">
        <v>206</v>
      </c>
      <c r="DY263" t="s">
        <v>206</v>
      </c>
      <c r="DZ263" t="s">
        <v>207</v>
      </c>
      <c r="EA263" t="s">
        <v>198</v>
      </c>
      <c r="EB263" t="s">
        <v>198</v>
      </c>
      <c r="EC263" t="s">
        <v>198</v>
      </c>
      <c r="ED263">
        <v>0</v>
      </c>
      <c r="EE263">
        <v>0</v>
      </c>
      <c r="EF263">
        <v>0</v>
      </c>
      <c r="EG263">
        <v>0</v>
      </c>
      <c r="EH263">
        <v>255</v>
      </c>
      <c r="EI263">
        <v>255</v>
      </c>
      <c r="EJ263">
        <v>255</v>
      </c>
      <c r="EK263">
        <v>255</v>
      </c>
      <c r="EL263">
        <v>255</v>
      </c>
      <c r="EM263">
        <v>255</v>
      </c>
      <c r="EN263">
        <v>255</v>
      </c>
      <c r="EO263">
        <v>255</v>
      </c>
      <c r="EP263">
        <v>255</v>
      </c>
      <c r="EQ263">
        <v>255</v>
      </c>
      <c r="ER263" t="s">
        <v>208</v>
      </c>
      <c r="ES263" t="s">
        <v>209</v>
      </c>
      <c r="ET263" t="s">
        <v>209</v>
      </c>
      <c r="EU263">
        <v>0</v>
      </c>
      <c r="EV263">
        <v>16.2</v>
      </c>
      <c r="EW263">
        <v>-114.7</v>
      </c>
      <c r="EX263">
        <v>-0.2</v>
      </c>
      <c r="EY263">
        <v>0</v>
      </c>
      <c r="EZ263">
        <v>0</v>
      </c>
      <c r="FA263">
        <v>0</v>
      </c>
      <c r="FB263" t="s">
        <v>198</v>
      </c>
      <c r="FC263" t="s">
        <v>198</v>
      </c>
      <c r="FD263" t="s">
        <v>198</v>
      </c>
      <c r="FE263" t="s">
        <v>198</v>
      </c>
      <c r="FF263" t="s">
        <v>198</v>
      </c>
      <c r="FG263" t="s">
        <v>198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 t="s">
        <v>203</v>
      </c>
      <c r="FP263" t="s">
        <v>203</v>
      </c>
      <c r="FQ263" t="s">
        <v>203</v>
      </c>
      <c r="FR263" t="s">
        <v>203</v>
      </c>
      <c r="FS263" t="s">
        <v>203</v>
      </c>
      <c r="FT263" t="s">
        <v>203</v>
      </c>
      <c r="FU263" t="s">
        <v>198</v>
      </c>
      <c r="FV263" t="s">
        <v>198</v>
      </c>
      <c r="FW263" t="s">
        <v>198</v>
      </c>
      <c r="FX263" t="s">
        <v>198</v>
      </c>
      <c r="FY263" t="s">
        <v>198</v>
      </c>
      <c r="FZ263" t="s">
        <v>198</v>
      </c>
      <c r="GA263">
        <v>31.2</v>
      </c>
      <c r="GB263">
        <v>31.2</v>
      </c>
      <c r="GC263" t="s">
        <v>203</v>
      </c>
      <c r="GD263">
        <v>0</v>
      </c>
      <c r="GE263">
        <v>504</v>
      </c>
      <c r="GF263">
        <v>0</v>
      </c>
      <c r="GG263">
        <v>0</v>
      </c>
      <c r="GH263">
        <v>0</v>
      </c>
      <c r="GI263">
        <v>1</v>
      </c>
      <c r="GJ263">
        <v>1</v>
      </c>
      <c r="GK263">
        <v>0</v>
      </c>
      <c r="GL263" t="s">
        <v>198</v>
      </c>
      <c r="GM263" t="s">
        <v>198</v>
      </c>
      <c r="GN263" t="s">
        <v>198</v>
      </c>
    </row>
    <row r="264" spans="1:196">
      <c r="A264" s="19">
        <v>46316.90693684028</v>
      </c>
      <c r="B264">
        <v>0</v>
      </c>
      <c r="C264">
        <v>0</v>
      </c>
      <c r="D264">
        <v>277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584.2</v>
      </c>
      <c r="N264">
        <v>-0.5</v>
      </c>
      <c r="O264">
        <v>0</v>
      </c>
      <c r="P264">
        <v>0</v>
      </c>
      <c r="Q264">
        <v>0</v>
      </c>
      <c r="R264">
        <v>0</v>
      </c>
      <c r="S264">
        <v>115.6</v>
      </c>
      <c r="T264" t="s">
        <v>485</v>
      </c>
      <c r="U264">
        <v>115.7</v>
      </c>
      <c r="V264">
        <v>1762727256586.8</v>
      </c>
      <c r="W264">
        <v>1</v>
      </c>
      <c r="X264" t="s">
        <v>197</v>
      </c>
      <c r="Y264">
        <v>0</v>
      </c>
      <c r="Z264">
        <v>98</v>
      </c>
      <c r="AA264">
        <v>278</v>
      </c>
      <c r="AB264" t="s">
        <v>197</v>
      </c>
      <c r="AC264" t="s">
        <v>198</v>
      </c>
      <c r="AD264" t="s">
        <v>199</v>
      </c>
      <c r="AE264">
        <v>0</v>
      </c>
      <c r="AF264">
        <v>45</v>
      </c>
      <c r="AG264">
        <v>255</v>
      </c>
      <c r="AH264">
        <v>0</v>
      </c>
      <c r="AI264">
        <v>0</v>
      </c>
      <c r="AJ264">
        <v>0</v>
      </c>
      <c r="AK264">
        <v>12.6</v>
      </c>
      <c r="AL264">
        <v>0</v>
      </c>
      <c r="AM264">
        <v>0</v>
      </c>
      <c r="AN264" t="s">
        <v>197</v>
      </c>
      <c r="AO264">
        <v>100</v>
      </c>
      <c r="AP264" t="s">
        <v>197</v>
      </c>
      <c r="AQ264" t="s">
        <v>200</v>
      </c>
      <c r="AR264">
        <v>1</v>
      </c>
      <c r="AS264">
        <v>0</v>
      </c>
      <c r="AT264" t="s">
        <v>610</v>
      </c>
      <c r="AU264" t="s">
        <v>610</v>
      </c>
      <c r="AV264" t="s">
        <v>202</v>
      </c>
      <c r="AW264" t="s">
        <v>203</v>
      </c>
      <c r="AX264" t="s">
        <v>203</v>
      </c>
      <c r="AY264" t="s">
        <v>203</v>
      </c>
      <c r="AZ264" t="s">
        <v>203</v>
      </c>
      <c r="BA264" t="s">
        <v>203</v>
      </c>
      <c r="BB264" t="s">
        <v>203</v>
      </c>
      <c r="BC264" t="s">
        <v>203</v>
      </c>
      <c r="BD264" t="s">
        <v>203</v>
      </c>
      <c r="BE264" t="s">
        <v>203</v>
      </c>
      <c r="BF264">
        <v>0</v>
      </c>
      <c r="BG264">
        <v>0.2</v>
      </c>
      <c r="BH264">
        <v>50</v>
      </c>
      <c r="BI264">
        <v>0</v>
      </c>
      <c r="BJ264" t="s">
        <v>198</v>
      </c>
      <c r="BK264" t="s">
        <v>198</v>
      </c>
      <c r="BL264" t="s">
        <v>198</v>
      </c>
      <c r="BM264" t="s">
        <v>198</v>
      </c>
      <c r="BN264" t="s">
        <v>198</v>
      </c>
      <c r="BO264" t="s">
        <v>198</v>
      </c>
      <c r="BP264" t="s">
        <v>198</v>
      </c>
      <c r="BQ264" t="s">
        <v>198</v>
      </c>
      <c r="BR264" t="s">
        <v>198</v>
      </c>
      <c r="BS264" t="s">
        <v>198</v>
      </c>
      <c r="BT264" t="s">
        <v>198</v>
      </c>
      <c r="BU264" t="s">
        <v>198</v>
      </c>
      <c r="BV264" t="s">
        <v>198</v>
      </c>
      <c r="BW264" t="s">
        <v>198</v>
      </c>
      <c r="BX264" t="s">
        <v>198</v>
      </c>
      <c r="BY264" t="s">
        <v>198</v>
      </c>
      <c r="BZ264" t="s">
        <v>198</v>
      </c>
      <c r="CA264" t="s">
        <v>198</v>
      </c>
      <c r="CB264" t="s">
        <v>204</v>
      </c>
      <c r="CC264" t="s">
        <v>204</v>
      </c>
      <c r="CD264" t="s">
        <v>204</v>
      </c>
      <c r="CE264" t="s">
        <v>204</v>
      </c>
      <c r="CF264" t="s">
        <v>204</v>
      </c>
      <c r="CG264" t="s">
        <v>204</v>
      </c>
      <c r="CH264" t="s">
        <v>204</v>
      </c>
      <c r="CI264" t="s">
        <v>204</v>
      </c>
      <c r="CJ264" t="s">
        <v>204</v>
      </c>
      <c r="CK264" t="s">
        <v>204</v>
      </c>
      <c r="CL264" t="s">
        <v>204</v>
      </c>
      <c r="CM264" t="s">
        <v>204</v>
      </c>
      <c r="CN264" t="s">
        <v>203</v>
      </c>
      <c r="CO264" t="s">
        <v>203</v>
      </c>
      <c r="CP264" t="s">
        <v>203</v>
      </c>
      <c r="CQ264" t="s">
        <v>203</v>
      </c>
      <c r="CR264" t="s">
        <v>203</v>
      </c>
      <c r="CS264" t="s">
        <v>203</v>
      </c>
      <c r="CT264" t="s">
        <v>203</v>
      </c>
      <c r="CU264" t="s">
        <v>203</v>
      </c>
      <c r="CV264">
        <v>0</v>
      </c>
      <c r="CW264">
        <v>0</v>
      </c>
      <c r="CX264" t="s">
        <v>198</v>
      </c>
      <c r="CY264" t="s">
        <v>198</v>
      </c>
      <c r="CZ264" t="s">
        <v>198</v>
      </c>
      <c r="DA264" t="s">
        <v>198</v>
      </c>
      <c r="DB264" t="s">
        <v>198</v>
      </c>
      <c r="DC264">
        <v>0</v>
      </c>
      <c r="DD264">
        <v>0</v>
      </c>
      <c r="DE264">
        <v>0</v>
      </c>
      <c r="DF264">
        <v>0</v>
      </c>
      <c r="DG264">
        <v>-35.3631166</v>
      </c>
      <c r="DH264">
        <v>149.1639735</v>
      </c>
      <c r="DI264" t="s">
        <v>360</v>
      </c>
      <c r="DJ264">
        <v>1.2</v>
      </c>
      <c r="DK264">
        <v>2</v>
      </c>
      <c r="DL264">
        <v>159.8</v>
      </c>
      <c r="DM264">
        <v>0</v>
      </c>
      <c r="DN264">
        <v>6</v>
      </c>
      <c r="DO264">
        <v>10</v>
      </c>
      <c r="DP264">
        <v>0</v>
      </c>
      <c r="DQ264">
        <v>255</v>
      </c>
      <c r="DR264">
        <v>255</v>
      </c>
      <c r="DS264">
        <v>255</v>
      </c>
      <c r="DT264">
        <v>255</v>
      </c>
      <c r="DU264">
        <v>255</v>
      </c>
      <c r="DV264">
        <v>255</v>
      </c>
      <c r="DW264">
        <v>255</v>
      </c>
      <c r="DX264" t="s">
        <v>206</v>
      </c>
      <c r="DY264" t="s">
        <v>206</v>
      </c>
      <c r="DZ264" t="s">
        <v>207</v>
      </c>
      <c r="EA264" t="s">
        <v>198</v>
      </c>
      <c r="EB264" t="s">
        <v>198</v>
      </c>
      <c r="EC264" t="s">
        <v>198</v>
      </c>
      <c r="ED264">
        <v>0</v>
      </c>
      <c r="EE264">
        <v>0</v>
      </c>
      <c r="EF264">
        <v>0</v>
      </c>
      <c r="EG264">
        <v>0</v>
      </c>
      <c r="EH264">
        <v>255</v>
      </c>
      <c r="EI264">
        <v>255</v>
      </c>
      <c r="EJ264">
        <v>255</v>
      </c>
      <c r="EK264">
        <v>255</v>
      </c>
      <c r="EL264">
        <v>255</v>
      </c>
      <c r="EM264">
        <v>255</v>
      </c>
      <c r="EN264">
        <v>255</v>
      </c>
      <c r="EO264">
        <v>255</v>
      </c>
      <c r="EP264">
        <v>255</v>
      </c>
      <c r="EQ264">
        <v>255</v>
      </c>
      <c r="ER264" t="s">
        <v>208</v>
      </c>
      <c r="ES264" t="s">
        <v>209</v>
      </c>
      <c r="ET264" t="s">
        <v>209</v>
      </c>
      <c r="EU264">
        <v>0</v>
      </c>
      <c r="EV264">
        <v>16.2</v>
      </c>
      <c r="EW264">
        <v>-114.7</v>
      </c>
      <c r="EX264">
        <v>-0.2</v>
      </c>
      <c r="EY264">
        <v>0</v>
      </c>
      <c r="EZ264">
        <v>0</v>
      </c>
      <c r="FA264">
        <v>0</v>
      </c>
      <c r="FB264" t="s">
        <v>198</v>
      </c>
      <c r="FC264" t="s">
        <v>198</v>
      </c>
      <c r="FD264" t="s">
        <v>198</v>
      </c>
      <c r="FE264" t="s">
        <v>198</v>
      </c>
      <c r="FF264" t="s">
        <v>198</v>
      </c>
      <c r="FG264" t="s">
        <v>198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 t="s">
        <v>203</v>
      </c>
      <c r="FP264" t="s">
        <v>203</v>
      </c>
      <c r="FQ264" t="s">
        <v>203</v>
      </c>
      <c r="FR264" t="s">
        <v>203</v>
      </c>
      <c r="FS264" t="s">
        <v>203</v>
      </c>
      <c r="FT264" t="s">
        <v>203</v>
      </c>
      <c r="FU264" t="s">
        <v>198</v>
      </c>
      <c r="FV264" t="s">
        <v>198</v>
      </c>
      <c r="FW264" t="s">
        <v>198</v>
      </c>
      <c r="FX264" t="s">
        <v>198</v>
      </c>
      <c r="FY264" t="s">
        <v>198</v>
      </c>
      <c r="FZ264" t="s">
        <v>198</v>
      </c>
      <c r="GA264">
        <v>31.2</v>
      </c>
      <c r="GB264">
        <v>31.2</v>
      </c>
      <c r="GC264" t="s">
        <v>203</v>
      </c>
      <c r="GD264">
        <v>0</v>
      </c>
      <c r="GE264">
        <v>504</v>
      </c>
      <c r="GF264">
        <v>0</v>
      </c>
      <c r="GG264">
        <v>0</v>
      </c>
      <c r="GH264">
        <v>0</v>
      </c>
      <c r="GI264">
        <v>1</v>
      </c>
      <c r="GJ264">
        <v>1</v>
      </c>
      <c r="GK264">
        <v>0</v>
      </c>
      <c r="GL264" t="s">
        <v>198</v>
      </c>
      <c r="GM264" t="s">
        <v>198</v>
      </c>
      <c r="GN264" t="s">
        <v>198</v>
      </c>
    </row>
    <row r="265" spans="1:196">
      <c r="A265" s="19">
        <v>46316.9069484375</v>
      </c>
      <c r="B265">
        <v>0</v>
      </c>
      <c r="C265">
        <v>0</v>
      </c>
      <c r="D265">
        <v>277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584.2</v>
      </c>
      <c r="N265">
        <v>-0.5</v>
      </c>
      <c r="O265">
        <v>0</v>
      </c>
      <c r="P265">
        <v>0</v>
      </c>
      <c r="Q265">
        <v>0</v>
      </c>
      <c r="R265">
        <v>0</v>
      </c>
      <c r="S265">
        <v>115.6</v>
      </c>
      <c r="T265" t="s">
        <v>485</v>
      </c>
      <c r="U265">
        <v>115.7</v>
      </c>
      <c r="V265">
        <v>1762727256586.8</v>
      </c>
      <c r="W265">
        <v>1</v>
      </c>
      <c r="X265" t="s">
        <v>197</v>
      </c>
      <c r="Y265">
        <v>0</v>
      </c>
      <c r="Z265">
        <v>98</v>
      </c>
      <c r="AA265">
        <v>278</v>
      </c>
      <c r="AB265" t="s">
        <v>197</v>
      </c>
      <c r="AC265" t="s">
        <v>198</v>
      </c>
      <c r="AD265" t="s">
        <v>199</v>
      </c>
      <c r="AE265">
        <v>0</v>
      </c>
      <c r="AF265">
        <v>45</v>
      </c>
      <c r="AG265">
        <v>255</v>
      </c>
      <c r="AH265">
        <v>0</v>
      </c>
      <c r="AI265">
        <v>0</v>
      </c>
      <c r="AJ265">
        <v>0</v>
      </c>
      <c r="AK265">
        <v>12.6</v>
      </c>
      <c r="AL265">
        <v>0</v>
      </c>
      <c r="AM265">
        <v>0</v>
      </c>
      <c r="AN265" t="s">
        <v>197</v>
      </c>
      <c r="AO265">
        <v>100</v>
      </c>
      <c r="AP265" t="s">
        <v>197</v>
      </c>
      <c r="AQ265" t="s">
        <v>200</v>
      </c>
      <c r="AR265">
        <v>1</v>
      </c>
      <c r="AS265">
        <v>0</v>
      </c>
      <c r="AT265" t="s">
        <v>611</v>
      </c>
      <c r="AU265" t="s">
        <v>611</v>
      </c>
      <c r="AV265" t="s">
        <v>202</v>
      </c>
      <c r="AW265" t="s">
        <v>203</v>
      </c>
      <c r="AX265" t="s">
        <v>203</v>
      </c>
      <c r="AY265" t="s">
        <v>203</v>
      </c>
      <c r="AZ265" t="s">
        <v>203</v>
      </c>
      <c r="BA265" t="s">
        <v>203</v>
      </c>
      <c r="BB265" t="s">
        <v>203</v>
      </c>
      <c r="BC265" t="s">
        <v>203</v>
      </c>
      <c r="BD265" t="s">
        <v>203</v>
      </c>
      <c r="BE265" t="s">
        <v>203</v>
      </c>
      <c r="BF265">
        <v>0</v>
      </c>
      <c r="BG265">
        <v>0.2</v>
      </c>
      <c r="BH265">
        <v>50</v>
      </c>
      <c r="BI265">
        <v>0</v>
      </c>
      <c r="BJ265" t="s">
        <v>198</v>
      </c>
      <c r="BK265" t="s">
        <v>198</v>
      </c>
      <c r="BL265" t="s">
        <v>198</v>
      </c>
      <c r="BM265" t="s">
        <v>198</v>
      </c>
      <c r="BN265" t="s">
        <v>198</v>
      </c>
      <c r="BO265" t="s">
        <v>198</v>
      </c>
      <c r="BP265" t="s">
        <v>198</v>
      </c>
      <c r="BQ265" t="s">
        <v>198</v>
      </c>
      <c r="BR265" t="s">
        <v>198</v>
      </c>
      <c r="BS265" t="s">
        <v>198</v>
      </c>
      <c r="BT265" t="s">
        <v>198</v>
      </c>
      <c r="BU265" t="s">
        <v>198</v>
      </c>
      <c r="BV265" t="s">
        <v>198</v>
      </c>
      <c r="BW265" t="s">
        <v>198</v>
      </c>
      <c r="BX265" t="s">
        <v>198</v>
      </c>
      <c r="BY265" t="s">
        <v>198</v>
      </c>
      <c r="BZ265" t="s">
        <v>198</v>
      </c>
      <c r="CA265" t="s">
        <v>198</v>
      </c>
      <c r="CB265" t="s">
        <v>204</v>
      </c>
      <c r="CC265" t="s">
        <v>204</v>
      </c>
      <c r="CD265" t="s">
        <v>204</v>
      </c>
      <c r="CE265" t="s">
        <v>204</v>
      </c>
      <c r="CF265" t="s">
        <v>204</v>
      </c>
      <c r="CG265" t="s">
        <v>204</v>
      </c>
      <c r="CH265" t="s">
        <v>204</v>
      </c>
      <c r="CI265" t="s">
        <v>204</v>
      </c>
      <c r="CJ265" t="s">
        <v>204</v>
      </c>
      <c r="CK265" t="s">
        <v>204</v>
      </c>
      <c r="CL265" t="s">
        <v>204</v>
      </c>
      <c r="CM265" t="s">
        <v>204</v>
      </c>
      <c r="CN265" t="s">
        <v>203</v>
      </c>
      <c r="CO265" t="s">
        <v>203</v>
      </c>
      <c r="CP265" t="s">
        <v>203</v>
      </c>
      <c r="CQ265" t="s">
        <v>203</v>
      </c>
      <c r="CR265" t="s">
        <v>203</v>
      </c>
      <c r="CS265" t="s">
        <v>203</v>
      </c>
      <c r="CT265" t="s">
        <v>203</v>
      </c>
      <c r="CU265" t="s">
        <v>203</v>
      </c>
      <c r="CV265">
        <v>0</v>
      </c>
      <c r="CW265">
        <v>0</v>
      </c>
      <c r="CX265" t="s">
        <v>198</v>
      </c>
      <c r="CY265" t="s">
        <v>198</v>
      </c>
      <c r="CZ265" t="s">
        <v>198</v>
      </c>
      <c r="DA265" t="s">
        <v>198</v>
      </c>
      <c r="DB265" t="s">
        <v>198</v>
      </c>
      <c r="DC265">
        <v>0</v>
      </c>
      <c r="DD265">
        <v>0</v>
      </c>
      <c r="DE265">
        <v>0</v>
      </c>
      <c r="DF265">
        <v>0</v>
      </c>
      <c r="DG265">
        <v>-35.3631166</v>
      </c>
      <c r="DH265">
        <v>149.1639735</v>
      </c>
      <c r="DI265" t="s">
        <v>360</v>
      </c>
      <c r="DJ265">
        <v>1.2</v>
      </c>
      <c r="DK265">
        <v>2</v>
      </c>
      <c r="DL265">
        <v>159.8</v>
      </c>
      <c r="DM265">
        <v>0</v>
      </c>
      <c r="DN265">
        <v>6</v>
      </c>
      <c r="DO265">
        <v>10</v>
      </c>
      <c r="DP265">
        <v>0</v>
      </c>
      <c r="DQ265">
        <v>255</v>
      </c>
      <c r="DR265">
        <v>255</v>
      </c>
      <c r="DS265">
        <v>255</v>
      </c>
      <c r="DT265">
        <v>255</v>
      </c>
      <c r="DU265">
        <v>255</v>
      </c>
      <c r="DV265">
        <v>255</v>
      </c>
      <c r="DW265">
        <v>255</v>
      </c>
      <c r="DX265" t="s">
        <v>206</v>
      </c>
      <c r="DY265" t="s">
        <v>206</v>
      </c>
      <c r="DZ265" t="s">
        <v>207</v>
      </c>
      <c r="EA265" t="s">
        <v>198</v>
      </c>
      <c r="EB265" t="s">
        <v>198</v>
      </c>
      <c r="EC265" t="s">
        <v>198</v>
      </c>
      <c r="ED265">
        <v>0</v>
      </c>
      <c r="EE265">
        <v>0</v>
      </c>
      <c r="EF265">
        <v>0</v>
      </c>
      <c r="EG265">
        <v>0</v>
      </c>
      <c r="EH265">
        <v>255</v>
      </c>
      <c r="EI265">
        <v>255</v>
      </c>
      <c r="EJ265">
        <v>255</v>
      </c>
      <c r="EK265">
        <v>255</v>
      </c>
      <c r="EL265">
        <v>255</v>
      </c>
      <c r="EM265">
        <v>255</v>
      </c>
      <c r="EN265">
        <v>255</v>
      </c>
      <c r="EO265">
        <v>255</v>
      </c>
      <c r="EP265">
        <v>255</v>
      </c>
      <c r="EQ265">
        <v>255</v>
      </c>
      <c r="ER265" t="s">
        <v>208</v>
      </c>
      <c r="ES265" t="s">
        <v>209</v>
      </c>
      <c r="ET265" t="s">
        <v>209</v>
      </c>
      <c r="EU265">
        <v>0</v>
      </c>
      <c r="EV265">
        <v>16.2</v>
      </c>
      <c r="EW265">
        <v>-114.7</v>
      </c>
      <c r="EX265">
        <v>-0.2</v>
      </c>
      <c r="EY265">
        <v>0</v>
      </c>
      <c r="EZ265">
        <v>0</v>
      </c>
      <c r="FA265">
        <v>0</v>
      </c>
      <c r="FB265" t="s">
        <v>198</v>
      </c>
      <c r="FC265" t="s">
        <v>198</v>
      </c>
      <c r="FD265" t="s">
        <v>198</v>
      </c>
      <c r="FE265" t="s">
        <v>198</v>
      </c>
      <c r="FF265" t="s">
        <v>198</v>
      </c>
      <c r="FG265" t="s">
        <v>198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203</v>
      </c>
      <c r="FP265" t="s">
        <v>203</v>
      </c>
      <c r="FQ265" t="s">
        <v>203</v>
      </c>
      <c r="FR265" t="s">
        <v>203</v>
      </c>
      <c r="FS265" t="s">
        <v>203</v>
      </c>
      <c r="FT265" t="s">
        <v>203</v>
      </c>
      <c r="FU265" t="s">
        <v>198</v>
      </c>
      <c r="FV265" t="s">
        <v>198</v>
      </c>
      <c r="FW265" t="s">
        <v>198</v>
      </c>
      <c r="FX265" t="s">
        <v>198</v>
      </c>
      <c r="FY265" t="s">
        <v>198</v>
      </c>
      <c r="FZ265" t="s">
        <v>198</v>
      </c>
      <c r="GA265">
        <v>31.2</v>
      </c>
      <c r="GB265">
        <v>31.2</v>
      </c>
      <c r="GC265" t="s">
        <v>203</v>
      </c>
      <c r="GD265">
        <v>0</v>
      </c>
      <c r="GE265">
        <v>504</v>
      </c>
      <c r="GF265">
        <v>0</v>
      </c>
      <c r="GG265">
        <v>0</v>
      </c>
      <c r="GH265">
        <v>0</v>
      </c>
      <c r="GI265">
        <v>1</v>
      </c>
      <c r="GJ265">
        <v>1</v>
      </c>
      <c r="GK265">
        <v>0</v>
      </c>
      <c r="GL265" t="s">
        <v>198</v>
      </c>
      <c r="GM265" t="s">
        <v>198</v>
      </c>
      <c r="GN265" t="s">
        <v>198</v>
      </c>
    </row>
    <row r="266" spans="1:196">
      <c r="A266" s="19">
        <v>46316.90695998842</v>
      </c>
      <c r="B266">
        <v>0</v>
      </c>
      <c r="C266">
        <v>0</v>
      </c>
      <c r="D266">
        <v>277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584.2</v>
      </c>
      <c r="N266">
        <v>-0.5</v>
      </c>
      <c r="O266">
        <v>0</v>
      </c>
      <c r="P266">
        <v>0</v>
      </c>
      <c r="Q266">
        <v>0</v>
      </c>
      <c r="R266">
        <v>0</v>
      </c>
      <c r="S266">
        <v>115.6</v>
      </c>
      <c r="T266" t="s">
        <v>485</v>
      </c>
      <c r="U266">
        <v>115.7</v>
      </c>
      <c r="V266">
        <v>1762727256586.8</v>
      </c>
      <c r="W266">
        <v>1</v>
      </c>
      <c r="X266" t="s">
        <v>197</v>
      </c>
      <c r="Y266">
        <v>0</v>
      </c>
      <c r="Z266">
        <v>98</v>
      </c>
      <c r="AA266">
        <v>278</v>
      </c>
      <c r="AB266" t="s">
        <v>197</v>
      </c>
      <c r="AC266" t="s">
        <v>198</v>
      </c>
      <c r="AD266" t="s">
        <v>199</v>
      </c>
      <c r="AE266">
        <v>0</v>
      </c>
      <c r="AF266">
        <v>45</v>
      </c>
      <c r="AG266">
        <v>255</v>
      </c>
      <c r="AH266">
        <v>0</v>
      </c>
      <c r="AI266">
        <v>0</v>
      </c>
      <c r="AJ266">
        <v>0</v>
      </c>
      <c r="AK266">
        <v>12.6</v>
      </c>
      <c r="AL266">
        <v>0</v>
      </c>
      <c r="AM266">
        <v>0</v>
      </c>
      <c r="AN266" t="s">
        <v>197</v>
      </c>
      <c r="AO266">
        <v>100</v>
      </c>
      <c r="AP266" t="s">
        <v>197</v>
      </c>
      <c r="AQ266" t="s">
        <v>200</v>
      </c>
      <c r="AR266">
        <v>1</v>
      </c>
      <c r="AS266">
        <v>0</v>
      </c>
      <c r="AT266" t="s">
        <v>612</v>
      </c>
      <c r="AU266" t="s">
        <v>612</v>
      </c>
      <c r="AV266" t="s">
        <v>202</v>
      </c>
      <c r="AW266" t="s">
        <v>203</v>
      </c>
      <c r="AX266" t="s">
        <v>203</v>
      </c>
      <c r="AY266" t="s">
        <v>203</v>
      </c>
      <c r="AZ266" t="s">
        <v>203</v>
      </c>
      <c r="BA266" t="s">
        <v>203</v>
      </c>
      <c r="BB266" t="s">
        <v>203</v>
      </c>
      <c r="BC266" t="s">
        <v>203</v>
      </c>
      <c r="BD266" t="s">
        <v>203</v>
      </c>
      <c r="BE266" t="s">
        <v>203</v>
      </c>
      <c r="BF266">
        <v>0</v>
      </c>
      <c r="BG266">
        <v>0.2</v>
      </c>
      <c r="BH266">
        <v>50</v>
      </c>
      <c r="BI266">
        <v>0</v>
      </c>
      <c r="BJ266" t="s">
        <v>198</v>
      </c>
      <c r="BK266" t="s">
        <v>198</v>
      </c>
      <c r="BL266" t="s">
        <v>198</v>
      </c>
      <c r="BM266" t="s">
        <v>198</v>
      </c>
      <c r="BN266" t="s">
        <v>198</v>
      </c>
      <c r="BO266" t="s">
        <v>198</v>
      </c>
      <c r="BP266" t="s">
        <v>198</v>
      </c>
      <c r="BQ266" t="s">
        <v>198</v>
      </c>
      <c r="BR266" t="s">
        <v>198</v>
      </c>
      <c r="BS266" t="s">
        <v>198</v>
      </c>
      <c r="BT266" t="s">
        <v>198</v>
      </c>
      <c r="BU266" t="s">
        <v>198</v>
      </c>
      <c r="BV266" t="s">
        <v>198</v>
      </c>
      <c r="BW266" t="s">
        <v>198</v>
      </c>
      <c r="BX266" t="s">
        <v>198</v>
      </c>
      <c r="BY266" t="s">
        <v>198</v>
      </c>
      <c r="BZ266" t="s">
        <v>198</v>
      </c>
      <c r="CA266" t="s">
        <v>198</v>
      </c>
      <c r="CB266" t="s">
        <v>204</v>
      </c>
      <c r="CC266" t="s">
        <v>204</v>
      </c>
      <c r="CD266" t="s">
        <v>204</v>
      </c>
      <c r="CE266" t="s">
        <v>204</v>
      </c>
      <c r="CF266" t="s">
        <v>204</v>
      </c>
      <c r="CG266" t="s">
        <v>204</v>
      </c>
      <c r="CH266" t="s">
        <v>204</v>
      </c>
      <c r="CI266" t="s">
        <v>204</v>
      </c>
      <c r="CJ266" t="s">
        <v>204</v>
      </c>
      <c r="CK266" t="s">
        <v>204</v>
      </c>
      <c r="CL266" t="s">
        <v>204</v>
      </c>
      <c r="CM266" t="s">
        <v>204</v>
      </c>
      <c r="CN266" t="s">
        <v>203</v>
      </c>
      <c r="CO266" t="s">
        <v>203</v>
      </c>
      <c r="CP266" t="s">
        <v>203</v>
      </c>
      <c r="CQ266" t="s">
        <v>203</v>
      </c>
      <c r="CR266" t="s">
        <v>203</v>
      </c>
      <c r="CS266" t="s">
        <v>203</v>
      </c>
      <c r="CT266" t="s">
        <v>203</v>
      </c>
      <c r="CU266" t="s">
        <v>203</v>
      </c>
      <c r="CV266">
        <v>0</v>
      </c>
      <c r="CW266">
        <v>0</v>
      </c>
      <c r="CX266" t="s">
        <v>198</v>
      </c>
      <c r="CY266" t="s">
        <v>198</v>
      </c>
      <c r="CZ266" t="s">
        <v>198</v>
      </c>
      <c r="DA266" t="s">
        <v>198</v>
      </c>
      <c r="DB266" t="s">
        <v>198</v>
      </c>
      <c r="DC266">
        <v>0</v>
      </c>
      <c r="DD266">
        <v>0</v>
      </c>
      <c r="DE266">
        <v>0</v>
      </c>
      <c r="DF266">
        <v>0</v>
      </c>
      <c r="DG266">
        <v>-35.3631166</v>
      </c>
      <c r="DH266">
        <v>149.1639735</v>
      </c>
      <c r="DI266" t="s">
        <v>360</v>
      </c>
      <c r="DJ266">
        <v>1.2</v>
      </c>
      <c r="DK266">
        <v>2</v>
      </c>
      <c r="DL266">
        <v>159.8</v>
      </c>
      <c r="DM266">
        <v>0</v>
      </c>
      <c r="DN266">
        <v>6</v>
      </c>
      <c r="DO266">
        <v>10</v>
      </c>
      <c r="DP266">
        <v>0</v>
      </c>
      <c r="DQ266">
        <v>255</v>
      </c>
      <c r="DR266">
        <v>255</v>
      </c>
      <c r="DS266">
        <v>255</v>
      </c>
      <c r="DT266">
        <v>255</v>
      </c>
      <c r="DU266">
        <v>255</v>
      </c>
      <c r="DV266">
        <v>255</v>
      </c>
      <c r="DW266">
        <v>255</v>
      </c>
      <c r="DX266" t="s">
        <v>206</v>
      </c>
      <c r="DY266" t="s">
        <v>206</v>
      </c>
      <c r="DZ266" t="s">
        <v>207</v>
      </c>
      <c r="EA266" t="s">
        <v>198</v>
      </c>
      <c r="EB266" t="s">
        <v>198</v>
      </c>
      <c r="EC266" t="s">
        <v>198</v>
      </c>
      <c r="ED266">
        <v>0</v>
      </c>
      <c r="EE266">
        <v>0</v>
      </c>
      <c r="EF266">
        <v>0</v>
      </c>
      <c r="EG266">
        <v>0</v>
      </c>
      <c r="EH266">
        <v>255</v>
      </c>
      <c r="EI266">
        <v>255</v>
      </c>
      <c r="EJ266">
        <v>255</v>
      </c>
      <c r="EK266">
        <v>255</v>
      </c>
      <c r="EL266">
        <v>255</v>
      </c>
      <c r="EM266">
        <v>255</v>
      </c>
      <c r="EN266">
        <v>255</v>
      </c>
      <c r="EO266">
        <v>255</v>
      </c>
      <c r="EP266">
        <v>255</v>
      </c>
      <c r="EQ266">
        <v>255</v>
      </c>
      <c r="ER266" t="s">
        <v>208</v>
      </c>
      <c r="ES266" t="s">
        <v>209</v>
      </c>
      <c r="ET266" t="s">
        <v>209</v>
      </c>
      <c r="EU266">
        <v>0</v>
      </c>
      <c r="EV266">
        <v>16.2</v>
      </c>
      <c r="EW266">
        <v>-114.7</v>
      </c>
      <c r="EX266">
        <v>-0.2</v>
      </c>
      <c r="EY266">
        <v>0</v>
      </c>
      <c r="EZ266">
        <v>0</v>
      </c>
      <c r="FA266">
        <v>0</v>
      </c>
      <c r="FB266" t="s">
        <v>198</v>
      </c>
      <c r="FC266" t="s">
        <v>198</v>
      </c>
      <c r="FD266" t="s">
        <v>198</v>
      </c>
      <c r="FE266" t="s">
        <v>198</v>
      </c>
      <c r="FF266" t="s">
        <v>198</v>
      </c>
      <c r="FG266" t="s">
        <v>198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 t="s">
        <v>203</v>
      </c>
      <c r="FP266" t="s">
        <v>203</v>
      </c>
      <c r="FQ266" t="s">
        <v>203</v>
      </c>
      <c r="FR266" t="s">
        <v>203</v>
      </c>
      <c r="FS266" t="s">
        <v>203</v>
      </c>
      <c r="FT266" t="s">
        <v>203</v>
      </c>
      <c r="FU266" t="s">
        <v>198</v>
      </c>
      <c r="FV266" t="s">
        <v>198</v>
      </c>
      <c r="FW266" t="s">
        <v>198</v>
      </c>
      <c r="FX266" t="s">
        <v>198</v>
      </c>
      <c r="FY266" t="s">
        <v>198</v>
      </c>
      <c r="FZ266" t="s">
        <v>198</v>
      </c>
      <c r="GA266">
        <v>31.2</v>
      </c>
      <c r="GB266">
        <v>31.2</v>
      </c>
      <c r="GC266" t="s">
        <v>203</v>
      </c>
      <c r="GD266">
        <v>0</v>
      </c>
      <c r="GE266">
        <v>504</v>
      </c>
      <c r="GF266">
        <v>0</v>
      </c>
      <c r="GG266">
        <v>0</v>
      </c>
      <c r="GH266">
        <v>0</v>
      </c>
      <c r="GI266">
        <v>1</v>
      </c>
      <c r="GJ266">
        <v>1</v>
      </c>
      <c r="GK266">
        <v>0</v>
      </c>
      <c r="GL266" t="s">
        <v>198</v>
      </c>
      <c r="GM266" t="s">
        <v>198</v>
      </c>
      <c r="GN266" t="s">
        <v>198</v>
      </c>
    </row>
    <row r="267" spans="1:196">
      <c r="A267" s="19">
        <v>46316.9069715625</v>
      </c>
      <c r="B267">
        <v>0</v>
      </c>
      <c r="C267">
        <v>0</v>
      </c>
      <c r="D267">
        <v>277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584.2</v>
      </c>
      <c r="N267">
        <v>-0.5</v>
      </c>
      <c r="O267">
        <v>0</v>
      </c>
      <c r="P267">
        <v>0</v>
      </c>
      <c r="Q267">
        <v>0</v>
      </c>
      <c r="R267">
        <v>0</v>
      </c>
      <c r="S267">
        <v>115.6</v>
      </c>
      <c r="T267" t="s">
        <v>485</v>
      </c>
      <c r="U267">
        <v>115.7</v>
      </c>
      <c r="V267">
        <v>1762727256586.8</v>
      </c>
      <c r="W267">
        <v>1</v>
      </c>
      <c r="X267" t="s">
        <v>197</v>
      </c>
      <c r="Y267">
        <v>0</v>
      </c>
      <c r="Z267">
        <v>98</v>
      </c>
      <c r="AA267">
        <v>278</v>
      </c>
      <c r="AB267" t="s">
        <v>197</v>
      </c>
      <c r="AC267" t="s">
        <v>198</v>
      </c>
      <c r="AD267" t="s">
        <v>199</v>
      </c>
      <c r="AE267">
        <v>0</v>
      </c>
      <c r="AF267">
        <v>45</v>
      </c>
      <c r="AG267">
        <v>255</v>
      </c>
      <c r="AH267">
        <v>0</v>
      </c>
      <c r="AI267">
        <v>0</v>
      </c>
      <c r="AJ267">
        <v>0</v>
      </c>
      <c r="AK267">
        <v>12.6</v>
      </c>
      <c r="AL267">
        <v>0</v>
      </c>
      <c r="AM267">
        <v>0</v>
      </c>
      <c r="AN267" t="s">
        <v>197</v>
      </c>
      <c r="AO267">
        <v>100</v>
      </c>
      <c r="AP267" t="s">
        <v>197</v>
      </c>
      <c r="AQ267" t="s">
        <v>200</v>
      </c>
      <c r="AR267">
        <v>1</v>
      </c>
      <c r="AS267">
        <v>0</v>
      </c>
      <c r="AT267" t="s">
        <v>613</v>
      </c>
      <c r="AU267" t="s">
        <v>613</v>
      </c>
      <c r="AV267" t="s">
        <v>202</v>
      </c>
      <c r="AW267" t="s">
        <v>203</v>
      </c>
      <c r="AX267" t="s">
        <v>203</v>
      </c>
      <c r="AY267" t="s">
        <v>203</v>
      </c>
      <c r="AZ267" t="s">
        <v>203</v>
      </c>
      <c r="BA267" t="s">
        <v>203</v>
      </c>
      <c r="BB267" t="s">
        <v>203</v>
      </c>
      <c r="BC267" t="s">
        <v>203</v>
      </c>
      <c r="BD267" t="s">
        <v>203</v>
      </c>
      <c r="BE267" t="s">
        <v>203</v>
      </c>
      <c r="BF267">
        <v>0</v>
      </c>
      <c r="BG267">
        <v>0.2</v>
      </c>
      <c r="BH267">
        <v>50</v>
      </c>
      <c r="BI267">
        <v>0</v>
      </c>
      <c r="BJ267" t="s">
        <v>198</v>
      </c>
      <c r="BK267" t="s">
        <v>198</v>
      </c>
      <c r="BL267" t="s">
        <v>198</v>
      </c>
      <c r="BM267" t="s">
        <v>198</v>
      </c>
      <c r="BN267" t="s">
        <v>198</v>
      </c>
      <c r="BO267" t="s">
        <v>198</v>
      </c>
      <c r="BP267" t="s">
        <v>198</v>
      </c>
      <c r="BQ267" t="s">
        <v>198</v>
      </c>
      <c r="BR267" t="s">
        <v>198</v>
      </c>
      <c r="BS267" t="s">
        <v>198</v>
      </c>
      <c r="BT267" t="s">
        <v>198</v>
      </c>
      <c r="BU267" t="s">
        <v>198</v>
      </c>
      <c r="BV267" t="s">
        <v>198</v>
      </c>
      <c r="BW267" t="s">
        <v>198</v>
      </c>
      <c r="BX267" t="s">
        <v>198</v>
      </c>
      <c r="BY267" t="s">
        <v>198</v>
      </c>
      <c r="BZ267" t="s">
        <v>198</v>
      </c>
      <c r="CA267" t="s">
        <v>198</v>
      </c>
      <c r="CB267" t="s">
        <v>204</v>
      </c>
      <c r="CC267" t="s">
        <v>204</v>
      </c>
      <c r="CD267" t="s">
        <v>204</v>
      </c>
      <c r="CE267" t="s">
        <v>204</v>
      </c>
      <c r="CF267" t="s">
        <v>204</v>
      </c>
      <c r="CG267" t="s">
        <v>204</v>
      </c>
      <c r="CH267" t="s">
        <v>204</v>
      </c>
      <c r="CI267" t="s">
        <v>204</v>
      </c>
      <c r="CJ267" t="s">
        <v>204</v>
      </c>
      <c r="CK267" t="s">
        <v>204</v>
      </c>
      <c r="CL267" t="s">
        <v>204</v>
      </c>
      <c r="CM267" t="s">
        <v>204</v>
      </c>
      <c r="CN267" t="s">
        <v>203</v>
      </c>
      <c r="CO267" t="s">
        <v>203</v>
      </c>
      <c r="CP267" t="s">
        <v>203</v>
      </c>
      <c r="CQ267" t="s">
        <v>203</v>
      </c>
      <c r="CR267" t="s">
        <v>203</v>
      </c>
      <c r="CS267" t="s">
        <v>203</v>
      </c>
      <c r="CT267" t="s">
        <v>203</v>
      </c>
      <c r="CU267" t="s">
        <v>203</v>
      </c>
      <c r="CV267">
        <v>0</v>
      </c>
      <c r="CW267">
        <v>0</v>
      </c>
      <c r="CX267" t="s">
        <v>198</v>
      </c>
      <c r="CY267" t="s">
        <v>198</v>
      </c>
      <c r="CZ267" t="s">
        <v>198</v>
      </c>
      <c r="DA267" t="s">
        <v>198</v>
      </c>
      <c r="DB267" t="s">
        <v>198</v>
      </c>
      <c r="DC267">
        <v>0</v>
      </c>
      <c r="DD267">
        <v>0</v>
      </c>
      <c r="DE267">
        <v>0</v>
      </c>
      <c r="DF267">
        <v>0</v>
      </c>
      <c r="DG267">
        <v>-35.3631166</v>
      </c>
      <c r="DH267">
        <v>149.1639735</v>
      </c>
      <c r="DI267" t="s">
        <v>360</v>
      </c>
      <c r="DJ267">
        <v>1.2</v>
      </c>
      <c r="DK267">
        <v>2</v>
      </c>
      <c r="DL267">
        <v>159.8</v>
      </c>
      <c r="DM267">
        <v>0</v>
      </c>
      <c r="DN267">
        <v>6</v>
      </c>
      <c r="DO267">
        <v>10</v>
      </c>
      <c r="DP267">
        <v>0</v>
      </c>
      <c r="DQ267">
        <v>255</v>
      </c>
      <c r="DR267">
        <v>255</v>
      </c>
      <c r="DS267">
        <v>255</v>
      </c>
      <c r="DT267">
        <v>255</v>
      </c>
      <c r="DU267">
        <v>255</v>
      </c>
      <c r="DV267">
        <v>255</v>
      </c>
      <c r="DW267">
        <v>255</v>
      </c>
      <c r="DX267" t="s">
        <v>206</v>
      </c>
      <c r="DY267" t="s">
        <v>206</v>
      </c>
      <c r="DZ267" t="s">
        <v>207</v>
      </c>
      <c r="EA267" t="s">
        <v>198</v>
      </c>
      <c r="EB267" t="s">
        <v>198</v>
      </c>
      <c r="EC267" t="s">
        <v>198</v>
      </c>
      <c r="ED267">
        <v>0</v>
      </c>
      <c r="EE267">
        <v>0</v>
      </c>
      <c r="EF267">
        <v>0</v>
      </c>
      <c r="EG267">
        <v>0</v>
      </c>
      <c r="EH267">
        <v>255</v>
      </c>
      <c r="EI267">
        <v>255</v>
      </c>
      <c r="EJ267">
        <v>255</v>
      </c>
      <c r="EK267">
        <v>255</v>
      </c>
      <c r="EL267">
        <v>255</v>
      </c>
      <c r="EM267">
        <v>255</v>
      </c>
      <c r="EN267">
        <v>255</v>
      </c>
      <c r="EO267">
        <v>255</v>
      </c>
      <c r="EP267">
        <v>255</v>
      </c>
      <c r="EQ267">
        <v>255</v>
      </c>
      <c r="ER267" t="s">
        <v>208</v>
      </c>
      <c r="ES267" t="s">
        <v>209</v>
      </c>
      <c r="ET267" t="s">
        <v>209</v>
      </c>
      <c r="EU267">
        <v>0</v>
      </c>
      <c r="EV267">
        <v>16.2</v>
      </c>
      <c r="EW267">
        <v>-114.7</v>
      </c>
      <c r="EX267">
        <v>-0.2</v>
      </c>
      <c r="EY267">
        <v>0</v>
      </c>
      <c r="EZ267">
        <v>0</v>
      </c>
      <c r="FA267">
        <v>0</v>
      </c>
      <c r="FB267" t="s">
        <v>198</v>
      </c>
      <c r="FC267" t="s">
        <v>198</v>
      </c>
      <c r="FD267" t="s">
        <v>198</v>
      </c>
      <c r="FE267" t="s">
        <v>198</v>
      </c>
      <c r="FF267" t="s">
        <v>198</v>
      </c>
      <c r="FG267" t="s">
        <v>198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 t="s">
        <v>203</v>
      </c>
      <c r="FP267" t="s">
        <v>203</v>
      </c>
      <c r="FQ267" t="s">
        <v>203</v>
      </c>
      <c r="FR267" t="s">
        <v>203</v>
      </c>
      <c r="FS267" t="s">
        <v>203</v>
      </c>
      <c r="FT267" t="s">
        <v>203</v>
      </c>
      <c r="FU267" t="s">
        <v>198</v>
      </c>
      <c r="FV267" t="s">
        <v>198</v>
      </c>
      <c r="FW267" t="s">
        <v>198</v>
      </c>
      <c r="FX267" t="s">
        <v>198</v>
      </c>
      <c r="FY267" t="s">
        <v>198</v>
      </c>
      <c r="FZ267" t="s">
        <v>198</v>
      </c>
      <c r="GA267">
        <v>31.2</v>
      </c>
      <c r="GB267">
        <v>31.2</v>
      </c>
      <c r="GC267" t="s">
        <v>203</v>
      </c>
      <c r="GD267">
        <v>0</v>
      </c>
      <c r="GE267">
        <v>504</v>
      </c>
      <c r="GF267">
        <v>0</v>
      </c>
      <c r="GG267">
        <v>0</v>
      </c>
      <c r="GH267">
        <v>0</v>
      </c>
      <c r="GI267">
        <v>1</v>
      </c>
      <c r="GJ267">
        <v>1</v>
      </c>
      <c r="GK267">
        <v>0</v>
      </c>
      <c r="GL267" t="s">
        <v>198</v>
      </c>
      <c r="GM267" t="s">
        <v>198</v>
      </c>
      <c r="GN267" t="s">
        <v>198</v>
      </c>
    </row>
    <row r="268" spans="1:196">
      <c r="A268" s="19">
        <v>46316.90698313657</v>
      </c>
      <c r="B268">
        <v>0</v>
      </c>
      <c r="C268">
        <v>0</v>
      </c>
      <c r="D268">
        <v>277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584.2</v>
      </c>
      <c r="N268">
        <v>-0.5</v>
      </c>
      <c r="O268">
        <v>0</v>
      </c>
      <c r="P268">
        <v>0</v>
      </c>
      <c r="Q268">
        <v>0</v>
      </c>
      <c r="R268">
        <v>0</v>
      </c>
      <c r="S268">
        <v>115.6</v>
      </c>
      <c r="T268" t="s">
        <v>485</v>
      </c>
      <c r="U268">
        <v>115.7</v>
      </c>
      <c r="V268">
        <v>1762727256586.8</v>
      </c>
      <c r="W268">
        <v>1</v>
      </c>
      <c r="X268" t="s">
        <v>197</v>
      </c>
      <c r="Y268">
        <v>0</v>
      </c>
      <c r="Z268">
        <v>98</v>
      </c>
      <c r="AA268">
        <v>278</v>
      </c>
      <c r="AB268" t="s">
        <v>197</v>
      </c>
      <c r="AC268" t="s">
        <v>198</v>
      </c>
      <c r="AD268" t="s">
        <v>199</v>
      </c>
      <c r="AE268">
        <v>0</v>
      </c>
      <c r="AF268">
        <v>45</v>
      </c>
      <c r="AG268">
        <v>255</v>
      </c>
      <c r="AH268">
        <v>0</v>
      </c>
      <c r="AI268">
        <v>0</v>
      </c>
      <c r="AJ268">
        <v>0</v>
      </c>
      <c r="AK268">
        <v>12.6</v>
      </c>
      <c r="AL268">
        <v>0</v>
      </c>
      <c r="AM268">
        <v>0</v>
      </c>
      <c r="AN268" t="s">
        <v>197</v>
      </c>
      <c r="AO268">
        <v>100</v>
      </c>
      <c r="AP268" t="s">
        <v>197</v>
      </c>
      <c r="AQ268" t="s">
        <v>200</v>
      </c>
      <c r="AR268">
        <v>1</v>
      </c>
      <c r="AS268">
        <v>0</v>
      </c>
      <c r="AT268" t="s">
        <v>614</v>
      </c>
      <c r="AU268" t="s">
        <v>614</v>
      </c>
      <c r="AV268" t="s">
        <v>202</v>
      </c>
      <c r="AW268" t="s">
        <v>203</v>
      </c>
      <c r="AX268" t="s">
        <v>203</v>
      </c>
      <c r="AY268" t="s">
        <v>203</v>
      </c>
      <c r="AZ268" t="s">
        <v>203</v>
      </c>
      <c r="BA268" t="s">
        <v>203</v>
      </c>
      <c r="BB268" t="s">
        <v>203</v>
      </c>
      <c r="BC268" t="s">
        <v>203</v>
      </c>
      <c r="BD268" t="s">
        <v>203</v>
      </c>
      <c r="BE268" t="s">
        <v>203</v>
      </c>
      <c r="BF268">
        <v>0</v>
      </c>
      <c r="BG268">
        <v>0.2</v>
      </c>
      <c r="BH268">
        <v>50</v>
      </c>
      <c r="BI268">
        <v>0</v>
      </c>
      <c r="BJ268" t="s">
        <v>198</v>
      </c>
      <c r="BK268" t="s">
        <v>198</v>
      </c>
      <c r="BL268" t="s">
        <v>198</v>
      </c>
      <c r="BM268" t="s">
        <v>198</v>
      </c>
      <c r="BN268" t="s">
        <v>198</v>
      </c>
      <c r="BO268" t="s">
        <v>198</v>
      </c>
      <c r="BP268" t="s">
        <v>198</v>
      </c>
      <c r="BQ268" t="s">
        <v>198</v>
      </c>
      <c r="BR268" t="s">
        <v>198</v>
      </c>
      <c r="BS268" t="s">
        <v>198</v>
      </c>
      <c r="BT268" t="s">
        <v>198</v>
      </c>
      <c r="BU268" t="s">
        <v>198</v>
      </c>
      <c r="BV268" t="s">
        <v>198</v>
      </c>
      <c r="BW268" t="s">
        <v>198</v>
      </c>
      <c r="BX268" t="s">
        <v>198</v>
      </c>
      <c r="BY268" t="s">
        <v>198</v>
      </c>
      <c r="BZ268" t="s">
        <v>198</v>
      </c>
      <c r="CA268" t="s">
        <v>198</v>
      </c>
      <c r="CB268" t="s">
        <v>204</v>
      </c>
      <c r="CC268" t="s">
        <v>204</v>
      </c>
      <c r="CD268" t="s">
        <v>204</v>
      </c>
      <c r="CE268" t="s">
        <v>204</v>
      </c>
      <c r="CF268" t="s">
        <v>204</v>
      </c>
      <c r="CG268" t="s">
        <v>204</v>
      </c>
      <c r="CH268" t="s">
        <v>204</v>
      </c>
      <c r="CI268" t="s">
        <v>204</v>
      </c>
      <c r="CJ268" t="s">
        <v>204</v>
      </c>
      <c r="CK268" t="s">
        <v>204</v>
      </c>
      <c r="CL268" t="s">
        <v>204</v>
      </c>
      <c r="CM268" t="s">
        <v>204</v>
      </c>
      <c r="CN268" t="s">
        <v>203</v>
      </c>
      <c r="CO268" t="s">
        <v>203</v>
      </c>
      <c r="CP268" t="s">
        <v>203</v>
      </c>
      <c r="CQ268" t="s">
        <v>203</v>
      </c>
      <c r="CR268" t="s">
        <v>203</v>
      </c>
      <c r="CS268" t="s">
        <v>203</v>
      </c>
      <c r="CT268" t="s">
        <v>203</v>
      </c>
      <c r="CU268" t="s">
        <v>203</v>
      </c>
      <c r="CV268">
        <v>0</v>
      </c>
      <c r="CW268">
        <v>0</v>
      </c>
      <c r="CX268" t="s">
        <v>198</v>
      </c>
      <c r="CY268" t="s">
        <v>198</v>
      </c>
      <c r="CZ268" t="s">
        <v>198</v>
      </c>
      <c r="DA268" t="s">
        <v>198</v>
      </c>
      <c r="DB268" t="s">
        <v>198</v>
      </c>
      <c r="DC268">
        <v>0</v>
      </c>
      <c r="DD268">
        <v>0</v>
      </c>
      <c r="DE268">
        <v>0</v>
      </c>
      <c r="DF268">
        <v>0</v>
      </c>
      <c r="DG268">
        <v>-35.3631166</v>
      </c>
      <c r="DH268">
        <v>149.1639735</v>
      </c>
      <c r="DI268" t="s">
        <v>360</v>
      </c>
      <c r="DJ268">
        <v>1.2</v>
      </c>
      <c r="DK268">
        <v>2</v>
      </c>
      <c r="DL268">
        <v>159.8</v>
      </c>
      <c r="DM268">
        <v>0</v>
      </c>
      <c r="DN268">
        <v>6</v>
      </c>
      <c r="DO268">
        <v>10</v>
      </c>
      <c r="DP268">
        <v>0</v>
      </c>
      <c r="DQ268">
        <v>255</v>
      </c>
      <c r="DR268">
        <v>255</v>
      </c>
      <c r="DS268">
        <v>255</v>
      </c>
      <c r="DT268">
        <v>255</v>
      </c>
      <c r="DU268">
        <v>255</v>
      </c>
      <c r="DV268">
        <v>255</v>
      </c>
      <c r="DW268">
        <v>255</v>
      </c>
      <c r="DX268" t="s">
        <v>206</v>
      </c>
      <c r="DY268" t="s">
        <v>206</v>
      </c>
      <c r="DZ268" t="s">
        <v>207</v>
      </c>
      <c r="EA268" t="s">
        <v>198</v>
      </c>
      <c r="EB268" t="s">
        <v>198</v>
      </c>
      <c r="EC268" t="s">
        <v>198</v>
      </c>
      <c r="ED268">
        <v>0</v>
      </c>
      <c r="EE268">
        <v>0</v>
      </c>
      <c r="EF268">
        <v>0</v>
      </c>
      <c r="EG268">
        <v>0</v>
      </c>
      <c r="EH268">
        <v>255</v>
      </c>
      <c r="EI268">
        <v>255</v>
      </c>
      <c r="EJ268">
        <v>255</v>
      </c>
      <c r="EK268">
        <v>255</v>
      </c>
      <c r="EL268">
        <v>255</v>
      </c>
      <c r="EM268">
        <v>255</v>
      </c>
      <c r="EN268">
        <v>255</v>
      </c>
      <c r="EO268">
        <v>255</v>
      </c>
      <c r="EP268">
        <v>255</v>
      </c>
      <c r="EQ268">
        <v>255</v>
      </c>
      <c r="ER268" t="s">
        <v>208</v>
      </c>
      <c r="ES268" t="s">
        <v>209</v>
      </c>
      <c r="ET268" t="s">
        <v>209</v>
      </c>
      <c r="EU268">
        <v>0</v>
      </c>
      <c r="EV268">
        <v>16.2</v>
      </c>
      <c r="EW268">
        <v>-114.7</v>
      </c>
      <c r="EX268">
        <v>-0.2</v>
      </c>
      <c r="EY268">
        <v>0</v>
      </c>
      <c r="EZ268">
        <v>0</v>
      </c>
      <c r="FA268">
        <v>0</v>
      </c>
      <c r="FB268" t="s">
        <v>198</v>
      </c>
      <c r="FC268" t="s">
        <v>198</v>
      </c>
      <c r="FD268" t="s">
        <v>198</v>
      </c>
      <c r="FE268" t="s">
        <v>198</v>
      </c>
      <c r="FF268" t="s">
        <v>198</v>
      </c>
      <c r="FG268" t="s">
        <v>198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 t="s">
        <v>203</v>
      </c>
      <c r="FP268" t="s">
        <v>203</v>
      </c>
      <c r="FQ268" t="s">
        <v>203</v>
      </c>
      <c r="FR268" t="s">
        <v>203</v>
      </c>
      <c r="FS268" t="s">
        <v>203</v>
      </c>
      <c r="FT268" t="s">
        <v>203</v>
      </c>
      <c r="FU268" t="s">
        <v>198</v>
      </c>
      <c r="FV268" t="s">
        <v>198</v>
      </c>
      <c r="FW268" t="s">
        <v>198</v>
      </c>
      <c r="FX268" t="s">
        <v>198</v>
      </c>
      <c r="FY268" t="s">
        <v>198</v>
      </c>
      <c r="FZ268" t="s">
        <v>198</v>
      </c>
      <c r="GA268">
        <v>31.2</v>
      </c>
      <c r="GB268">
        <v>31.2</v>
      </c>
      <c r="GC268" t="s">
        <v>203</v>
      </c>
      <c r="GD268">
        <v>0</v>
      </c>
      <c r="GE268">
        <v>504</v>
      </c>
      <c r="GF268">
        <v>0</v>
      </c>
      <c r="GG268">
        <v>0</v>
      </c>
      <c r="GH268">
        <v>0</v>
      </c>
      <c r="GI268">
        <v>1</v>
      </c>
      <c r="GJ268">
        <v>1</v>
      </c>
      <c r="GK268">
        <v>0</v>
      </c>
      <c r="GL268" t="s">
        <v>198</v>
      </c>
      <c r="GM268" t="s">
        <v>198</v>
      </c>
      <c r="GN268" t="s">
        <v>198</v>
      </c>
    </row>
    <row r="269" spans="1:196">
      <c r="A269" s="19">
        <v>46316.90699471065</v>
      </c>
      <c r="B269">
        <v>0</v>
      </c>
      <c r="C269">
        <v>0</v>
      </c>
      <c r="D269">
        <v>277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584.2</v>
      </c>
      <c r="N269">
        <v>-0.5</v>
      </c>
      <c r="O269">
        <v>0</v>
      </c>
      <c r="P269">
        <v>0</v>
      </c>
      <c r="Q269">
        <v>0</v>
      </c>
      <c r="R269">
        <v>0</v>
      </c>
      <c r="S269">
        <v>115.6</v>
      </c>
      <c r="T269" t="s">
        <v>485</v>
      </c>
      <c r="U269">
        <v>115.7</v>
      </c>
      <c r="V269">
        <v>1762727256586.8</v>
      </c>
      <c r="W269">
        <v>1</v>
      </c>
      <c r="X269" t="s">
        <v>197</v>
      </c>
      <c r="Y269">
        <v>0</v>
      </c>
      <c r="Z269">
        <v>98</v>
      </c>
      <c r="AA269">
        <v>278</v>
      </c>
      <c r="AB269" t="s">
        <v>197</v>
      </c>
      <c r="AC269" t="s">
        <v>198</v>
      </c>
      <c r="AD269" t="s">
        <v>199</v>
      </c>
      <c r="AE269">
        <v>0</v>
      </c>
      <c r="AF269">
        <v>45</v>
      </c>
      <c r="AG269">
        <v>255</v>
      </c>
      <c r="AH269">
        <v>0</v>
      </c>
      <c r="AI269">
        <v>0</v>
      </c>
      <c r="AJ269">
        <v>0</v>
      </c>
      <c r="AK269">
        <v>12.6</v>
      </c>
      <c r="AL269">
        <v>0</v>
      </c>
      <c r="AM269">
        <v>0</v>
      </c>
      <c r="AN269" t="s">
        <v>197</v>
      </c>
      <c r="AO269">
        <v>100</v>
      </c>
      <c r="AP269" t="s">
        <v>197</v>
      </c>
      <c r="AQ269" t="s">
        <v>200</v>
      </c>
      <c r="AR269">
        <v>1</v>
      </c>
      <c r="AS269">
        <v>0</v>
      </c>
      <c r="AT269" t="s">
        <v>615</v>
      </c>
      <c r="AU269" t="s">
        <v>615</v>
      </c>
      <c r="AV269" t="s">
        <v>202</v>
      </c>
      <c r="AW269" t="s">
        <v>203</v>
      </c>
      <c r="AX269" t="s">
        <v>203</v>
      </c>
      <c r="AY269" t="s">
        <v>203</v>
      </c>
      <c r="AZ269" t="s">
        <v>203</v>
      </c>
      <c r="BA269" t="s">
        <v>203</v>
      </c>
      <c r="BB269" t="s">
        <v>203</v>
      </c>
      <c r="BC269" t="s">
        <v>203</v>
      </c>
      <c r="BD269" t="s">
        <v>203</v>
      </c>
      <c r="BE269" t="s">
        <v>203</v>
      </c>
      <c r="BF269">
        <v>0</v>
      </c>
      <c r="BG269">
        <v>0.2</v>
      </c>
      <c r="BH269">
        <v>50</v>
      </c>
      <c r="BI269">
        <v>0</v>
      </c>
      <c r="BJ269" t="s">
        <v>198</v>
      </c>
      <c r="BK269" t="s">
        <v>198</v>
      </c>
      <c r="BL269" t="s">
        <v>198</v>
      </c>
      <c r="BM269" t="s">
        <v>198</v>
      </c>
      <c r="BN269" t="s">
        <v>198</v>
      </c>
      <c r="BO269" t="s">
        <v>198</v>
      </c>
      <c r="BP269" t="s">
        <v>198</v>
      </c>
      <c r="BQ269" t="s">
        <v>198</v>
      </c>
      <c r="BR269" t="s">
        <v>198</v>
      </c>
      <c r="BS269" t="s">
        <v>198</v>
      </c>
      <c r="BT269" t="s">
        <v>198</v>
      </c>
      <c r="BU269" t="s">
        <v>198</v>
      </c>
      <c r="BV269" t="s">
        <v>198</v>
      </c>
      <c r="BW269" t="s">
        <v>198</v>
      </c>
      <c r="BX269" t="s">
        <v>198</v>
      </c>
      <c r="BY269" t="s">
        <v>198</v>
      </c>
      <c r="BZ269" t="s">
        <v>198</v>
      </c>
      <c r="CA269" t="s">
        <v>198</v>
      </c>
      <c r="CB269" t="s">
        <v>204</v>
      </c>
      <c r="CC269" t="s">
        <v>204</v>
      </c>
      <c r="CD269" t="s">
        <v>204</v>
      </c>
      <c r="CE269" t="s">
        <v>204</v>
      </c>
      <c r="CF269" t="s">
        <v>204</v>
      </c>
      <c r="CG269" t="s">
        <v>204</v>
      </c>
      <c r="CH269" t="s">
        <v>204</v>
      </c>
      <c r="CI269" t="s">
        <v>204</v>
      </c>
      <c r="CJ269" t="s">
        <v>204</v>
      </c>
      <c r="CK269" t="s">
        <v>204</v>
      </c>
      <c r="CL269" t="s">
        <v>204</v>
      </c>
      <c r="CM269" t="s">
        <v>204</v>
      </c>
      <c r="CN269" t="s">
        <v>203</v>
      </c>
      <c r="CO269" t="s">
        <v>203</v>
      </c>
      <c r="CP269" t="s">
        <v>203</v>
      </c>
      <c r="CQ269" t="s">
        <v>203</v>
      </c>
      <c r="CR269" t="s">
        <v>203</v>
      </c>
      <c r="CS269" t="s">
        <v>203</v>
      </c>
      <c r="CT269" t="s">
        <v>203</v>
      </c>
      <c r="CU269" t="s">
        <v>203</v>
      </c>
      <c r="CV269">
        <v>0</v>
      </c>
      <c r="CW269">
        <v>0</v>
      </c>
      <c r="CX269" t="s">
        <v>198</v>
      </c>
      <c r="CY269" t="s">
        <v>198</v>
      </c>
      <c r="CZ269" t="s">
        <v>198</v>
      </c>
      <c r="DA269" t="s">
        <v>198</v>
      </c>
      <c r="DB269" t="s">
        <v>198</v>
      </c>
      <c r="DC269">
        <v>0</v>
      </c>
      <c r="DD269">
        <v>0</v>
      </c>
      <c r="DE269">
        <v>0</v>
      </c>
      <c r="DF269">
        <v>0</v>
      </c>
      <c r="DG269">
        <v>-35.3631166</v>
      </c>
      <c r="DH269">
        <v>149.1639735</v>
      </c>
      <c r="DI269" t="s">
        <v>360</v>
      </c>
      <c r="DJ269">
        <v>1.2</v>
      </c>
      <c r="DK269">
        <v>2</v>
      </c>
      <c r="DL269">
        <v>159.8</v>
      </c>
      <c r="DM269">
        <v>0</v>
      </c>
      <c r="DN269">
        <v>6</v>
      </c>
      <c r="DO269">
        <v>10</v>
      </c>
      <c r="DP269">
        <v>0</v>
      </c>
      <c r="DQ269">
        <v>255</v>
      </c>
      <c r="DR269">
        <v>255</v>
      </c>
      <c r="DS269">
        <v>255</v>
      </c>
      <c r="DT269">
        <v>255</v>
      </c>
      <c r="DU269">
        <v>255</v>
      </c>
      <c r="DV269">
        <v>255</v>
      </c>
      <c r="DW269">
        <v>255</v>
      </c>
      <c r="DX269" t="s">
        <v>206</v>
      </c>
      <c r="DY269" t="s">
        <v>206</v>
      </c>
      <c r="DZ269" t="s">
        <v>207</v>
      </c>
      <c r="EA269" t="s">
        <v>198</v>
      </c>
      <c r="EB269" t="s">
        <v>198</v>
      </c>
      <c r="EC269" t="s">
        <v>198</v>
      </c>
      <c r="ED269">
        <v>0</v>
      </c>
      <c r="EE269">
        <v>0</v>
      </c>
      <c r="EF269">
        <v>0</v>
      </c>
      <c r="EG269">
        <v>0</v>
      </c>
      <c r="EH269">
        <v>255</v>
      </c>
      <c r="EI269">
        <v>255</v>
      </c>
      <c r="EJ269">
        <v>255</v>
      </c>
      <c r="EK269">
        <v>255</v>
      </c>
      <c r="EL269">
        <v>255</v>
      </c>
      <c r="EM269">
        <v>255</v>
      </c>
      <c r="EN269">
        <v>255</v>
      </c>
      <c r="EO269">
        <v>255</v>
      </c>
      <c r="EP269">
        <v>255</v>
      </c>
      <c r="EQ269">
        <v>255</v>
      </c>
      <c r="ER269" t="s">
        <v>208</v>
      </c>
      <c r="ES269" t="s">
        <v>209</v>
      </c>
      <c r="ET269" t="s">
        <v>209</v>
      </c>
      <c r="EU269">
        <v>0</v>
      </c>
      <c r="EV269">
        <v>16.2</v>
      </c>
      <c r="EW269">
        <v>-114.7</v>
      </c>
      <c r="EX269">
        <v>-0.2</v>
      </c>
      <c r="EY269">
        <v>0</v>
      </c>
      <c r="EZ269">
        <v>0</v>
      </c>
      <c r="FA269">
        <v>0</v>
      </c>
      <c r="FB269" t="s">
        <v>198</v>
      </c>
      <c r="FC269" t="s">
        <v>198</v>
      </c>
      <c r="FD269" t="s">
        <v>198</v>
      </c>
      <c r="FE269" t="s">
        <v>198</v>
      </c>
      <c r="FF269" t="s">
        <v>198</v>
      </c>
      <c r="FG269" t="s">
        <v>198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 t="s">
        <v>203</v>
      </c>
      <c r="FP269" t="s">
        <v>203</v>
      </c>
      <c r="FQ269" t="s">
        <v>203</v>
      </c>
      <c r="FR269" t="s">
        <v>203</v>
      </c>
      <c r="FS269" t="s">
        <v>203</v>
      </c>
      <c r="FT269" t="s">
        <v>203</v>
      </c>
      <c r="FU269" t="s">
        <v>198</v>
      </c>
      <c r="FV269" t="s">
        <v>198</v>
      </c>
      <c r="FW269" t="s">
        <v>198</v>
      </c>
      <c r="FX269" t="s">
        <v>198</v>
      </c>
      <c r="FY269" t="s">
        <v>198</v>
      </c>
      <c r="FZ269" t="s">
        <v>198</v>
      </c>
      <c r="GA269">
        <v>31.2</v>
      </c>
      <c r="GB269">
        <v>31.2</v>
      </c>
      <c r="GC269" t="s">
        <v>203</v>
      </c>
      <c r="GD269">
        <v>0</v>
      </c>
      <c r="GE269">
        <v>504</v>
      </c>
      <c r="GF269">
        <v>0</v>
      </c>
      <c r="GG269">
        <v>0</v>
      </c>
      <c r="GH269">
        <v>0</v>
      </c>
      <c r="GI269">
        <v>1</v>
      </c>
      <c r="GJ269">
        <v>1</v>
      </c>
      <c r="GK269">
        <v>0</v>
      </c>
      <c r="GL269" t="s">
        <v>198</v>
      </c>
      <c r="GM269" t="s">
        <v>198</v>
      </c>
      <c r="GN269" t="s">
        <v>198</v>
      </c>
    </row>
    <row r="270" spans="1:196">
      <c r="A270" s="19">
        <v>46316.90700628472</v>
      </c>
      <c r="B270">
        <v>0</v>
      </c>
      <c r="C270">
        <v>0</v>
      </c>
      <c r="D270">
        <v>277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584.2</v>
      </c>
      <c r="N270">
        <v>-0.5</v>
      </c>
      <c r="O270">
        <v>0</v>
      </c>
      <c r="P270">
        <v>0</v>
      </c>
      <c r="Q270">
        <v>0</v>
      </c>
      <c r="R270">
        <v>0</v>
      </c>
      <c r="S270">
        <v>115.6</v>
      </c>
      <c r="T270" t="s">
        <v>485</v>
      </c>
      <c r="U270">
        <v>115.7</v>
      </c>
      <c r="V270">
        <v>1762727256586.8</v>
      </c>
      <c r="W270">
        <v>1</v>
      </c>
      <c r="X270" t="s">
        <v>197</v>
      </c>
      <c r="Y270">
        <v>0</v>
      </c>
      <c r="Z270">
        <v>98</v>
      </c>
      <c r="AA270">
        <v>278</v>
      </c>
      <c r="AB270" t="s">
        <v>197</v>
      </c>
      <c r="AC270" t="s">
        <v>198</v>
      </c>
      <c r="AD270" t="s">
        <v>199</v>
      </c>
      <c r="AE270">
        <v>0</v>
      </c>
      <c r="AF270">
        <v>45</v>
      </c>
      <c r="AG270">
        <v>255</v>
      </c>
      <c r="AH270">
        <v>0</v>
      </c>
      <c r="AI270">
        <v>0</v>
      </c>
      <c r="AJ270">
        <v>0</v>
      </c>
      <c r="AK270">
        <v>12.6</v>
      </c>
      <c r="AL270">
        <v>0</v>
      </c>
      <c r="AM270">
        <v>0</v>
      </c>
      <c r="AN270" t="s">
        <v>197</v>
      </c>
      <c r="AO270">
        <v>100</v>
      </c>
      <c r="AP270" t="s">
        <v>197</v>
      </c>
      <c r="AQ270" t="s">
        <v>200</v>
      </c>
      <c r="AR270">
        <v>1</v>
      </c>
      <c r="AS270">
        <v>0</v>
      </c>
      <c r="AT270" t="s">
        <v>616</v>
      </c>
      <c r="AU270" t="s">
        <v>616</v>
      </c>
      <c r="AV270" t="s">
        <v>202</v>
      </c>
      <c r="AW270" t="s">
        <v>203</v>
      </c>
      <c r="AX270" t="s">
        <v>203</v>
      </c>
      <c r="AY270" t="s">
        <v>203</v>
      </c>
      <c r="AZ270" t="s">
        <v>203</v>
      </c>
      <c r="BA270" t="s">
        <v>203</v>
      </c>
      <c r="BB270" t="s">
        <v>203</v>
      </c>
      <c r="BC270" t="s">
        <v>203</v>
      </c>
      <c r="BD270" t="s">
        <v>203</v>
      </c>
      <c r="BE270" t="s">
        <v>203</v>
      </c>
      <c r="BF270">
        <v>0</v>
      </c>
      <c r="BG270">
        <v>0.2</v>
      </c>
      <c r="BH270">
        <v>50</v>
      </c>
      <c r="BI270">
        <v>0</v>
      </c>
      <c r="BJ270" t="s">
        <v>198</v>
      </c>
      <c r="BK270" t="s">
        <v>198</v>
      </c>
      <c r="BL270" t="s">
        <v>198</v>
      </c>
      <c r="BM270" t="s">
        <v>198</v>
      </c>
      <c r="BN270" t="s">
        <v>198</v>
      </c>
      <c r="BO270" t="s">
        <v>198</v>
      </c>
      <c r="BP270" t="s">
        <v>198</v>
      </c>
      <c r="BQ270" t="s">
        <v>198</v>
      </c>
      <c r="BR270" t="s">
        <v>198</v>
      </c>
      <c r="BS270" t="s">
        <v>198</v>
      </c>
      <c r="BT270" t="s">
        <v>198</v>
      </c>
      <c r="BU270" t="s">
        <v>198</v>
      </c>
      <c r="BV270" t="s">
        <v>198</v>
      </c>
      <c r="BW270" t="s">
        <v>198</v>
      </c>
      <c r="BX270" t="s">
        <v>198</v>
      </c>
      <c r="BY270" t="s">
        <v>198</v>
      </c>
      <c r="BZ270" t="s">
        <v>198</v>
      </c>
      <c r="CA270" t="s">
        <v>198</v>
      </c>
      <c r="CB270" t="s">
        <v>204</v>
      </c>
      <c r="CC270" t="s">
        <v>204</v>
      </c>
      <c r="CD270" t="s">
        <v>204</v>
      </c>
      <c r="CE270" t="s">
        <v>204</v>
      </c>
      <c r="CF270" t="s">
        <v>204</v>
      </c>
      <c r="CG270" t="s">
        <v>204</v>
      </c>
      <c r="CH270" t="s">
        <v>204</v>
      </c>
      <c r="CI270" t="s">
        <v>204</v>
      </c>
      <c r="CJ270" t="s">
        <v>204</v>
      </c>
      <c r="CK270" t="s">
        <v>204</v>
      </c>
      <c r="CL270" t="s">
        <v>204</v>
      </c>
      <c r="CM270" t="s">
        <v>204</v>
      </c>
      <c r="CN270" t="s">
        <v>203</v>
      </c>
      <c r="CO270" t="s">
        <v>203</v>
      </c>
      <c r="CP270" t="s">
        <v>203</v>
      </c>
      <c r="CQ270" t="s">
        <v>203</v>
      </c>
      <c r="CR270" t="s">
        <v>203</v>
      </c>
      <c r="CS270" t="s">
        <v>203</v>
      </c>
      <c r="CT270" t="s">
        <v>203</v>
      </c>
      <c r="CU270" t="s">
        <v>203</v>
      </c>
      <c r="CV270">
        <v>0</v>
      </c>
      <c r="CW270">
        <v>0</v>
      </c>
      <c r="CX270" t="s">
        <v>198</v>
      </c>
      <c r="CY270" t="s">
        <v>198</v>
      </c>
      <c r="CZ270" t="s">
        <v>198</v>
      </c>
      <c r="DA270" t="s">
        <v>198</v>
      </c>
      <c r="DB270" t="s">
        <v>198</v>
      </c>
      <c r="DC270">
        <v>0</v>
      </c>
      <c r="DD270">
        <v>0</v>
      </c>
      <c r="DE270">
        <v>0</v>
      </c>
      <c r="DF270">
        <v>0</v>
      </c>
      <c r="DG270">
        <v>-35.3631166</v>
      </c>
      <c r="DH270">
        <v>149.1639735</v>
      </c>
      <c r="DI270" t="s">
        <v>360</v>
      </c>
      <c r="DJ270">
        <v>1.2</v>
      </c>
      <c r="DK270">
        <v>2</v>
      </c>
      <c r="DL270">
        <v>159.8</v>
      </c>
      <c r="DM270">
        <v>0</v>
      </c>
      <c r="DN270">
        <v>6</v>
      </c>
      <c r="DO270">
        <v>10</v>
      </c>
      <c r="DP270">
        <v>0</v>
      </c>
      <c r="DQ270">
        <v>255</v>
      </c>
      <c r="DR270">
        <v>255</v>
      </c>
      <c r="DS270">
        <v>255</v>
      </c>
      <c r="DT270">
        <v>255</v>
      </c>
      <c r="DU270">
        <v>255</v>
      </c>
      <c r="DV270">
        <v>255</v>
      </c>
      <c r="DW270">
        <v>255</v>
      </c>
      <c r="DX270" t="s">
        <v>206</v>
      </c>
      <c r="DY270" t="s">
        <v>206</v>
      </c>
      <c r="DZ270" t="s">
        <v>207</v>
      </c>
      <c r="EA270" t="s">
        <v>198</v>
      </c>
      <c r="EB270" t="s">
        <v>198</v>
      </c>
      <c r="EC270" t="s">
        <v>198</v>
      </c>
      <c r="ED270">
        <v>0</v>
      </c>
      <c r="EE270">
        <v>0</v>
      </c>
      <c r="EF270">
        <v>0</v>
      </c>
      <c r="EG270">
        <v>0</v>
      </c>
      <c r="EH270">
        <v>255</v>
      </c>
      <c r="EI270">
        <v>255</v>
      </c>
      <c r="EJ270">
        <v>255</v>
      </c>
      <c r="EK270">
        <v>255</v>
      </c>
      <c r="EL270">
        <v>255</v>
      </c>
      <c r="EM270">
        <v>255</v>
      </c>
      <c r="EN270">
        <v>255</v>
      </c>
      <c r="EO270">
        <v>255</v>
      </c>
      <c r="EP270">
        <v>255</v>
      </c>
      <c r="EQ270">
        <v>255</v>
      </c>
      <c r="ER270" t="s">
        <v>208</v>
      </c>
      <c r="ES270" t="s">
        <v>209</v>
      </c>
      <c r="ET270" t="s">
        <v>209</v>
      </c>
      <c r="EU270">
        <v>0</v>
      </c>
      <c r="EV270">
        <v>16.2</v>
      </c>
      <c r="EW270">
        <v>-114.7</v>
      </c>
      <c r="EX270">
        <v>-0.2</v>
      </c>
      <c r="EY270">
        <v>0</v>
      </c>
      <c r="EZ270">
        <v>0</v>
      </c>
      <c r="FA270">
        <v>0</v>
      </c>
      <c r="FB270" t="s">
        <v>198</v>
      </c>
      <c r="FC270" t="s">
        <v>198</v>
      </c>
      <c r="FD270" t="s">
        <v>198</v>
      </c>
      <c r="FE270" t="s">
        <v>198</v>
      </c>
      <c r="FF270" t="s">
        <v>198</v>
      </c>
      <c r="FG270" t="s">
        <v>198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 t="s">
        <v>203</v>
      </c>
      <c r="FP270" t="s">
        <v>203</v>
      </c>
      <c r="FQ270" t="s">
        <v>203</v>
      </c>
      <c r="FR270" t="s">
        <v>203</v>
      </c>
      <c r="FS270" t="s">
        <v>203</v>
      </c>
      <c r="FT270" t="s">
        <v>203</v>
      </c>
      <c r="FU270" t="s">
        <v>198</v>
      </c>
      <c r="FV270" t="s">
        <v>198</v>
      </c>
      <c r="FW270" t="s">
        <v>198</v>
      </c>
      <c r="FX270" t="s">
        <v>198</v>
      </c>
      <c r="FY270" t="s">
        <v>198</v>
      </c>
      <c r="FZ270" t="s">
        <v>198</v>
      </c>
      <c r="GA270">
        <v>31.2</v>
      </c>
      <c r="GB270">
        <v>31.2</v>
      </c>
      <c r="GC270" t="s">
        <v>203</v>
      </c>
      <c r="GD270">
        <v>0</v>
      </c>
      <c r="GE270">
        <v>504</v>
      </c>
      <c r="GF270">
        <v>0</v>
      </c>
      <c r="GG270">
        <v>0</v>
      </c>
      <c r="GH270">
        <v>0</v>
      </c>
      <c r="GI270">
        <v>1</v>
      </c>
      <c r="GJ270">
        <v>1</v>
      </c>
      <c r="GK270">
        <v>0</v>
      </c>
      <c r="GL270" t="s">
        <v>198</v>
      </c>
      <c r="GM270" t="s">
        <v>198</v>
      </c>
      <c r="GN270" t="s">
        <v>198</v>
      </c>
    </row>
    <row r="271" spans="1:196">
      <c r="A271" s="19">
        <v>46316.90701784722</v>
      </c>
      <c r="B271">
        <v>0</v>
      </c>
      <c r="C271">
        <v>0</v>
      </c>
      <c r="D271">
        <v>277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584.2</v>
      </c>
      <c r="N271">
        <v>-0.5</v>
      </c>
      <c r="O271">
        <v>0</v>
      </c>
      <c r="P271">
        <v>0</v>
      </c>
      <c r="Q271">
        <v>0</v>
      </c>
      <c r="R271">
        <v>0</v>
      </c>
      <c r="S271">
        <v>115.6</v>
      </c>
      <c r="T271" t="s">
        <v>485</v>
      </c>
      <c r="U271">
        <v>115.7</v>
      </c>
      <c r="V271">
        <v>1762727256586.8</v>
      </c>
      <c r="W271">
        <v>1</v>
      </c>
      <c r="X271" t="s">
        <v>197</v>
      </c>
      <c r="Y271">
        <v>0</v>
      </c>
      <c r="Z271">
        <v>98</v>
      </c>
      <c r="AA271">
        <v>278</v>
      </c>
      <c r="AB271" t="s">
        <v>197</v>
      </c>
      <c r="AC271" t="s">
        <v>198</v>
      </c>
      <c r="AD271" t="s">
        <v>199</v>
      </c>
      <c r="AE271">
        <v>0</v>
      </c>
      <c r="AF271">
        <v>45</v>
      </c>
      <c r="AG271">
        <v>255</v>
      </c>
      <c r="AH271">
        <v>0</v>
      </c>
      <c r="AI271">
        <v>0</v>
      </c>
      <c r="AJ271">
        <v>0</v>
      </c>
      <c r="AK271">
        <v>12.6</v>
      </c>
      <c r="AL271">
        <v>0</v>
      </c>
      <c r="AM271">
        <v>0</v>
      </c>
      <c r="AN271" t="s">
        <v>197</v>
      </c>
      <c r="AO271">
        <v>100</v>
      </c>
      <c r="AP271" t="s">
        <v>197</v>
      </c>
      <c r="AQ271" t="s">
        <v>200</v>
      </c>
      <c r="AR271">
        <v>1</v>
      </c>
      <c r="AS271">
        <v>0</v>
      </c>
      <c r="AT271" t="s">
        <v>617</v>
      </c>
      <c r="AU271" t="s">
        <v>617</v>
      </c>
      <c r="AV271" t="s">
        <v>202</v>
      </c>
      <c r="AW271" t="s">
        <v>203</v>
      </c>
      <c r="AX271" t="s">
        <v>203</v>
      </c>
      <c r="AY271" t="s">
        <v>203</v>
      </c>
      <c r="AZ271" t="s">
        <v>203</v>
      </c>
      <c r="BA271" t="s">
        <v>203</v>
      </c>
      <c r="BB271" t="s">
        <v>203</v>
      </c>
      <c r="BC271" t="s">
        <v>203</v>
      </c>
      <c r="BD271" t="s">
        <v>203</v>
      </c>
      <c r="BE271" t="s">
        <v>203</v>
      </c>
      <c r="BF271">
        <v>0</v>
      </c>
      <c r="BG271">
        <v>0.2</v>
      </c>
      <c r="BH271">
        <v>50</v>
      </c>
      <c r="BI271">
        <v>0</v>
      </c>
      <c r="BJ271" t="s">
        <v>198</v>
      </c>
      <c r="BK271" t="s">
        <v>198</v>
      </c>
      <c r="BL271" t="s">
        <v>198</v>
      </c>
      <c r="BM271" t="s">
        <v>198</v>
      </c>
      <c r="BN271" t="s">
        <v>198</v>
      </c>
      <c r="BO271" t="s">
        <v>198</v>
      </c>
      <c r="BP271" t="s">
        <v>198</v>
      </c>
      <c r="BQ271" t="s">
        <v>198</v>
      </c>
      <c r="BR271" t="s">
        <v>198</v>
      </c>
      <c r="BS271" t="s">
        <v>198</v>
      </c>
      <c r="BT271" t="s">
        <v>198</v>
      </c>
      <c r="BU271" t="s">
        <v>198</v>
      </c>
      <c r="BV271" t="s">
        <v>198</v>
      </c>
      <c r="BW271" t="s">
        <v>198</v>
      </c>
      <c r="BX271" t="s">
        <v>198</v>
      </c>
      <c r="BY271" t="s">
        <v>198</v>
      </c>
      <c r="BZ271" t="s">
        <v>198</v>
      </c>
      <c r="CA271" t="s">
        <v>198</v>
      </c>
      <c r="CB271" t="s">
        <v>204</v>
      </c>
      <c r="CC271" t="s">
        <v>204</v>
      </c>
      <c r="CD271" t="s">
        <v>204</v>
      </c>
      <c r="CE271" t="s">
        <v>204</v>
      </c>
      <c r="CF271" t="s">
        <v>204</v>
      </c>
      <c r="CG271" t="s">
        <v>204</v>
      </c>
      <c r="CH271" t="s">
        <v>204</v>
      </c>
      <c r="CI271" t="s">
        <v>204</v>
      </c>
      <c r="CJ271" t="s">
        <v>204</v>
      </c>
      <c r="CK271" t="s">
        <v>204</v>
      </c>
      <c r="CL271" t="s">
        <v>204</v>
      </c>
      <c r="CM271" t="s">
        <v>204</v>
      </c>
      <c r="CN271" t="s">
        <v>203</v>
      </c>
      <c r="CO271" t="s">
        <v>203</v>
      </c>
      <c r="CP271" t="s">
        <v>203</v>
      </c>
      <c r="CQ271" t="s">
        <v>203</v>
      </c>
      <c r="CR271" t="s">
        <v>203</v>
      </c>
      <c r="CS271" t="s">
        <v>203</v>
      </c>
      <c r="CT271" t="s">
        <v>203</v>
      </c>
      <c r="CU271" t="s">
        <v>203</v>
      </c>
      <c r="CV271">
        <v>0</v>
      </c>
      <c r="CW271">
        <v>0</v>
      </c>
      <c r="CX271" t="s">
        <v>198</v>
      </c>
      <c r="CY271" t="s">
        <v>198</v>
      </c>
      <c r="CZ271" t="s">
        <v>198</v>
      </c>
      <c r="DA271" t="s">
        <v>198</v>
      </c>
      <c r="DB271" t="s">
        <v>198</v>
      </c>
      <c r="DC271">
        <v>0</v>
      </c>
      <c r="DD271">
        <v>0</v>
      </c>
      <c r="DE271">
        <v>0</v>
      </c>
      <c r="DF271">
        <v>0</v>
      </c>
      <c r="DG271">
        <v>-35.3631166</v>
      </c>
      <c r="DH271">
        <v>149.1639735</v>
      </c>
      <c r="DI271" t="s">
        <v>360</v>
      </c>
      <c r="DJ271">
        <v>1.2</v>
      </c>
      <c r="DK271">
        <v>2</v>
      </c>
      <c r="DL271">
        <v>159.8</v>
      </c>
      <c r="DM271">
        <v>0</v>
      </c>
      <c r="DN271">
        <v>6</v>
      </c>
      <c r="DO271">
        <v>10</v>
      </c>
      <c r="DP271">
        <v>0</v>
      </c>
      <c r="DQ271">
        <v>255</v>
      </c>
      <c r="DR271">
        <v>255</v>
      </c>
      <c r="DS271">
        <v>255</v>
      </c>
      <c r="DT271">
        <v>255</v>
      </c>
      <c r="DU271">
        <v>255</v>
      </c>
      <c r="DV271">
        <v>255</v>
      </c>
      <c r="DW271">
        <v>255</v>
      </c>
      <c r="DX271" t="s">
        <v>206</v>
      </c>
      <c r="DY271" t="s">
        <v>206</v>
      </c>
      <c r="DZ271" t="s">
        <v>207</v>
      </c>
      <c r="EA271" t="s">
        <v>198</v>
      </c>
      <c r="EB271" t="s">
        <v>198</v>
      </c>
      <c r="EC271" t="s">
        <v>198</v>
      </c>
      <c r="ED271">
        <v>0</v>
      </c>
      <c r="EE271">
        <v>0</v>
      </c>
      <c r="EF271">
        <v>0</v>
      </c>
      <c r="EG271">
        <v>0</v>
      </c>
      <c r="EH271">
        <v>255</v>
      </c>
      <c r="EI271">
        <v>255</v>
      </c>
      <c r="EJ271">
        <v>255</v>
      </c>
      <c r="EK271">
        <v>255</v>
      </c>
      <c r="EL271">
        <v>255</v>
      </c>
      <c r="EM271">
        <v>255</v>
      </c>
      <c r="EN271">
        <v>255</v>
      </c>
      <c r="EO271">
        <v>255</v>
      </c>
      <c r="EP271">
        <v>255</v>
      </c>
      <c r="EQ271">
        <v>255</v>
      </c>
      <c r="ER271" t="s">
        <v>208</v>
      </c>
      <c r="ES271" t="s">
        <v>209</v>
      </c>
      <c r="ET271" t="s">
        <v>209</v>
      </c>
      <c r="EU271">
        <v>0</v>
      </c>
      <c r="EV271">
        <v>16.2</v>
      </c>
      <c r="EW271">
        <v>-114.7</v>
      </c>
      <c r="EX271">
        <v>-0.2</v>
      </c>
      <c r="EY271">
        <v>0</v>
      </c>
      <c r="EZ271">
        <v>0</v>
      </c>
      <c r="FA271">
        <v>0</v>
      </c>
      <c r="FB271" t="s">
        <v>198</v>
      </c>
      <c r="FC271" t="s">
        <v>198</v>
      </c>
      <c r="FD271" t="s">
        <v>198</v>
      </c>
      <c r="FE271" t="s">
        <v>198</v>
      </c>
      <c r="FF271" t="s">
        <v>198</v>
      </c>
      <c r="FG271" t="s">
        <v>198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 t="s">
        <v>203</v>
      </c>
      <c r="FP271" t="s">
        <v>203</v>
      </c>
      <c r="FQ271" t="s">
        <v>203</v>
      </c>
      <c r="FR271" t="s">
        <v>203</v>
      </c>
      <c r="FS271" t="s">
        <v>203</v>
      </c>
      <c r="FT271" t="s">
        <v>203</v>
      </c>
      <c r="FU271" t="s">
        <v>198</v>
      </c>
      <c r="FV271" t="s">
        <v>198</v>
      </c>
      <c r="FW271" t="s">
        <v>198</v>
      </c>
      <c r="FX271" t="s">
        <v>198</v>
      </c>
      <c r="FY271" t="s">
        <v>198</v>
      </c>
      <c r="FZ271" t="s">
        <v>198</v>
      </c>
      <c r="GA271">
        <v>31.2</v>
      </c>
      <c r="GB271">
        <v>31.2</v>
      </c>
      <c r="GC271" t="s">
        <v>203</v>
      </c>
      <c r="GD271">
        <v>0</v>
      </c>
      <c r="GE271">
        <v>504</v>
      </c>
      <c r="GF271">
        <v>0</v>
      </c>
      <c r="GG271">
        <v>0</v>
      </c>
      <c r="GH271">
        <v>0</v>
      </c>
      <c r="GI271">
        <v>1</v>
      </c>
      <c r="GJ271">
        <v>1</v>
      </c>
      <c r="GK271">
        <v>0</v>
      </c>
      <c r="GL271" t="s">
        <v>198</v>
      </c>
      <c r="GM271" t="s">
        <v>198</v>
      </c>
      <c r="GN271" t="s">
        <v>198</v>
      </c>
    </row>
    <row r="272" spans="1:196">
      <c r="A272" s="19">
        <v>46316.90702943287</v>
      </c>
      <c r="B272">
        <v>0</v>
      </c>
      <c r="C272">
        <v>0</v>
      </c>
      <c r="D272">
        <v>277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584.2</v>
      </c>
      <c r="N272">
        <v>-0.5</v>
      </c>
      <c r="O272">
        <v>0</v>
      </c>
      <c r="P272">
        <v>0</v>
      </c>
      <c r="Q272">
        <v>0</v>
      </c>
      <c r="R272">
        <v>0</v>
      </c>
      <c r="S272">
        <v>115.6</v>
      </c>
      <c r="T272" t="s">
        <v>485</v>
      </c>
      <c r="U272">
        <v>115.7</v>
      </c>
      <c r="V272">
        <v>1762727256586.8</v>
      </c>
      <c r="W272">
        <v>1</v>
      </c>
      <c r="X272" t="s">
        <v>197</v>
      </c>
      <c r="Y272">
        <v>0</v>
      </c>
      <c r="Z272">
        <v>98</v>
      </c>
      <c r="AA272">
        <v>278</v>
      </c>
      <c r="AB272" t="s">
        <v>197</v>
      </c>
      <c r="AC272" t="s">
        <v>198</v>
      </c>
      <c r="AD272" t="s">
        <v>199</v>
      </c>
      <c r="AE272">
        <v>0</v>
      </c>
      <c r="AF272">
        <v>45</v>
      </c>
      <c r="AG272">
        <v>255</v>
      </c>
      <c r="AH272">
        <v>0</v>
      </c>
      <c r="AI272">
        <v>0</v>
      </c>
      <c r="AJ272">
        <v>0</v>
      </c>
      <c r="AK272">
        <v>12.6</v>
      </c>
      <c r="AL272">
        <v>0</v>
      </c>
      <c r="AM272">
        <v>0</v>
      </c>
      <c r="AN272" t="s">
        <v>197</v>
      </c>
      <c r="AO272">
        <v>100</v>
      </c>
      <c r="AP272" t="s">
        <v>197</v>
      </c>
      <c r="AQ272" t="s">
        <v>200</v>
      </c>
      <c r="AR272">
        <v>1</v>
      </c>
      <c r="AS272">
        <v>0</v>
      </c>
      <c r="AT272" t="s">
        <v>618</v>
      </c>
      <c r="AU272" t="s">
        <v>618</v>
      </c>
      <c r="AV272" t="s">
        <v>202</v>
      </c>
      <c r="AW272" t="s">
        <v>203</v>
      </c>
      <c r="AX272" t="s">
        <v>203</v>
      </c>
      <c r="AY272" t="s">
        <v>203</v>
      </c>
      <c r="AZ272" t="s">
        <v>203</v>
      </c>
      <c r="BA272" t="s">
        <v>203</v>
      </c>
      <c r="BB272" t="s">
        <v>203</v>
      </c>
      <c r="BC272" t="s">
        <v>203</v>
      </c>
      <c r="BD272" t="s">
        <v>203</v>
      </c>
      <c r="BE272" t="s">
        <v>203</v>
      </c>
      <c r="BF272">
        <v>0</v>
      </c>
      <c r="BG272">
        <v>0.2</v>
      </c>
      <c r="BH272">
        <v>50</v>
      </c>
      <c r="BI272">
        <v>0</v>
      </c>
      <c r="BJ272" t="s">
        <v>198</v>
      </c>
      <c r="BK272" t="s">
        <v>198</v>
      </c>
      <c r="BL272" t="s">
        <v>198</v>
      </c>
      <c r="BM272" t="s">
        <v>198</v>
      </c>
      <c r="BN272" t="s">
        <v>198</v>
      </c>
      <c r="BO272" t="s">
        <v>198</v>
      </c>
      <c r="BP272" t="s">
        <v>198</v>
      </c>
      <c r="BQ272" t="s">
        <v>198</v>
      </c>
      <c r="BR272" t="s">
        <v>198</v>
      </c>
      <c r="BS272" t="s">
        <v>198</v>
      </c>
      <c r="BT272" t="s">
        <v>198</v>
      </c>
      <c r="BU272" t="s">
        <v>198</v>
      </c>
      <c r="BV272" t="s">
        <v>198</v>
      </c>
      <c r="BW272" t="s">
        <v>198</v>
      </c>
      <c r="BX272" t="s">
        <v>198</v>
      </c>
      <c r="BY272" t="s">
        <v>198</v>
      </c>
      <c r="BZ272" t="s">
        <v>198</v>
      </c>
      <c r="CA272" t="s">
        <v>198</v>
      </c>
      <c r="CB272" t="s">
        <v>204</v>
      </c>
      <c r="CC272" t="s">
        <v>204</v>
      </c>
      <c r="CD272" t="s">
        <v>204</v>
      </c>
      <c r="CE272" t="s">
        <v>204</v>
      </c>
      <c r="CF272" t="s">
        <v>204</v>
      </c>
      <c r="CG272" t="s">
        <v>204</v>
      </c>
      <c r="CH272" t="s">
        <v>204</v>
      </c>
      <c r="CI272" t="s">
        <v>204</v>
      </c>
      <c r="CJ272" t="s">
        <v>204</v>
      </c>
      <c r="CK272" t="s">
        <v>204</v>
      </c>
      <c r="CL272" t="s">
        <v>204</v>
      </c>
      <c r="CM272" t="s">
        <v>204</v>
      </c>
      <c r="CN272" t="s">
        <v>203</v>
      </c>
      <c r="CO272" t="s">
        <v>203</v>
      </c>
      <c r="CP272" t="s">
        <v>203</v>
      </c>
      <c r="CQ272" t="s">
        <v>203</v>
      </c>
      <c r="CR272" t="s">
        <v>203</v>
      </c>
      <c r="CS272" t="s">
        <v>203</v>
      </c>
      <c r="CT272" t="s">
        <v>203</v>
      </c>
      <c r="CU272" t="s">
        <v>203</v>
      </c>
      <c r="CV272">
        <v>0</v>
      </c>
      <c r="CW272">
        <v>0</v>
      </c>
      <c r="CX272" t="s">
        <v>198</v>
      </c>
      <c r="CY272" t="s">
        <v>198</v>
      </c>
      <c r="CZ272" t="s">
        <v>198</v>
      </c>
      <c r="DA272" t="s">
        <v>198</v>
      </c>
      <c r="DB272" t="s">
        <v>198</v>
      </c>
      <c r="DC272">
        <v>0</v>
      </c>
      <c r="DD272">
        <v>0</v>
      </c>
      <c r="DE272">
        <v>0</v>
      </c>
      <c r="DF272">
        <v>0</v>
      </c>
      <c r="DG272">
        <v>-35.3631166</v>
      </c>
      <c r="DH272">
        <v>149.1639735</v>
      </c>
      <c r="DI272" t="s">
        <v>360</v>
      </c>
      <c r="DJ272">
        <v>1.2</v>
      </c>
      <c r="DK272">
        <v>2</v>
      </c>
      <c r="DL272">
        <v>159.8</v>
      </c>
      <c r="DM272">
        <v>0</v>
      </c>
      <c r="DN272">
        <v>6</v>
      </c>
      <c r="DO272">
        <v>10</v>
      </c>
      <c r="DP272">
        <v>0</v>
      </c>
      <c r="DQ272">
        <v>255</v>
      </c>
      <c r="DR272">
        <v>255</v>
      </c>
      <c r="DS272">
        <v>255</v>
      </c>
      <c r="DT272">
        <v>255</v>
      </c>
      <c r="DU272">
        <v>255</v>
      </c>
      <c r="DV272">
        <v>255</v>
      </c>
      <c r="DW272">
        <v>255</v>
      </c>
      <c r="DX272" t="s">
        <v>206</v>
      </c>
      <c r="DY272" t="s">
        <v>206</v>
      </c>
      <c r="DZ272" t="s">
        <v>207</v>
      </c>
      <c r="EA272" t="s">
        <v>198</v>
      </c>
      <c r="EB272" t="s">
        <v>198</v>
      </c>
      <c r="EC272" t="s">
        <v>198</v>
      </c>
      <c r="ED272">
        <v>0</v>
      </c>
      <c r="EE272">
        <v>0</v>
      </c>
      <c r="EF272">
        <v>0</v>
      </c>
      <c r="EG272">
        <v>0</v>
      </c>
      <c r="EH272">
        <v>255</v>
      </c>
      <c r="EI272">
        <v>255</v>
      </c>
      <c r="EJ272">
        <v>255</v>
      </c>
      <c r="EK272">
        <v>255</v>
      </c>
      <c r="EL272">
        <v>255</v>
      </c>
      <c r="EM272">
        <v>255</v>
      </c>
      <c r="EN272">
        <v>255</v>
      </c>
      <c r="EO272">
        <v>255</v>
      </c>
      <c r="EP272">
        <v>255</v>
      </c>
      <c r="EQ272">
        <v>255</v>
      </c>
      <c r="ER272" t="s">
        <v>208</v>
      </c>
      <c r="ES272" t="s">
        <v>209</v>
      </c>
      <c r="ET272" t="s">
        <v>209</v>
      </c>
      <c r="EU272">
        <v>0</v>
      </c>
      <c r="EV272">
        <v>16.2</v>
      </c>
      <c r="EW272">
        <v>-114.7</v>
      </c>
      <c r="EX272">
        <v>-0.2</v>
      </c>
      <c r="EY272">
        <v>0</v>
      </c>
      <c r="EZ272">
        <v>0</v>
      </c>
      <c r="FA272">
        <v>0</v>
      </c>
      <c r="FB272" t="s">
        <v>198</v>
      </c>
      <c r="FC272" t="s">
        <v>198</v>
      </c>
      <c r="FD272" t="s">
        <v>198</v>
      </c>
      <c r="FE272" t="s">
        <v>198</v>
      </c>
      <c r="FF272" t="s">
        <v>198</v>
      </c>
      <c r="FG272" t="s">
        <v>198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203</v>
      </c>
      <c r="FP272" t="s">
        <v>203</v>
      </c>
      <c r="FQ272" t="s">
        <v>203</v>
      </c>
      <c r="FR272" t="s">
        <v>203</v>
      </c>
      <c r="FS272" t="s">
        <v>203</v>
      </c>
      <c r="FT272" t="s">
        <v>203</v>
      </c>
      <c r="FU272" t="s">
        <v>198</v>
      </c>
      <c r="FV272" t="s">
        <v>198</v>
      </c>
      <c r="FW272" t="s">
        <v>198</v>
      </c>
      <c r="FX272" t="s">
        <v>198</v>
      </c>
      <c r="FY272" t="s">
        <v>198</v>
      </c>
      <c r="FZ272" t="s">
        <v>198</v>
      </c>
      <c r="GA272">
        <v>31.2</v>
      </c>
      <c r="GB272">
        <v>31.2</v>
      </c>
      <c r="GC272" t="s">
        <v>203</v>
      </c>
      <c r="GD272">
        <v>0</v>
      </c>
      <c r="GE272">
        <v>504</v>
      </c>
      <c r="GF272">
        <v>0</v>
      </c>
      <c r="GG272">
        <v>0</v>
      </c>
      <c r="GH272">
        <v>0</v>
      </c>
      <c r="GI272">
        <v>1</v>
      </c>
      <c r="GJ272">
        <v>1</v>
      </c>
      <c r="GK272">
        <v>0</v>
      </c>
      <c r="GL272" t="s">
        <v>198</v>
      </c>
      <c r="GM272" t="s">
        <v>198</v>
      </c>
      <c r="GN272" t="s">
        <v>198</v>
      </c>
    </row>
    <row r="273" spans="1:196">
      <c r="A273" s="19">
        <v>46316.90704100695</v>
      </c>
      <c r="B273">
        <v>0</v>
      </c>
      <c r="C273">
        <v>0</v>
      </c>
      <c r="D273">
        <v>277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584.2</v>
      </c>
      <c r="N273">
        <v>-0.5</v>
      </c>
      <c r="O273">
        <v>0</v>
      </c>
      <c r="P273">
        <v>0</v>
      </c>
      <c r="Q273">
        <v>0</v>
      </c>
      <c r="R273">
        <v>0</v>
      </c>
      <c r="S273">
        <v>115.6</v>
      </c>
      <c r="T273" t="s">
        <v>485</v>
      </c>
      <c r="U273">
        <v>115.7</v>
      </c>
      <c r="V273">
        <v>1762727256586.8</v>
      </c>
      <c r="W273">
        <v>1</v>
      </c>
      <c r="X273" t="s">
        <v>197</v>
      </c>
      <c r="Y273">
        <v>0</v>
      </c>
      <c r="Z273">
        <v>98</v>
      </c>
      <c r="AA273">
        <v>278</v>
      </c>
      <c r="AB273" t="s">
        <v>197</v>
      </c>
      <c r="AC273" t="s">
        <v>198</v>
      </c>
      <c r="AD273" t="s">
        <v>199</v>
      </c>
      <c r="AE273">
        <v>0</v>
      </c>
      <c r="AF273">
        <v>45</v>
      </c>
      <c r="AG273">
        <v>255</v>
      </c>
      <c r="AH273">
        <v>0</v>
      </c>
      <c r="AI273">
        <v>0</v>
      </c>
      <c r="AJ273">
        <v>0</v>
      </c>
      <c r="AK273">
        <v>12.6</v>
      </c>
      <c r="AL273">
        <v>0</v>
      </c>
      <c r="AM273">
        <v>0</v>
      </c>
      <c r="AN273" t="s">
        <v>197</v>
      </c>
      <c r="AO273">
        <v>100</v>
      </c>
      <c r="AP273" t="s">
        <v>197</v>
      </c>
      <c r="AQ273" t="s">
        <v>200</v>
      </c>
      <c r="AR273">
        <v>1</v>
      </c>
      <c r="AS273">
        <v>0</v>
      </c>
      <c r="AT273" t="s">
        <v>619</v>
      </c>
      <c r="AU273" t="s">
        <v>619</v>
      </c>
      <c r="AV273" t="s">
        <v>202</v>
      </c>
      <c r="AW273" t="s">
        <v>203</v>
      </c>
      <c r="AX273" t="s">
        <v>203</v>
      </c>
      <c r="AY273" t="s">
        <v>203</v>
      </c>
      <c r="AZ273" t="s">
        <v>203</v>
      </c>
      <c r="BA273" t="s">
        <v>203</v>
      </c>
      <c r="BB273" t="s">
        <v>203</v>
      </c>
      <c r="BC273" t="s">
        <v>203</v>
      </c>
      <c r="BD273" t="s">
        <v>203</v>
      </c>
      <c r="BE273" t="s">
        <v>203</v>
      </c>
      <c r="BF273">
        <v>0</v>
      </c>
      <c r="BG273">
        <v>0.2</v>
      </c>
      <c r="BH273">
        <v>50</v>
      </c>
      <c r="BI273">
        <v>0</v>
      </c>
      <c r="BJ273" t="s">
        <v>198</v>
      </c>
      <c r="BK273" t="s">
        <v>198</v>
      </c>
      <c r="BL273" t="s">
        <v>198</v>
      </c>
      <c r="BM273" t="s">
        <v>198</v>
      </c>
      <c r="BN273" t="s">
        <v>198</v>
      </c>
      <c r="BO273" t="s">
        <v>198</v>
      </c>
      <c r="BP273" t="s">
        <v>198</v>
      </c>
      <c r="BQ273" t="s">
        <v>198</v>
      </c>
      <c r="BR273" t="s">
        <v>198</v>
      </c>
      <c r="BS273" t="s">
        <v>198</v>
      </c>
      <c r="BT273" t="s">
        <v>198</v>
      </c>
      <c r="BU273" t="s">
        <v>198</v>
      </c>
      <c r="BV273" t="s">
        <v>198</v>
      </c>
      <c r="BW273" t="s">
        <v>198</v>
      </c>
      <c r="BX273" t="s">
        <v>198</v>
      </c>
      <c r="BY273" t="s">
        <v>198</v>
      </c>
      <c r="BZ273" t="s">
        <v>198</v>
      </c>
      <c r="CA273" t="s">
        <v>198</v>
      </c>
      <c r="CB273" t="s">
        <v>204</v>
      </c>
      <c r="CC273" t="s">
        <v>204</v>
      </c>
      <c r="CD273" t="s">
        <v>204</v>
      </c>
      <c r="CE273" t="s">
        <v>204</v>
      </c>
      <c r="CF273" t="s">
        <v>204</v>
      </c>
      <c r="CG273" t="s">
        <v>204</v>
      </c>
      <c r="CH273" t="s">
        <v>204</v>
      </c>
      <c r="CI273" t="s">
        <v>204</v>
      </c>
      <c r="CJ273" t="s">
        <v>204</v>
      </c>
      <c r="CK273" t="s">
        <v>204</v>
      </c>
      <c r="CL273" t="s">
        <v>204</v>
      </c>
      <c r="CM273" t="s">
        <v>204</v>
      </c>
      <c r="CN273" t="s">
        <v>203</v>
      </c>
      <c r="CO273" t="s">
        <v>203</v>
      </c>
      <c r="CP273" t="s">
        <v>203</v>
      </c>
      <c r="CQ273" t="s">
        <v>203</v>
      </c>
      <c r="CR273" t="s">
        <v>203</v>
      </c>
      <c r="CS273" t="s">
        <v>203</v>
      </c>
      <c r="CT273" t="s">
        <v>203</v>
      </c>
      <c r="CU273" t="s">
        <v>203</v>
      </c>
      <c r="CV273">
        <v>0</v>
      </c>
      <c r="CW273">
        <v>0</v>
      </c>
      <c r="CX273" t="s">
        <v>198</v>
      </c>
      <c r="CY273" t="s">
        <v>198</v>
      </c>
      <c r="CZ273" t="s">
        <v>198</v>
      </c>
      <c r="DA273" t="s">
        <v>198</v>
      </c>
      <c r="DB273" t="s">
        <v>198</v>
      </c>
      <c r="DC273">
        <v>0</v>
      </c>
      <c r="DD273">
        <v>0</v>
      </c>
      <c r="DE273">
        <v>0</v>
      </c>
      <c r="DF273">
        <v>0</v>
      </c>
      <c r="DG273">
        <v>-35.3631166</v>
      </c>
      <c r="DH273">
        <v>149.1639735</v>
      </c>
      <c r="DI273" t="s">
        <v>360</v>
      </c>
      <c r="DJ273">
        <v>1.2</v>
      </c>
      <c r="DK273">
        <v>2</v>
      </c>
      <c r="DL273">
        <v>159.8</v>
      </c>
      <c r="DM273">
        <v>0</v>
      </c>
      <c r="DN273">
        <v>6</v>
      </c>
      <c r="DO273">
        <v>10</v>
      </c>
      <c r="DP273">
        <v>0</v>
      </c>
      <c r="DQ273">
        <v>255</v>
      </c>
      <c r="DR273">
        <v>255</v>
      </c>
      <c r="DS273">
        <v>255</v>
      </c>
      <c r="DT273">
        <v>255</v>
      </c>
      <c r="DU273">
        <v>255</v>
      </c>
      <c r="DV273">
        <v>255</v>
      </c>
      <c r="DW273">
        <v>255</v>
      </c>
      <c r="DX273" t="s">
        <v>206</v>
      </c>
      <c r="DY273" t="s">
        <v>206</v>
      </c>
      <c r="DZ273" t="s">
        <v>207</v>
      </c>
      <c r="EA273" t="s">
        <v>198</v>
      </c>
      <c r="EB273" t="s">
        <v>198</v>
      </c>
      <c r="EC273" t="s">
        <v>198</v>
      </c>
      <c r="ED273">
        <v>0</v>
      </c>
      <c r="EE273">
        <v>0</v>
      </c>
      <c r="EF273">
        <v>0</v>
      </c>
      <c r="EG273">
        <v>0</v>
      </c>
      <c r="EH273">
        <v>255</v>
      </c>
      <c r="EI273">
        <v>255</v>
      </c>
      <c r="EJ273">
        <v>255</v>
      </c>
      <c r="EK273">
        <v>255</v>
      </c>
      <c r="EL273">
        <v>255</v>
      </c>
      <c r="EM273">
        <v>255</v>
      </c>
      <c r="EN273">
        <v>255</v>
      </c>
      <c r="EO273">
        <v>255</v>
      </c>
      <c r="EP273">
        <v>255</v>
      </c>
      <c r="EQ273">
        <v>255</v>
      </c>
      <c r="ER273" t="s">
        <v>208</v>
      </c>
      <c r="ES273" t="s">
        <v>209</v>
      </c>
      <c r="ET273" t="s">
        <v>209</v>
      </c>
      <c r="EU273">
        <v>0</v>
      </c>
      <c r="EV273">
        <v>16.2</v>
      </c>
      <c r="EW273">
        <v>-114.7</v>
      </c>
      <c r="EX273">
        <v>-0.2</v>
      </c>
      <c r="EY273">
        <v>0</v>
      </c>
      <c r="EZ273">
        <v>0</v>
      </c>
      <c r="FA273">
        <v>0</v>
      </c>
      <c r="FB273" t="s">
        <v>198</v>
      </c>
      <c r="FC273" t="s">
        <v>198</v>
      </c>
      <c r="FD273" t="s">
        <v>198</v>
      </c>
      <c r="FE273" t="s">
        <v>198</v>
      </c>
      <c r="FF273" t="s">
        <v>198</v>
      </c>
      <c r="FG273" t="s">
        <v>198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 t="s">
        <v>203</v>
      </c>
      <c r="FP273" t="s">
        <v>203</v>
      </c>
      <c r="FQ273" t="s">
        <v>203</v>
      </c>
      <c r="FR273" t="s">
        <v>203</v>
      </c>
      <c r="FS273" t="s">
        <v>203</v>
      </c>
      <c r="FT273" t="s">
        <v>203</v>
      </c>
      <c r="FU273" t="s">
        <v>198</v>
      </c>
      <c r="FV273" t="s">
        <v>198</v>
      </c>
      <c r="FW273" t="s">
        <v>198</v>
      </c>
      <c r="FX273" t="s">
        <v>198</v>
      </c>
      <c r="FY273" t="s">
        <v>198</v>
      </c>
      <c r="FZ273" t="s">
        <v>198</v>
      </c>
      <c r="GA273">
        <v>31.2</v>
      </c>
      <c r="GB273">
        <v>31.2</v>
      </c>
      <c r="GC273" t="s">
        <v>203</v>
      </c>
      <c r="GD273">
        <v>0</v>
      </c>
      <c r="GE273">
        <v>504</v>
      </c>
      <c r="GF273">
        <v>0</v>
      </c>
      <c r="GG273">
        <v>0</v>
      </c>
      <c r="GH273">
        <v>0</v>
      </c>
      <c r="GI273">
        <v>1</v>
      </c>
      <c r="GJ273">
        <v>1</v>
      </c>
      <c r="GK273">
        <v>0</v>
      </c>
      <c r="GL273" t="s">
        <v>198</v>
      </c>
      <c r="GM273" t="s">
        <v>198</v>
      </c>
      <c r="GN273" t="s">
        <v>198</v>
      </c>
    </row>
    <row r="274" spans="1:196">
      <c r="A274" s="19">
        <v>46316.90705258102</v>
      </c>
      <c r="B274">
        <v>0</v>
      </c>
      <c r="C274">
        <v>0</v>
      </c>
      <c r="D274">
        <v>277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584.2</v>
      </c>
      <c r="N274">
        <v>-0.5</v>
      </c>
      <c r="O274">
        <v>0</v>
      </c>
      <c r="P274">
        <v>0</v>
      </c>
      <c r="Q274">
        <v>0</v>
      </c>
      <c r="R274">
        <v>0</v>
      </c>
      <c r="S274">
        <v>115.6</v>
      </c>
      <c r="T274" t="s">
        <v>485</v>
      </c>
      <c r="U274">
        <v>115.7</v>
      </c>
      <c r="V274">
        <v>1762727256586.8</v>
      </c>
      <c r="W274">
        <v>1</v>
      </c>
      <c r="X274" t="s">
        <v>197</v>
      </c>
      <c r="Y274">
        <v>0</v>
      </c>
      <c r="Z274">
        <v>98</v>
      </c>
      <c r="AA274">
        <v>278</v>
      </c>
      <c r="AB274" t="s">
        <v>197</v>
      </c>
      <c r="AC274" t="s">
        <v>198</v>
      </c>
      <c r="AD274" t="s">
        <v>199</v>
      </c>
      <c r="AE274">
        <v>0</v>
      </c>
      <c r="AF274">
        <v>45</v>
      </c>
      <c r="AG274">
        <v>255</v>
      </c>
      <c r="AH274">
        <v>0</v>
      </c>
      <c r="AI274">
        <v>0</v>
      </c>
      <c r="AJ274">
        <v>0</v>
      </c>
      <c r="AK274">
        <v>12.6</v>
      </c>
      <c r="AL274">
        <v>0</v>
      </c>
      <c r="AM274">
        <v>0</v>
      </c>
      <c r="AN274" t="s">
        <v>197</v>
      </c>
      <c r="AO274">
        <v>100</v>
      </c>
      <c r="AP274" t="s">
        <v>197</v>
      </c>
      <c r="AQ274" t="s">
        <v>200</v>
      </c>
      <c r="AR274">
        <v>1</v>
      </c>
      <c r="AS274">
        <v>0</v>
      </c>
      <c r="AT274" t="s">
        <v>620</v>
      </c>
      <c r="AU274" t="s">
        <v>620</v>
      </c>
      <c r="AV274" t="s">
        <v>202</v>
      </c>
      <c r="AW274" t="s">
        <v>203</v>
      </c>
      <c r="AX274" t="s">
        <v>203</v>
      </c>
      <c r="AY274" t="s">
        <v>203</v>
      </c>
      <c r="AZ274" t="s">
        <v>203</v>
      </c>
      <c r="BA274" t="s">
        <v>203</v>
      </c>
      <c r="BB274" t="s">
        <v>203</v>
      </c>
      <c r="BC274" t="s">
        <v>203</v>
      </c>
      <c r="BD274" t="s">
        <v>203</v>
      </c>
      <c r="BE274" t="s">
        <v>203</v>
      </c>
      <c r="BF274">
        <v>0</v>
      </c>
      <c r="BG274">
        <v>0.2</v>
      </c>
      <c r="BH274">
        <v>50</v>
      </c>
      <c r="BI274">
        <v>0</v>
      </c>
      <c r="BJ274" t="s">
        <v>198</v>
      </c>
      <c r="BK274" t="s">
        <v>198</v>
      </c>
      <c r="BL274" t="s">
        <v>198</v>
      </c>
      <c r="BM274" t="s">
        <v>198</v>
      </c>
      <c r="BN274" t="s">
        <v>198</v>
      </c>
      <c r="BO274" t="s">
        <v>198</v>
      </c>
      <c r="BP274" t="s">
        <v>198</v>
      </c>
      <c r="BQ274" t="s">
        <v>198</v>
      </c>
      <c r="BR274" t="s">
        <v>198</v>
      </c>
      <c r="BS274" t="s">
        <v>198</v>
      </c>
      <c r="BT274" t="s">
        <v>198</v>
      </c>
      <c r="BU274" t="s">
        <v>198</v>
      </c>
      <c r="BV274" t="s">
        <v>198</v>
      </c>
      <c r="BW274" t="s">
        <v>198</v>
      </c>
      <c r="BX274" t="s">
        <v>198</v>
      </c>
      <c r="BY274" t="s">
        <v>198</v>
      </c>
      <c r="BZ274" t="s">
        <v>198</v>
      </c>
      <c r="CA274" t="s">
        <v>198</v>
      </c>
      <c r="CB274" t="s">
        <v>204</v>
      </c>
      <c r="CC274" t="s">
        <v>204</v>
      </c>
      <c r="CD274" t="s">
        <v>204</v>
      </c>
      <c r="CE274" t="s">
        <v>204</v>
      </c>
      <c r="CF274" t="s">
        <v>204</v>
      </c>
      <c r="CG274" t="s">
        <v>204</v>
      </c>
      <c r="CH274" t="s">
        <v>204</v>
      </c>
      <c r="CI274" t="s">
        <v>204</v>
      </c>
      <c r="CJ274" t="s">
        <v>204</v>
      </c>
      <c r="CK274" t="s">
        <v>204</v>
      </c>
      <c r="CL274" t="s">
        <v>204</v>
      </c>
      <c r="CM274" t="s">
        <v>204</v>
      </c>
      <c r="CN274" t="s">
        <v>203</v>
      </c>
      <c r="CO274" t="s">
        <v>203</v>
      </c>
      <c r="CP274" t="s">
        <v>203</v>
      </c>
      <c r="CQ274" t="s">
        <v>203</v>
      </c>
      <c r="CR274" t="s">
        <v>203</v>
      </c>
      <c r="CS274" t="s">
        <v>203</v>
      </c>
      <c r="CT274" t="s">
        <v>203</v>
      </c>
      <c r="CU274" t="s">
        <v>203</v>
      </c>
      <c r="CV274">
        <v>0</v>
      </c>
      <c r="CW274">
        <v>0</v>
      </c>
      <c r="CX274" t="s">
        <v>198</v>
      </c>
      <c r="CY274" t="s">
        <v>198</v>
      </c>
      <c r="CZ274" t="s">
        <v>198</v>
      </c>
      <c r="DA274" t="s">
        <v>198</v>
      </c>
      <c r="DB274" t="s">
        <v>198</v>
      </c>
      <c r="DC274">
        <v>0</v>
      </c>
      <c r="DD274">
        <v>0</v>
      </c>
      <c r="DE274">
        <v>0</v>
      </c>
      <c r="DF274">
        <v>0</v>
      </c>
      <c r="DG274">
        <v>-35.3631166</v>
      </c>
      <c r="DH274">
        <v>149.1639735</v>
      </c>
      <c r="DI274" t="s">
        <v>360</v>
      </c>
      <c r="DJ274">
        <v>1.2</v>
      </c>
      <c r="DK274">
        <v>2</v>
      </c>
      <c r="DL274">
        <v>159.8</v>
      </c>
      <c r="DM274">
        <v>0</v>
      </c>
      <c r="DN274">
        <v>6</v>
      </c>
      <c r="DO274">
        <v>10</v>
      </c>
      <c r="DP274">
        <v>0</v>
      </c>
      <c r="DQ274">
        <v>255</v>
      </c>
      <c r="DR274">
        <v>255</v>
      </c>
      <c r="DS274">
        <v>255</v>
      </c>
      <c r="DT274">
        <v>255</v>
      </c>
      <c r="DU274">
        <v>255</v>
      </c>
      <c r="DV274">
        <v>255</v>
      </c>
      <c r="DW274">
        <v>255</v>
      </c>
      <c r="DX274" t="s">
        <v>206</v>
      </c>
      <c r="DY274" t="s">
        <v>206</v>
      </c>
      <c r="DZ274" t="s">
        <v>207</v>
      </c>
      <c r="EA274" t="s">
        <v>198</v>
      </c>
      <c r="EB274" t="s">
        <v>198</v>
      </c>
      <c r="EC274" t="s">
        <v>198</v>
      </c>
      <c r="ED274">
        <v>0</v>
      </c>
      <c r="EE274">
        <v>0</v>
      </c>
      <c r="EF274">
        <v>0</v>
      </c>
      <c r="EG274">
        <v>0</v>
      </c>
      <c r="EH274">
        <v>255</v>
      </c>
      <c r="EI274">
        <v>255</v>
      </c>
      <c r="EJ274">
        <v>255</v>
      </c>
      <c r="EK274">
        <v>255</v>
      </c>
      <c r="EL274">
        <v>255</v>
      </c>
      <c r="EM274">
        <v>255</v>
      </c>
      <c r="EN274">
        <v>255</v>
      </c>
      <c r="EO274">
        <v>255</v>
      </c>
      <c r="EP274">
        <v>255</v>
      </c>
      <c r="EQ274">
        <v>255</v>
      </c>
      <c r="ER274" t="s">
        <v>208</v>
      </c>
      <c r="ES274" t="s">
        <v>209</v>
      </c>
      <c r="ET274" t="s">
        <v>209</v>
      </c>
      <c r="EU274">
        <v>0</v>
      </c>
      <c r="EV274">
        <v>16.2</v>
      </c>
      <c r="EW274">
        <v>-114.7</v>
      </c>
      <c r="EX274">
        <v>-0.2</v>
      </c>
      <c r="EY274">
        <v>0</v>
      </c>
      <c r="EZ274">
        <v>0</v>
      </c>
      <c r="FA274">
        <v>0</v>
      </c>
      <c r="FB274" t="s">
        <v>198</v>
      </c>
      <c r="FC274" t="s">
        <v>198</v>
      </c>
      <c r="FD274" t="s">
        <v>198</v>
      </c>
      <c r="FE274" t="s">
        <v>198</v>
      </c>
      <c r="FF274" t="s">
        <v>198</v>
      </c>
      <c r="FG274" t="s">
        <v>198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 t="s">
        <v>203</v>
      </c>
      <c r="FP274" t="s">
        <v>203</v>
      </c>
      <c r="FQ274" t="s">
        <v>203</v>
      </c>
      <c r="FR274" t="s">
        <v>203</v>
      </c>
      <c r="FS274" t="s">
        <v>203</v>
      </c>
      <c r="FT274" t="s">
        <v>203</v>
      </c>
      <c r="FU274" t="s">
        <v>198</v>
      </c>
      <c r="FV274" t="s">
        <v>198</v>
      </c>
      <c r="FW274" t="s">
        <v>198</v>
      </c>
      <c r="FX274" t="s">
        <v>198</v>
      </c>
      <c r="FY274" t="s">
        <v>198</v>
      </c>
      <c r="FZ274" t="s">
        <v>198</v>
      </c>
      <c r="GA274">
        <v>31.2</v>
      </c>
      <c r="GB274">
        <v>31.2</v>
      </c>
      <c r="GC274" t="s">
        <v>203</v>
      </c>
      <c r="GD274">
        <v>0</v>
      </c>
      <c r="GE274">
        <v>504</v>
      </c>
      <c r="GF274">
        <v>0</v>
      </c>
      <c r="GG274">
        <v>0</v>
      </c>
      <c r="GH274">
        <v>0</v>
      </c>
      <c r="GI274">
        <v>1</v>
      </c>
      <c r="GJ274">
        <v>1</v>
      </c>
      <c r="GK274">
        <v>0</v>
      </c>
      <c r="GL274" t="s">
        <v>198</v>
      </c>
      <c r="GM274" t="s">
        <v>198</v>
      </c>
      <c r="GN274" t="s">
        <v>198</v>
      </c>
    </row>
    <row r="275" spans="1:196">
      <c r="A275" s="19">
        <v>46316.90706414352</v>
      </c>
      <c r="B275">
        <v>0</v>
      </c>
      <c r="C275">
        <v>0</v>
      </c>
      <c r="D275">
        <v>277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584.2</v>
      </c>
      <c r="N275">
        <v>-0.5</v>
      </c>
      <c r="O275">
        <v>0</v>
      </c>
      <c r="P275">
        <v>0</v>
      </c>
      <c r="Q275">
        <v>0</v>
      </c>
      <c r="R275">
        <v>0</v>
      </c>
      <c r="S275">
        <v>115.6</v>
      </c>
      <c r="T275" t="s">
        <v>485</v>
      </c>
      <c r="U275">
        <v>115.7</v>
      </c>
      <c r="V275">
        <v>1762727256586.8</v>
      </c>
      <c r="W275">
        <v>1</v>
      </c>
      <c r="X275" t="s">
        <v>197</v>
      </c>
      <c r="Y275">
        <v>0</v>
      </c>
      <c r="Z275">
        <v>98</v>
      </c>
      <c r="AA275">
        <v>278</v>
      </c>
      <c r="AB275" t="s">
        <v>197</v>
      </c>
      <c r="AC275" t="s">
        <v>198</v>
      </c>
      <c r="AD275" t="s">
        <v>199</v>
      </c>
      <c r="AE275">
        <v>0</v>
      </c>
      <c r="AF275">
        <v>45</v>
      </c>
      <c r="AG275">
        <v>255</v>
      </c>
      <c r="AH275">
        <v>0</v>
      </c>
      <c r="AI275">
        <v>0</v>
      </c>
      <c r="AJ275">
        <v>0</v>
      </c>
      <c r="AK275">
        <v>12.6</v>
      </c>
      <c r="AL275">
        <v>0</v>
      </c>
      <c r="AM275">
        <v>0</v>
      </c>
      <c r="AN275" t="s">
        <v>197</v>
      </c>
      <c r="AO275">
        <v>100</v>
      </c>
      <c r="AP275" t="s">
        <v>197</v>
      </c>
      <c r="AQ275" t="s">
        <v>200</v>
      </c>
      <c r="AR275">
        <v>1</v>
      </c>
      <c r="AS275">
        <v>0</v>
      </c>
      <c r="AT275" t="s">
        <v>621</v>
      </c>
      <c r="AU275" t="s">
        <v>621</v>
      </c>
      <c r="AV275" t="s">
        <v>202</v>
      </c>
      <c r="AW275" t="s">
        <v>203</v>
      </c>
      <c r="AX275" t="s">
        <v>203</v>
      </c>
      <c r="AY275" t="s">
        <v>203</v>
      </c>
      <c r="AZ275" t="s">
        <v>203</v>
      </c>
      <c r="BA275" t="s">
        <v>203</v>
      </c>
      <c r="BB275" t="s">
        <v>203</v>
      </c>
      <c r="BC275" t="s">
        <v>203</v>
      </c>
      <c r="BD275" t="s">
        <v>203</v>
      </c>
      <c r="BE275" t="s">
        <v>203</v>
      </c>
      <c r="BF275">
        <v>0</v>
      </c>
      <c r="BG275">
        <v>0.2</v>
      </c>
      <c r="BH275">
        <v>50</v>
      </c>
      <c r="BI275">
        <v>0</v>
      </c>
      <c r="BJ275" t="s">
        <v>198</v>
      </c>
      <c r="BK275" t="s">
        <v>198</v>
      </c>
      <c r="BL275" t="s">
        <v>198</v>
      </c>
      <c r="BM275" t="s">
        <v>198</v>
      </c>
      <c r="BN275" t="s">
        <v>198</v>
      </c>
      <c r="BO275" t="s">
        <v>198</v>
      </c>
      <c r="BP275" t="s">
        <v>198</v>
      </c>
      <c r="BQ275" t="s">
        <v>198</v>
      </c>
      <c r="BR275" t="s">
        <v>198</v>
      </c>
      <c r="BS275" t="s">
        <v>198</v>
      </c>
      <c r="BT275" t="s">
        <v>198</v>
      </c>
      <c r="BU275" t="s">
        <v>198</v>
      </c>
      <c r="BV275" t="s">
        <v>198</v>
      </c>
      <c r="BW275" t="s">
        <v>198</v>
      </c>
      <c r="BX275" t="s">
        <v>198</v>
      </c>
      <c r="BY275" t="s">
        <v>198</v>
      </c>
      <c r="BZ275" t="s">
        <v>198</v>
      </c>
      <c r="CA275" t="s">
        <v>198</v>
      </c>
      <c r="CB275" t="s">
        <v>204</v>
      </c>
      <c r="CC275" t="s">
        <v>204</v>
      </c>
      <c r="CD275" t="s">
        <v>204</v>
      </c>
      <c r="CE275" t="s">
        <v>204</v>
      </c>
      <c r="CF275" t="s">
        <v>204</v>
      </c>
      <c r="CG275" t="s">
        <v>204</v>
      </c>
      <c r="CH275" t="s">
        <v>204</v>
      </c>
      <c r="CI275" t="s">
        <v>204</v>
      </c>
      <c r="CJ275" t="s">
        <v>204</v>
      </c>
      <c r="CK275" t="s">
        <v>204</v>
      </c>
      <c r="CL275" t="s">
        <v>204</v>
      </c>
      <c r="CM275" t="s">
        <v>204</v>
      </c>
      <c r="CN275" t="s">
        <v>203</v>
      </c>
      <c r="CO275" t="s">
        <v>203</v>
      </c>
      <c r="CP275" t="s">
        <v>203</v>
      </c>
      <c r="CQ275" t="s">
        <v>203</v>
      </c>
      <c r="CR275" t="s">
        <v>203</v>
      </c>
      <c r="CS275" t="s">
        <v>203</v>
      </c>
      <c r="CT275" t="s">
        <v>203</v>
      </c>
      <c r="CU275" t="s">
        <v>203</v>
      </c>
      <c r="CV275">
        <v>0</v>
      </c>
      <c r="CW275">
        <v>0</v>
      </c>
      <c r="CX275" t="s">
        <v>198</v>
      </c>
      <c r="CY275" t="s">
        <v>198</v>
      </c>
      <c r="CZ275" t="s">
        <v>198</v>
      </c>
      <c r="DA275" t="s">
        <v>198</v>
      </c>
      <c r="DB275" t="s">
        <v>198</v>
      </c>
      <c r="DC275">
        <v>0</v>
      </c>
      <c r="DD275">
        <v>0</v>
      </c>
      <c r="DE275">
        <v>0</v>
      </c>
      <c r="DF275">
        <v>0</v>
      </c>
      <c r="DG275">
        <v>-35.3631166</v>
      </c>
      <c r="DH275">
        <v>149.1639735</v>
      </c>
      <c r="DI275" t="s">
        <v>360</v>
      </c>
      <c r="DJ275">
        <v>1.2</v>
      </c>
      <c r="DK275">
        <v>2</v>
      </c>
      <c r="DL275">
        <v>159.8</v>
      </c>
      <c r="DM275">
        <v>0</v>
      </c>
      <c r="DN275">
        <v>6</v>
      </c>
      <c r="DO275">
        <v>10</v>
      </c>
      <c r="DP275">
        <v>0</v>
      </c>
      <c r="DQ275">
        <v>255</v>
      </c>
      <c r="DR275">
        <v>255</v>
      </c>
      <c r="DS275">
        <v>255</v>
      </c>
      <c r="DT275">
        <v>255</v>
      </c>
      <c r="DU275">
        <v>255</v>
      </c>
      <c r="DV275">
        <v>255</v>
      </c>
      <c r="DW275">
        <v>255</v>
      </c>
      <c r="DX275" t="s">
        <v>206</v>
      </c>
      <c r="DY275" t="s">
        <v>206</v>
      </c>
      <c r="DZ275" t="s">
        <v>207</v>
      </c>
      <c r="EA275" t="s">
        <v>198</v>
      </c>
      <c r="EB275" t="s">
        <v>198</v>
      </c>
      <c r="EC275" t="s">
        <v>198</v>
      </c>
      <c r="ED275">
        <v>0</v>
      </c>
      <c r="EE275">
        <v>0</v>
      </c>
      <c r="EF275">
        <v>0</v>
      </c>
      <c r="EG275">
        <v>0</v>
      </c>
      <c r="EH275">
        <v>255</v>
      </c>
      <c r="EI275">
        <v>255</v>
      </c>
      <c r="EJ275">
        <v>255</v>
      </c>
      <c r="EK275">
        <v>255</v>
      </c>
      <c r="EL275">
        <v>255</v>
      </c>
      <c r="EM275">
        <v>255</v>
      </c>
      <c r="EN275">
        <v>255</v>
      </c>
      <c r="EO275">
        <v>255</v>
      </c>
      <c r="EP275">
        <v>255</v>
      </c>
      <c r="EQ275">
        <v>255</v>
      </c>
      <c r="ER275" t="s">
        <v>208</v>
      </c>
      <c r="ES275" t="s">
        <v>209</v>
      </c>
      <c r="ET275" t="s">
        <v>209</v>
      </c>
      <c r="EU275">
        <v>0</v>
      </c>
      <c r="EV275">
        <v>16.2</v>
      </c>
      <c r="EW275">
        <v>-114.7</v>
      </c>
      <c r="EX275">
        <v>-0.2</v>
      </c>
      <c r="EY275">
        <v>0</v>
      </c>
      <c r="EZ275">
        <v>0</v>
      </c>
      <c r="FA275">
        <v>0</v>
      </c>
      <c r="FB275" t="s">
        <v>198</v>
      </c>
      <c r="FC275" t="s">
        <v>198</v>
      </c>
      <c r="FD275" t="s">
        <v>198</v>
      </c>
      <c r="FE275" t="s">
        <v>198</v>
      </c>
      <c r="FF275" t="s">
        <v>198</v>
      </c>
      <c r="FG275" t="s">
        <v>198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 t="s">
        <v>203</v>
      </c>
      <c r="FP275" t="s">
        <v>203</v>
      </c>
      <c r="FQ275" t="s">
        <v>203</v>
      </c>
      <c r="FR275" t="s">
        <v>203</v>
      </c>
      <c r="FS275" t="s">
        <v>203</v>
      </c>
      <c r="FT275" t="s">
        <v>203</v>
      </c>
      <c r="FU275" t="s">
        <v>198</v>
      </c>
      <c r="FV275" t="s">
        <v>198</v>
      </c>
      <c r="FW275" t="s">
        <v>198</v>
      </c>
      <c r="FX275" t="s">
        <v>198</v>
      </c>
      <c r="FY275" t="s">
        <v>198</v>
      </c>
      <c r="FZ275" t="s">
        <v>198</v>
      </c>
      <c r="GA275">
        <v>31.2</v>
      </c>
      <c r="GB275">
        <v>31.2</v>
      </c>
      <c r="GC275" t="s">
        <v>203</v>
      </c>
      <c r="GD275">
        <v>0</v>
      </c>
      <c r="GE275">
        <v>504</v>
      </c>
      <c r="GF275">
        <v>0</v>
      </c>
      <c r="GG275">
        <v>0</v>
      </c>
      <c r="GH275">
        <v>0</v>
      </c>
      <c r="GI275">
        <v>1</v>
      </c>
      <c r="GJ275">
        <v>1</v>
      </c>
      <c r="GK275">
        <v>0</v>
      </c>
      <c r="GL275" t="s">
        <v>198</v>
      </c>
      <c r="GM275" t="s">
        <v>198</v>
      </c>
      <c r="GN275" t="s">
        <v>198</v>
      </c>
    </row>
    <row r="276" spans="1:196">
      <c r="A276" s="19">
        <v>46316.90707572917</v>
      </c>
      <c r="B276">
        <v>0</v>
      </c>
      <c r="C276">
        <v>0</v>
      </c>
      <c r="D276">
        <v>277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584.2</v>
      </c>
      <c r="N276">
        <v>-0.5</v>
      </c>
      <c r="O276">
        <v>0</v>
      </c>
      <c r="P276">
        <v>0</v>
      </c>
      <c r="Q276">
        <v>0</v>
      </c>
      <c r="R276">
        <v>0</v>
      </c>
      <c r="S276">
        <v>115.6</v>
      </c>
      <c r="T276" t="s">
        <v>485</v>
      </c>
      <c r="U276">
        <v>115.7</v>
      </c>
      <c r="V276">
        <v>1762727256586.8</v>
      </c>
      <c r="W276">
        <v>1</v>
      </c>
      <c r="X276" t="s">
        <v>197</v>
      </c>
      <c r="Y276">
        <v>0</v>
      </c>
      <c r="Z276">
        <v>98</v>
      </c>
      <c r="AA276">
        <v>278</v>
      </c>
      <c r="AB276" t="s">
        <v>197</v>
      </c>
      <c r="AC276" t="s">
        <v>198</v>
      </c>
      <c r="AD276" t="s">
        <v>199</v>
      </c>
      <c r="AE276">
        <v>0</v>
      </c>
      <c r="AF276">
        <v>45</v>
      </c>
      <c r="AG276">
        <v>255</v>
      </c>
      <c r="AH276">
        <v>0</v>
      </c>
      <c r="AI276">
        <v>0</v>
      </c>
      <c r="AJ276">
        <v>0</v>
      </c>
      <c r="AK276">
        <v>12.6</v>
      </c>
      <c r="AL276">
        <v>0</v>
      </c>
      <c r="AM276">
        <v>0</v>
      </c>
      <c r="AN276" t="s">
        <v>197</v>
      </c>
      <c r="AO276">
        <v>100</v>
      </c>
      <c r="AP276" t="s">
        <v>197</v>
      </c>
      <c r="AQ276" t="s">
        <v>200</v>
      </c>
      <c r="AR276">
        <v>1</v>
      </c>
      <c r="AS276">
        <v>0</v>
      </c>
      <c r="AT276" t="s">
        <v>622</v>
      </c>
      <c r="AU276" t="s">
        <v>622</v>
      </c>
      <c r="AV276" t="s">
        <v>202</v>
      </c>
      <c r="AW276" t="s">
        <v>203</v>
      </c>
      <c r="AX276" t="s">
        <v>203</v>
      </c>
      <c r="AY276" t="s">
        <v>203</v>
      </c>
      <c r="AZ276" t="s">
        <v>203</v>
      </c>
      <c r="BA276" t="s">
        <v>203</v>
      </c>
      <c r="BB276" t="s">
        <v>203</v>
      </c>
      <c r="BC276" t="s">
        <v>203</v>
      </c>
      <c r="BD276" t="s">
        <v>203</v>
      </c>
      <c r="BE276" t="s">
        <v>203</v>
      </c>
      <c r="BF276">
        <v>0</v>
      </c>
      <c r="BG276">
        <v>0.2</v>
      </c>
      <c r="BH276">
        <v>50</v>
      </c>
      <c r="BI276">
        <v>0</v>
      </c>
      <c r="BJ276" t="s">
        <v>198</v>
      </c>
      <c r="BK276" t="s">
        <v>198</v>
      </c>
      <c r="BL276" t="s">
        <v>198</v>
      </c>
      <c r="BM276" t="s">
        <v>198</v>
      </c>
      <c r="BN276" t="s">
        <v>198</v>
      </c>
      <c r="BO276" t="s">
        <v>198</v>
      </c>
      <c r="BP276" t="s">
        <v>198</v>
      </c>
      <c r="BQ276" t="s">
        <v>198</v>
      </c>
      <c r="BR276" t="s">
        <v>198</v>
      </c>
      <c r="BS276" t="s">
        <v>198</v>
      </c>
      <c r="BT276" t="s">
        <v>198</v>
      </c>
      <c r="BU276" t="s">
        <v>198</v>
      </c>
      <c r="BV276" t="s">
        <v>198</v>
      </c>
      <c r="BW276" t="s">
        <v>198</v>
      </c>
      <c r="BX276" t="s">
        <v>198</v>
      </c>
      <c r="BY276" t="s">
        <v>198</v>
      </c>
      <c r="BZ276" t="s">
        <v>198</v>
      </c>
      <c r="CA276" t="s">
        <v>198</v>
      </c>
      <c r="CB276" t="s">
        <v>204</v>
      </c>
      <c r="CC276" t="s">
        <v>204</v>
      </c>
      <c r="CD276" t="s">
        <v>204</v>
      </c>
      <c r="CE276" t="s">
        <v>204</v>
      </c>
      <c r="CF276" t="s">
        <v>204</v>
      </c>
      <c r="CG276" t="s">
        <v>204</v>
      </c>
      <c r="CH276" t="s">
        <v>204</v>
      </c>
      <c r="CI276" t="s">
        <v>204</v>
      </c>
      <c r="CJ276" t="s">
        <v>204</v>
      </c>
      <c r="CK276" t="s">
        <v>204</v>
      </c>
      <c r="CL276" t="s">
        <v>204</v>
      </c>
      <c r="CM276" t="s">
        <v>204</v>
      </c>
      <c r="CN276" t="s">
        <v>203</v>
      </c>
      <c r="CO276" t="s">
        <v>203</v>
      </c>
      <c r="CP276" t="s">
        <v>203</v>
      </c>
      <c r="CQ276" t="s">
        <v>203</v>
      </c>
      <c r="CR276" t="s">
        <v>203</v>
      </c>
      <c r="CS276" t="s">
        <v>203</v>
      </c>
      <c r="CT276" t="s">
        <v>203</v>
      </c>
      <c r="CU276" t="s">
        <v>203</v>
      </c>
      <c r="CV276">
        <v>0</v>
      </c>
      <c r="CW276">
        <v>0</v>
      </c>
      <c r="CX276" t="s">
        <v>198</v>
      </c>
      <c r="CY276" t="s">
        <v>198</v>
      </c>
      <c r="CZ276" t="s">
        <v>198</v>
      </c>
      <c r="DA276" t="s">
        <v>198</v>
      </c>
      <c r="DB276" t="s">
        <v>198</v>
      </c>
      <c r="DC276">
        <v>0</v>
      </c>
      <c r="DD276">
        <v>0</v>
      </c>
      <c r="DE276">
        <v>0</v>
      </c>
      <c r="DF276">
        <v>0</v>
      </c>
      <c r="DG276">
        <v>-35.3631166</v>
      </c>
      <c r="DH276">
        <v>149.1639735</v>
      </c>
      <c r="DI276" t="s">
        <v>360</v>
      </c>
      <c r="DJ276">
        <v>1.2</v>
      </c>
      <c r="DK276">
        <v>2</v>
      </c>
      <c r="DL276">
        <v>159.8</v>
      </c>
      <c r="DM276">
        <v>0</v>
      </c>
      <c r="DN276">
        <v>6</v>
      </c>
      <c r="DO276">
        <v>10</v>
      </c>
      <c r="DP276">
        <v>0</v>
      </c>
      <c r="DQ276">
        <v>255</v>
      </c>
      <c r="DR276">
        <v>255</v>
      </c>
      <c r="DS276">
        <v>255</v>
      </c>
      <c r="DT276">
        <v>255</v>
      </c>
      <c r="DU276">
        <v>255</v>
      </c>
      <c r="DV276">
        <v>255</v>
      </c>
      <c r="DW276">
        <v>255</v>
      </c>
      <c r="DX276" t="s">
        <v>206</v>
      </c>
      <c r="DY276" t="s">
        <v>206</v>
      </c>
      <c r="DZ276" t="s">
        <v>207</v>
      </c>
      <c r="EA276" t="s">
        <v>198</v>
      </c>
      <c r="EB276" t="s">
        <v>198</v>
      </c>
      <c r="EC276" t="s">
        <v>198</v>
      </c>
      <c r="ED276">
        <v>0</v>
      </c>
      <c r="EE276">
        <v>0</v>
      </c>
      <c r="EF276">
        <v>0</v>
      </c>
      <c r="EG276">
        <v>0</v>
      </c>
      <c r="EH276">
        <v>255</v>
      </c>
      <c r="EI276">
        <v>255</v>
      </c>
      <c r="EJ276">
        <v>255</v>
      </c>
      <c r="EK276">
        <v>255</v>
      </c>
      <c r="EL276">
        <v>255</v>
      </c>
      <c r="EM276">
        <v>255</v>
      </c>
      <c r="EN276">
        <v>255</v>
      </c>
      <c r="EO276">
        <v>255</v>
      </c>
      <c r="EP276">
        <v>255</v>
      </c>
      <c r="EQ276">
        <v>255</v>
      </c>
      <c r="ER276" t="s">
        <v>208</v>
      </c>
      <c r="ES276" t="s">
        <v>209</v>
      </c>
      <c r="ET276" t="s">
        <v>209</v>
      </c>
      <c r="EU276">
        <v>0</v>
      </c>
      <c r="EV276">
        <v>16.2</v>
      </c>
      <c r="EW276">
        <v>-114.7</v>
      </c>
      <c r="EX276">
        <v>-0.2</v>
      </c>
      <c r="EY276">
        <v>0</v>
      </c>
      <c r="EZ276">
        <v>0</v>
      </c>
      <c r="FA276">
        <v>0</v>
      </c>
      <c r="FB276" t="s">
        <v>198</v>
      </c>
      <c r="FC276" t="s">
        <v>198</v>
      </c>
      <c r="FD276" t="s">
        <v>198</v>
      </c>
      <c r="FE276" t="s">
        <v>198</v>
      </c>
      <c r="FF276" t="s">
        <v>198</v>
      </c>
      <c r="FG276" t="s">
        <v>198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 t="s">
        <v>203</v>
      </c>
      <c r="FP276" t="s">
        <v>203</v>
      </c>
      <c r="FQ276" t="s">
        <v>203</v>
      </c>
      <c r="FR276" t="s">
        <v>203</v>
      </c>
      <c r="FS276" t="s">
        <v>203</v>
      </c>
      <c r="FT276" t="s">
        <v>203</v>
      </c>
      <c r="FU276" t="s">
        <v>198</v>
      </c>
      <c r="FV276" t="s">
        <v>198</v>
      </c>
      <c r="FW276" t="s">
        <v>198</v>
      </c>
      <c r="FX276" t="s">
        <v>198</v>
      </c>
      <c r="FY276" t="s">
        <v>198</v>
      </c>
      <c r="FZ276" t="s">
        <v>198</v>
      </c>
      <c r="GA276">
        <v>31.2</v>
      </c>
      <c r="GB276">
        <v>31.2</v>
      </c>
      <c r="GC276" t="s">
        <v>203</v>
      </c>
      <c r="GD276">
        <v>0</v>
      </c>
      <c r="GE276">
        <v>504</v>
      </c>
      <c r="GF276">
        <v>0</v>
      </c>
      <c r="GG276">
        <v>0</v>
      </c>
      <c r="GH276">
        <v>0</v>
      </c>
      <c r="GI276">
        <v>1</v>
      </c>
      <c r="GJ276">
        <v>1</v>
      </c>
      <c r="GK276">
        <v>0</v>
      </c>
      <c r="GL276" t="s">
        <v>198</v>
      </c>
      <c r="GM276" t="s">
        <v>198</v>
      </c>
      <c r="GN276" t="s">
        <v>198</v>
      </c>
    </row>
    <row r="277" spans="1:196">
      <c r="A277" s="19">
        <v>46316.90708730324</v>
      </c>
      <c r="B277">
        <v>0</v>
      </c>
      <c r="C277">
        <v>0</v>
      </c>
      <c r="D277">
        <v>277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584.2</v>
      </c>
      <c r="N277">
        <v>-0.5</v>
      </c>
      <c r="O277">
        <v>0</v>
      </c>
      <c r="P277">
        <v>0</v>
      </c>
      <c r="Q277">
        <v>0</v>
      </c>
      <c r="R277">
        <v>0</v>
      </c>
      <c r="S277">
        <v>115.6</v>
      </c>
      <c r="T277" t="s">
        <v>485</v>
      </c>
      <c r="U277">
        <v>115.7</v>
      </c>
      <c r="V277">
        <v>1762727256586.8</v>
      </c>
      <c r="W277">
        <v>1</v>
      </c>
      <c r="X277" t="s">
        <v>197</v>
      </c>
      <c r="Y277">
        <v>0</v>
      </c>
      <c r="Z277">
        <v>98</v>
      </c>
      <c r="AA277">
        <v>278</v>
      </c>
      <c r="AB277" t="s">
        <v>197</v>
      </c>
      <c r="AC277" t="s">
        <v>198</v>
      </c>
      <c r="AD277" t="s">
        <v>199</v>
      </c>
      <c r="AE277">
        <v>0</v>
      </c>
      <c r="AF277">
        <v>45</v>
      </c>
      <c r="AG277">
        <v>255</v>
      </c>
      <c r="AH277">
        <v>0</v>
      </c>
      <c r="AI277">
        <v>0</v>
      </c>
      <c r="AJ277">
        <v>0</v>
      </c>
      <c r="AK277">
        <v>12.6</v>
      </c>
      <c r="AL277">
        <v>0</v>
      </c>
      <c r="AM277">
        <v>0</v>
      </c>
      <c r="AN277" t="s">
        <v>197</v>
      </c>
      <c r="AO277">
        <v>100</v>
      </c>
      <c r="AP277" t="s">
        <v>197</v>
      </c>
      <c r="AQ277" t="s">
        <v>200</v>
      </c>
      <c r="AR277">
        <v>1</v>
      </c>
      <c r="AS277">
        <v>0</v>
      </c>
      <c r="AT277" t="s">
        <v>623</v>
      </c>
      <c r="AU277" t="s">
        <v>623</v>
      </c>
      <c r="AV277" t="s">
        <v>202</v>
      </c>
      <c r="AW277" t="s">
        <v>203</v>
      </c>
      <c r="AX277" t="s">
        <v>203</v>
      </c>
      <c r="AY277" t="s">
        <v>203</v>
      </c>
      <c r="AZ277" t="s">
        <v>203</v>
      </c>
      <c r="BA277" t="s">
        <v>203</v>
      </c>
      <c r="BB277" t="s">
        <v>203</v>
      </c>
      <c r="BC277" t="s">
        <v>203</v>
      </c>
      <c r="BD277" t="s">
        <v>203</v>
      </c>
      <c r="BE277" t="s">
        <v>203</v>
      </c>
      <c r="BF277">
        <v>0</v>
      </c>
      <c r="BG277">
        <v>0.2</v>
      </c>
      <c r="BH277">
        <v>50</v>
      </c>
      <c r="BI277">
        <v>0</v>
      </c>
      <c r="BJ277" t="s">
        <v>198</v>
      </c>
      <c r="BK277" t="s">
        <v>198</v>
      </c>
      <c r="BL277" t="s">
        <v>198</v>
      </c>
      <c r="BM277" t="s">
        <v>198</v>
      </c>
      <c r="BN277" t="s">
        <v>198</v>
      </c>
      <c r="BO277" t="s">
        <v>198</v>
      </c>
      <c r="BP277" t="s">
        <v>198</v>
      </c>
      <c r="BQ277" t="s">
        <v>198</v>
      </c>
      <c r="BR277" t="s">
        <v>198</v>
      </c>
      <c r="BS277" t="s">
        <v>198</v>
      </c>
      <c r="BT277" t="s">
        <v>198</v>
      </c>
      <c r="BU277" t="s">
        <v>198</v>
      </c>
      <c r="BV277" t="s">
        <v>198</v>
      </c>
      <c r="BW277" t="s">
        <v>198</v>
      </c>
      <c r="BX277" t="s">
        <v>198</v>
      </c>
      <c r="BY277" t="s">
        <v>198</v>
      </c>
      <c r="BZ277" t="s">
        <v>198</v>
      </c>
      <c r="CA277" t="s">
        <v>198</v>
      </c>
      <c r="CB277" t="s">
        <v>204</v>
      </c>
      <c r="CC277" t="s">
        <v>204</v>
      </c>
      <c r="CD277" t="s">
        <v>204</v>
      </c>
      <c r="CE277" t="s">
        <v>204</v>
      </c>
      <c r="CF277" t="s">
        <v>204</v>
      </c>
      <c r="CG277" t="s">
        <v>204</v>
      </c>
      <c r="CH277" t="s">
        <v>204</v>
      </c>
      <c r="CI277" t="s">
        <v>204</v>
      </c>
      <c r="CJ277" t="s">
        <v>204</v>
      </c>
      <c r="CK277" t="s">
        <v>204</v>
      </c>
      <c r="CL277" t="s">
        <v>204</v>
      </c>
      <c r="CM277" t="s">
        <v>204</v>
      </c>
      <c r="CN277" t="s">
        <v>203</v>
      </c>
      <c r="CO277" t="s">
        <v>203</v>
      </c>
      <c r="CP277" t="s">
        <v>203</v>
      </c>
      <c r="CQ277" t="s">
        <v>203</v>
      </c>
      <c r="CR277" t="s">
        <v>203</v>
      </c>
      <c r="CS277" t="s">
        <v>203</v>
      </c>
      <c r="CT277" t="s">
        <v>203</v>
      </c>
      <c r="CU277" t="s">
        <v>203</v>
      </c>
      <c r="CV277">
        <v>0</v>
      </c>
      <c r="CW277">
        <v>0</v>
      </c>
      <c r="CX277" t="s">
        <v>198</v>
      </c>
      <c r="CY277" t="s">
        <v>198</v>
      </c>
      <c r="CZ277" t="s">
        <v>198</v>
      </c>
      <c r="DA277" t="s">
        <v>198</v>
      </c>
      <c r="DB277" t="s">
        <v>198</v>
      </c>
      <c r="DC277">
        <v>0</v>
      </c>
      <c r="DD277">
        <v>0</v>
      </c>
      <c r="DE277">
        <v>0</v>
      </c>
      <c r="DF277">
        <v>0</v>
      </c>
      <c r="DG277">
        <v>-35.3631166</v>
      </c>
      <c r="DH277">
        <v>149.1639735</v>
      </c>
      <c r="DI277" t="s">
        <v>360</v>
      </c>
      <c r="DJ277">
        <v>1.2</v>
      </c>
      <c r="DK277">
        <v>2</v>
      </c>
      <c r="DL277">
        <v>159.8</v>
      </c>
      <c r="DM277">
        <v>0</v>
      </c>
      <c r="DN277">
        <v>6</v>
      </c>
      <c r="DO277">
        <v>10</v>
      </c>
      <c r="DP277">
        <v>0</v>
      </c>
      <c r="DQ277">
        <v>255</v>
      </c>
      <c r="DR277">
        <v>255</v>
      </c>
      <c r="DS277">
        <v>255</v>
      </c>
      <c r="DT277">
        <v>255</v>
      </c>
      <c r="DU277">
        <v>255</v>
      </c>
      <c r="DV277">
        <v>255</v>
      </c>
      <c r="DW277">
        <v>255</v>
      </c>
      <c r="DX277" t="s">
        <v>206</v>
      </c>
      <c r="DY277" t="s">
        <v>206</v>
      </c>
      <c r="DZ277" t="s">
        <v>207</v>
      </c>
      <c r="EA277" t="s">
        <v>198</v>
      </c>
      <c r="EB277" t="s">
        <v>198</v>
      </c>
      <c r="EC277" t="s">
        <v>198</v>
      </c>
      <c r="ED277">
        <v>0</v>
      </c>
      <c r="EE277">
        <v>0</v>
      </c>
      <c r="EF277">
        <v>0</v>
      </c>
      <c r="EG277">
        <v>0</v>
      </c>
      <c r="EH277">
        <v>255</v>
      </c>
      <c r="EI277">
        <v>255</v>
      </c>
      <c r="EJ277">
        <v>255</v>
      </c>
      <c r="EK277">
        <v>255</v>
      </c>
      <c r="EL277">
        <v>255</v>
      </c>
      <c r="EM277">
        <v>255</v>
      </c>
      <c r="EN277">
        <v>255</v>
      </c>
      <c r="EO277">
        <v>255</v>
      </c>
      <c r="EP277">
        <v>255</v>
      </c>
      <c r="EQ277">
        <v>255</v>
      </c>
      <c r="ER277" t="s">
        <v>208</v>
      </c>
      <c r="ES277" t="s">
        <v>209</v>
      </c>
      <c r="ET277" t="s">
        <v>209</v>
      </c>
      <c r="EU277">
        <v>0</v>
      </c>
      <c r="EV277">
        <v>16.2</v>
      </c>
      <c r="EW277">
        <v>-114.7</v>
      </c>
      <c r="EX277">
        <v>-0.2</v>
      </c>
      <c r="EY277">
        <v>0</v>
      </c>
      <c r="EZ277">
        <v>0</v>
      </c>
      <c r="FA277">
        <v>0</v>
      </c>
      <c r="FB277" t="s">
        <v>198</v>
      </c>
      <c r="FC277" t="s">
        <v>198</v>
      </c>
      <c r="FD277" t="s">
        <v>198</v>
      </c>
      <c r="FE277" t="s">
        <v>198</v>
      </c>
      <c r="FF277" t="s">
        <v>198</v>
      </c>
      <c r="FG277" t="s">
        <v>198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 t="s">
        <v>203</v>
      </c>
      <c r="FP277" t="s">
        <v>203</v>
      </c>
      <c r="FQ277" t="s">
        <v>203</v>
      </c>
      <c r="FR277" t="s">
        <v>203</v>
      </c>
      <c r="FS277" t="s">
        <v>203</v>
      </c>
      <c r="FT277" t="s">
        <v>203</v>
      </c>
      <c r="FU277" t="s">
        <v>198</v>
      </c>
      <c r="FV277" t="s">
        <v>198</v>
      </c>
      <c r="FW277" t="s">
        <v>198</v>
      </c>
      <c r="FX277" t="s">
        <v>198</v>
      </c>
      <c r="FY277" t="s">
        <v>198</v>
      </c>
      <c r="FZ277" t="s">
        <v>198</v>
      </c>
      <c r="GA277">
        <v>31.2</v>
      </c>
      <c r="GB277">
        <v>31.2</v>
      </c>
      <c r="GC277" t="s">
        <v>203</v>
      </c>
      <c r="GD277">
        <v>0</v>
      </c>
      <c r="GE277">
        <v>504</v>
      </c>
      <c r="GF277">
        <v>0</v>
      </c>
      <c r="GG277">
        <v>0</v>
      </c>
      <c r="GH277">
        <v>0</v>
      </c>
      <c r="GI277">
        <v>1</v>
      </c>
      <c r="GJ277">
        <v>1</v>
      </c>
      <c r="GK277">
        <v>0</v>
      </c>
      <c r="GL277" t="s">
        <v>198</v>
      </c>
      <c r="GM277" t="s">
        <v>198</v>
      </c>
      <c r="GN277" t="s">
        <v>198</v>
      </c>
    </row>
    <row r="278" spans="1:196">
      <c r="A278" s="19">
        <v>46316.90709887732</v>
      </c>
      <c r="B278">
        <v>0</v>
      </c>
      <c r="C278">
        <v>0</v>
      </c>
      <c r="D278">
        <v>277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584.2</v>
      </c>
      <c r="N278">
        <v>-0.5</v>
      </c>
      <c r="O278">
        <v>0</v>
      </c>
      <c r="P278">
        <v>0</v>
      </c>
      <c r="Q278">
        <v>0</v>
      </c>
      <c r="R278">
        <v>0</v>
      </c>
      <c r="S278">
        <v>115.6</v>
      </c>
      <c r="T278" t="s">
        <v>485</v>
      </c>
      <c r="U278">
        <v>115.7</v>
      </c>
      <c r="V278">
        <v>1762727256586.8</v>
      </c>
      <c r="W278">
        <v>1</v>
      </c>
      <c r="X278" t="s">
        <v>197</v>
      </c>
      <c r="Y278">
        <v>0</v>
      </c>
      <c r="Z278">
        <v>98</v>
      </c>
      <c r="AA278">
        <v>278</v>
      </c>
      <c r="AB278" t="s">
        <v>197</v>
      </c>
      <c r="AC278" t="s">
        <v>198</v>
      </c>
      <c r="AD278" t="s">
        <v>199</v>
      </c>
      <c r="AE278">
        <v>0</v>
      </c>
      <c r="AF278">
        <v>45</v>
      </c>
      <c r="AG278">
        <v>255</v>
      </c>
      <c r="AH278">
        <v>0</v>
      </c>
      <c r="AI278">
        <v>0</v>
      </c>
      <c r="AJ278">
        <v>0</v>
      </c>
      <c r="AK278">
        <v>12.6</v>
      </c>
      <c r="AL278">
        <v>0</v>
      </c>
      <c r="AM278">
        <v>0</v>
      </c>
      <c r="AN278" t="s">
        <v>197</v>
      </c>
      <c r="AO278">
        <v>100</v>
      </c>
      <c r="AP278" t="s">
        <v>197</v>
      </c>
      <c r="AQ278" t="s">
        <v>200</v>
      </c>
      <c r="AR278">
        <v>1</v>
      </c>
      <c r="AS278">
        <v>0</v>
      </c>
      <c r="AT278" t="s">
        <v>624</v>
      </c>
      <c r="AU278" t="s">
        <v>624</v>
      </c>
      <c r="AV278" t="s">
        <v>202</v>
      </c>
      <c r="AW278" t="s">
        <v>203</v>
      </c>
      <c r="AX278" t="s">
        <v>203</v>
      </c>
      <c r="AY278" t="s">
        <v>203</v>
      </c>
      <c r="AZ278" t="s">
        <v>203</v>
      </c>
      <c r="BA278" t="s">
        <v>203</v>
      </c>
      <c r="BB278" t="s">
        <v>203</v>
      </c>
      <c r="BC278" t="s">
        <v>203</v>
      </c>
      <c r="BD278" t="s">
        <v>203</v>
      </c>
      <c r="BE278" t="s">
        <v>203</v>
      </c>
      <c r="BF278">
        <v>0</v>
      </c>
      <c r="BG278">
        <v>0.2</v>
      </c>
      <c r="BH278">
        <v>50</v>
      </c>
      <c r="BI278">
        <v>0</v>
      </c>
      <c r="BJ278" t="s">
        <v>198</v>
      </c>
      <c r="BK278" t="s">
        <v>198</v>
      </c>
      <c r="BL278" t="s">
        <v>198</v>
      </c>
      <c r="BM278" t="s">
        <v>198</v>
      </c>
      <c r="BN278" t="s">
        <v>198</v>
      </c>
      <c r="BO278" t="s">
        <v>198</v>
      </c>
      <c r="BP278" t="s">
        <v>198</v>
      </c>
      <c r="BQ278" t="s">
        <v>198</v>
      </c>
      <c r="BR278" t="s">
        <v>198</v>
      </c>
      <c r="BS278" t="s">
        <v>198</v>
      </c>
      <c r="BT278" t="s">
        <v>198</v>
      </c>
      <c r="BU278" t="s">
        <v>198</v>
      </c>
      <c r="BV278" t="s">
        <v>198</v>
      </c>
      <c r="BW278" t="s">
        <v>198</v>
      </c>
      <c r="BX278" t="s">
        <v>198</v>
      </c>
      <c r="BY278" t="s">
        <v>198</v>
      </c>
      <c r="BZ278" t="s">
        <v>198</v>
      </c>
      <c r="CA278" t="s">
        <v>198</v>
      </c>
      <c r="CB278" t="s">
        <v>204</v>
      </c>
      <c r="CC278" t="s">
        <v>204</v>
      </c>
      <c r="CD278" t="s">
        <v>204</v>
      </c>
      <c r="CE278" t="s">
        <v>204</v>
      </c>
      <c r="CF278" t="s">
        <v>204</v>
      </c>
      <c r="CG278" t="s">
        <v>204</v>
      </c>
      <c r="CH278" t="s">
        <v>204</v>
      </c>
      <c r="CI278" t="s">
        <v>204</v>
      </c>
      <c r="CJ278" t="s">
        <v>204</v>
      </c>
      <c r="CK278" t="s">
        <v>204</v>
      </c>
      <c r="CL278" t="s">
        <v>204</v>
      </c>
      <c r="CM278" t="s">
        <v>204</v>
      </c>
      <c r="CN278" t="s">
        <v>203</v>
      </c>
      <c r="CO278" t="s">
        <v>203</v>
      </c>
      <c r="CP278" t="s">
        <v>203</v>
      </c>
      <c r="CQ278" t="s">
        <v>203</v>
      </c>
      <c r="CR278" t="s">
        <v>203</v>
      </c>
      <c r="CS278" t="s">
        <v>203</v>
      </c>
      <c r="CT278" t="s">
        <v>203</v>
      </c>
      <c r="CU278" t="s">
        <v>203</v>
      </c>
      <c r="CV278">
        <v>0</v>
      </c>
      <c r="CW278">
        <v>0</v>
      </c>
      <c r="CX278" t="s">
        <v>198</v>
      </c>
      <c r="CY278" t="s">
        <v>198</v>
      </c>
      <c r="CZ278" t="s">
        <v>198</v>
      </c>
      <c r="DA278" t="s">
        <v>198</v>
      </c>
      <c r="DB278" t="s">
        <v>198</v>
      </c>
      <c r="DC278">
        <v>0</v>
      </c>
      <c r="DD278">
        <v>0</v>
      </c>
      <c r="DE278">
        <v>0</v>
      </c>
      <c r="DF278">
        <v>0</v>
      </c>
      <c r="DG278">
        <v>-35.3631166</v>
      </c>
      <c r="DH278">
        <v>149.1639735</v>
      </c>
      <c r="DI278" t="s">
        <v>360</v>
      </c>
      <c r="DJ278">
        <v>1.2</v>
      </c>
      <c r="DK278">
        <v>2</v>
      </c>
      <c r="DL278">
        <v>159.8</v>
      </c>
      <c r="DM278">
        <v>0</v>
      </c>
      <c r="DN278">
        <v>6</v>
      </c>
      <c r="DO278">
        <v>10</v>
      </c>
      <c r="DP278">
        <v>0</v>
      </c>
      <c r="DQ278">
        <v>255</v>
      </c>
      <c r="DR278">
        <v>255</v>
      </c>
      <c r="DS278">
        <v>255</v>
      </c>
      <c r="DT278">
        <v>255</v>
      </c>
      <c r="DU278">
        <v>255</v>
      </c>
      <c r="DV278">
        <v>255</v>
      </c>
      <c r="DW278">
        <v>255</v>
      </c>
      <c r="DX278" t="s">
        <v>206</v>
      </c>
      <c r="DY278" t="s">
        <v>206</v>
      </c>
      <c r="DZ278" t="s">
        <v>207</v>
      </c>
      <c r="EA278" t="s">
        <v>198</v>
      </c>
      <c r="EB278" t="s">
        <v>198</v>
      </c>
      <c r="EC278" t="s">
        <v>198</v>
      </c>
      <c r="ED278">
        <v>0</v>
      </c>
      <c r="EE278">
        <v>0</v>
      </c>
      <c r="EF278">
        <v>0</v>
      </c>
      <c r="EG278">
        <v>0</v>
      </c>
      <c r="EH278">
        <v>255</v>
      </c>
      <c r="EI278">
        <v>255</v>
      </c>
      <c r="EJ278">
        <v>255</v>
      </c>
      <c r="EK278">
        <v>255</v>
      </c>
      <c r="EL278">
        <v>255</v>
      </c>
      <c r="EM278">
        <v>255</v>
      </c>
      <c r="EN278">
        <v>255</v>
      </c>
      <c r="EO278">
        <v>255</v>
      </c>
      <c r="EP278">
        <v>255</v>
      </c>
      <c r="EQ278">
        <v>255</v>
      </c>
      <c r="ER278" t="s">
        <v>208</v>
      </c>
      <c r="ES278" t="s">
        <v>209</v>
      </c>
      <c r="ET278" t="s">
        <v>209</v>
      </c>
      <c r="EU278">
        <v>0</v>
      </c>
      <c r="EV278">
        <v>16.2</v>
      </c>
      <c r="EW278">
        <v>-114.7</v>
      </c>
      <c r="EX278">
        <v>-0.2</v>
      </c>
      <c r="EY278">
        <v>0</v>
      </c>
      <c r="EZ278">
        <v>0</v>
      </c>
      <c r="FA278">
        <v>0</v>
      </c>
      <c r="FB278" t="s">
        <v>198</v>
      </c>
      <c r="FC278" t="s">
        <v>198</v>
      </c>
      <c r="FD278" t="s">
        <v>198</v>
      </c>
      <c r="FE278" t="s">
        <v>198</v>
      </c>
      <c r="FF278" t="s">
        <v>198</v>
      </c>
      <c r="FG278" t="s">
        <v>198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 t="s">
        <v>203</v>
      </c>
      <c r="FP278" t="s">
        <v>203</v>
      </c>
      <c r="FQ278" t="s">
        <v>203</v>
      </c>
      <c r="FR278" t="s">
        <v>203</v>
      </c>
      <c r="FS278" t="s">
        <v>203</v>
      </c>
      <c r="FT278" t="s">
        <v>203</v>
      </c>
      <c r="FU278" t="s">
        <v>198</v>
      </c>
      <c r="FV278" t="s">
        <v>198</v>
      </c>
      <c r="FW278" t="s">
        <v>198</v>
      </c>
      <c r="FX278" t="s">
        <v>198</v>
      </c>
      <c r="FY278" t="s">
        <v>198</v>
      </c>
      <c r="FZ278" t="s">
        <v>198</v>
      </c>
      <c r="GA278">
        <v>31.2</v>
      </c>
      <c r="GB278">
        <v>31.2</v>
      </c>
      <c r="GC278" t="s">
        <v>203</v>
      </c>
      <c r="GD278">
        <v>0</v>
      </c>
      <c r="GE278">
        <v>504</v>
      </c>
      <c r="GF278">
        <v>0</v>
      </c>
      <c r="GG278">
        <v>0</v>
      </c>
      <c r="GH278">
        <v>0</v>
      </c>
      <c r="GI278">
        <v>1</v>
      </c>
      <c r="GJ278">
        <v>1</v>
      </c>
      <c r="GK278">
        <v>0</v>
      </c>
      <c r="GL278" t="s">
        <v>198</v>
      </c>
      <c r="GM278" t="s">
        <v>198</v>
      </c>
      <c r="GN278" t="s">
        <v>198</v>
      </c>
    </row>
    <row r="279" spans="1:196">
      <c r="A279" s="19">
        <v>46316.90711045139</v>
      </c>
      <c r="B279">
        <v>0</v>
      </c>
      <c r="C279">
        <v>0</v>
      </c>
      <c r="D279">
        <v>277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584.2</v>
      </c>
      <c r="N279">
        <v>-0.5</v>
      </c>
      <c r="O279">
        <v>0</v>
      </c>
      <c r="P279">
        <v>0</v>
      </c>
      <c r="Q279">
        <v>0</v>
      </c>
      <c r="R279">
        <v>0</v>
      </c>
      <c r="S279">
        <v>115.6</v>
      </c>
      <c r="T279" t="s">
        <v>485</v>
      </c>
      <c r="U279">
        <v>115.7</v>
      </c>
      <c r="V279">
        <v>1762727256586.8</v>
      </c>
      <c r="W279">
        <v>1</v>
      </c>
      <c r="X279" t="s">
        <v>197</v>
      </c>
      <c r="Y279">
        <v>0</v>
      </c>
      <c r="Z279">
        <v>98</v>
      </c>
      <c r="AA279">
        <v>278</v>
      </c>
      <c r="AB279" t="s">
        <v>197</v>
      </c>
      <c r="AC279" t="s">
        <v>198</v>
      </c>
      <c r="AD279" t="s">
        <v>199</v>
      </c>
      <c r="AE279">
        <v>0</v>
      </c>
      <c r="AF279">
        <v>45</v>
      </c>
      <c r="AG279">
        <v>255</v>
      </c>
      <c r="AH279">
        <v>0</v>
      </c>
      <c r="AI279">
        <v>0</v>
      </c>
      <c r="AJ279">
        <v>0</v>
      </c>
      <c r="AK279">
        <v>12.6</v>
      </c>
      <c r="AL279">
        <v>0</v>
      </c>
      <c r="AM279">
        <v>0</v>
      </c>
      <c r="AN279" t="s">
        <v>197</v>
      </c>
      <c r="AO279">
        <v>100</v>
      </c>
      <c r="AP279" t="s">
        <v>197</v>
      </c>
      <c r="AQ279" t="s">
        <v>200</v>
      </c>
      <c r="AR279">
        <v>1</v>
      </c>
      <c r="AS279">
        <v>0</v>
      </c>
      <c r="AT279" t="s">
        <v>625</v>
      </c>
      <c r="AU279" t="s">
        <v>625</v>
      </c>
      <c r="AV279" t="s">
        <v>202</v>
      </c>
      <c r="AW279" t="s">
        <v>203</v>
      </c>
      <c r="AX279" t="s">
        <v>203</v>
      </c>
      <c r="AY279" t="s">
        <v>203</v>
      </c>
      <c r="AZ279" t="s">
        <v>203</v>
      </c>
      <c r="BA279" t="s">
        <v>203</v>
      </c>
      <c r="BB279" t="s">
        <v>203</v>
      </c>
      <c r="BC279" t="s">
        <v>203</v>
      </c>
      <c r="BD279" t="s">
        <v>203</v>
      </c>
      <c r="BE279" t="s">
        <v>203</v>
      </c>
      <c r="BF279">
        <v>0</v>
      </c>
      <c r="BG279">
        <v>0.2</v>
      </c>
      <c r="BH279">
        <v>50</v>
      </c>
      <c r="BI279">
        <v>0</v>
      </c>
      <c r="BJ279" t="s">
        <v>198</v>
      </c>
      <c r="BK279" t="s">
        <v>198</v>
      </c>
      <c r="BL279" t="s">
        <v>198</v>
      </c>
      <c r="BM279" t="s">
        <v>198</v>
      </c>
      <c r="BN279" t="s">
        <v>198</v>
      </c>
      <c r="BO279" t="s">
        <v>198</v>
      </c>
      <c r="BP279" t="s">
        <v>198</v>
      </c>
      <c r="BQ279" t="s">
        <v>198</v>
      </c>
      <c r="BR279" t="s">
        <v>198</v>
      </c>
      <c r="BS279" t="s">
        <v>198</v>
      </c>
      <c r="BT279" t="s">
        <v>198</v>
      </c>
      <c r="BU279" t="s">
        <v>198</v>
      </c>
      <c r="BV279" t="s">
        <v>198</v>
      </c>
      <c r="BW279" t="s">
        <v>198</v>
      </c>
      <c r="BX279" t="s">
        <v>198</v>
      </c>
      <c r="BY279" t="s">
        <v>198</v>
      </c>
      <c r="BZ279" t="s">
        <v>198</v>
      </c>
      <c r="CA279" t="s">
        <v>198</v>
      </c>
      <c r="CB279" t="s">
        <v>204</v>
      </c>
      <c r="CC279" t="s">
        <v>204</v>
      </c>
      <c r="CD279" t="s">
        <v>204</v>
      </c>
      <c r="CE279" t="s">
        <v>204</v>
      </c>
      <c r="CF279" t="s">
        <v>204</v>
      </c>
      <c r="CG279" t="s">
        <v>204</v>
      </c>
      <c r="CH279" t="s">
        <v>204</v>
      </c>
      <c r="CI279" t="s">
        <v>204</v>
      </c>
      <c r="CJ279" t="s">
        <v>204</v>
      </c>
      <c r="CK279" t="s">
        <v>204</v>
      </c>
      <c r="CL279" t="s">
        <v>204</v>
      </c>
      <c r="CM279" t="s">
        <v>204</v>
      </c>
      <c r="CN279" t="s">
        <v>203</v>
      </c>
      <c r="CO279" t="s">
        <v>203</v>
      </c>
      <c r="CP279" t="s">
        <v>203</v>
      </c>
      <c r="CQ279" t="s">
        <v>203</v>
      </c>
      <c r="CR279" t="s">
        <v>203</v>
      </c>
      <c r="CS279" t="s">
        <v>203</v>
      </c>
      <c r="CT279" t="s">
        <v>203</v>
      </c>
      <c r="CU279" t="s">
        <v>203</v>
      </c>
      <c r="CV279">
        <v>0</v>
      </c>
      <c r="CW279">
        <v>0</v>
      </c>
      <c r="CX279" t="s">
        <v>198</v>
      </c>
      <c r="CY279" t="s">
        <v>198</v>
      </c>
      <c r="CZ279" t="s">
        <v>198</v>
      </c>
      <c r="DA279" t="s">
        <v>198</v>
      </c>
      <c r="DB279" t="s">
        <v>198</v>
      </c>
      <c r="DC279">
        <v>0</v>
      </c>
      <c r="DD279">
        <v>0</v>
      </c>
      <c r="DE279">
        <v>0</v>
      </c>
      <c r="DF279">
        <v>0</v>
      </c>
      <c r="DG279">
        <v>-35.3631166</v>
      </c>
      <c r="DH279">
        <v>149.1639735</v>
      </c>
      <c r="DI279" t="s">
        <v>360</v>
      </c>
      <c r="DJ279">
        <v>1.2</v>
      </c>
      <c r="DK279">
        <v>2</v>
      </c>
      <c r="DL279">
        <v>159.8</v>
      </c>
      <c r="DM279">
        <v>0</v>
      </c>
      <c r="DN279">
        <v>6</v>
      </c>
      <c r="DO279">
        <v>10</v>
      </c>
      <c r="DP279">
        <v>0</v>
      </c>
      <c r="DQ279">
        <v>255</v>
      </c>
      <c r="DR279">
        <v>255</v>
      </c>
      <c r="DS279">
        <v>255</v>
      </c>
      <c r="DT279">
        <v>255</v>
      </c>
      <c r="DU279">
        <v>255</v>
      </c>
      <c r="DV279">
        <v>255</v>
      </c>
      <c r="DW279">
        <v>255</v>
      </c>
      <c r="DX279" t="s">
        <v>206</v>
      </c>
      <c r="DY279" t="s">
        <v>206</v>
      </c>
      <c r="DZ279" t="s">
        <v>207</v>
      </c>
      <c r="EA279" t="s">
        <v>198</v>
      </c>
      <c r="EB279" t="s">
        <v>198</v>
      </c>
      <c r="EC279" t="s">
        <v>198</v>
      </c>
      <c r="ED279">
        <v>0</v>
      </c>
      <c r="EE279">
        <v>0</v>
      </c>
      <c r="EF279">
        <v>0</v>
      </c>
      <c r="EG279">
        <v>0</v>
      </c>
      <c r="EH279">
        <v>255</v>
      </c>
      <c r="EI279">
        <v>255</v>
      </c>
      <c r="EJ279">
        <v>255</v>
      </c>
      <c r="EK279">
        <v>255</v>
      </c>
      <c r="EL279">
        <v>255</v>
      </c>
      <c r="EM279">
        <v>255</v>
      </c>
      <c r="EN279">
        <v>255</v>
      </c>
      <c r="EO279">
        <v>255</v>
      </c>
      <c r="EP279">
        <v>255</v>
      </c>
      <c r="EQ279">
        <v>255</v>
      </c>
      <c r="ER279" t="s">
        <v>208</v>
      </c>
      <c r="ES279" t="s">
        <v>209</v>
      </c>
      <c r="ET279" t="s">
        <v>209</v>
      </c>
      <c r="EU279">
        <v>0</v>
      </c>
      <c r="EV279">
        <v>16.2</v>
      </c>
      <c r="EW279">
        <v>-114.7</v>
      </c>
      <c r="EX279">
        <v>-0.2</v>
      </c>
      <c r="EY279">
        <v>0</v>
      </c>
      <c r="EZ279">
        <v>0</v>
      </c>
      <c r="FA279">
        <v>0</v>
      </c>
      <c r="FB279" t="s">
        <v>198</v>
      </c>
      <c r="FC279" t="s">
        <v>198</v>
      </c>
      <c r="FD279" t="s">
        <v>198</v>
      </c>
      <c r="FE279" t="s">
        <v>198</v>
      </c>
      <c r="FF279" t="s">
        <v>198</v>
      </c>
      <c r="FG279" t="s">
        <v>198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 t="s">
        <v>203</v>
      </c>
      <c r="FP279" t="s">
        <v>203</v>
      </c>
      <c r="FQ279" t="s">
        <v>203</v>
      </c>
      <c r="FR279" t="s">
        <v>203</v>
      </c>
      <c r="FS279" t="s">
        <v>203</v>
      </c>
      <c r="FT279" t="s">
        <v>203</v>
      </c>
      <c r="FU279" t="s">
        <v>198</v>
      </c>
      <c r="FV279" t="s">
        <v>198</v>
      </c>
      <c r="FW279" t="s">
        <v>198</v>
      </c>
      <c r="FX279" t="s">
        <v>198</v>
      </c>
      <c r="FY279" t="s">
        <v>198</v>
      </c>
      <c r="FZ279" t="s">
        <v>198</v>
      </c>
      <c r="GA279">
        <v>31.2</v>
      </c>
      <c r="GB279">
        <v>31.2</v>
      </c>
      <c r="GC279" t="s">
        <v>203</v>
      </c>
      <c r="GD279">
        <v>0</v>
      </c>
      <c r="GE279">
        <v>504</v>
      </c>
      <c r="GF279">
        <v>0</v>
      </c>
      <c r="GG279">
        <v>0</v>
      </c>
      <c r="GH279">
        <v>0</v>
      </c>
      <c r="GI279">
        <v>1</v>
      </c>
      <c r="GJ279">
        <v>1</v>
      </c>
      <c r="GK279">
        <v>0</v>
      </c>
      <c r="GL279" t="s">
        <v>198</v>
      </c>
      <c r="GM279" t="s">
        <v>198</v>
      </c>
      <c r="GN279" t="s">
        <v>198</v>
      </c>
    </row>
    <row r="280" spans="1:196">
      <c r="A280" s="19">
        <v>46316.90712202546</v>
      </c>
      <c r="B280">
        <v>0</v>
      </c>
      <c r="C280">
        <v>0</v>
      </c>
      <c r="D280">
        <v>277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584.2</v>
      </c>
      <c r="N280">
        <v>-0.5</v>
      </c>
      <c r="O280">
        <v>0</v>
      </c>
      <c r="P280">
        <v>0</v>
      </c>
      <c r="Q280">
        <v>0</v>
      </c>
      <c r="R280">
        <v>0</v>
      </c>
      <c r="S280">
        <v>115.6</v>
      </c>
      <c r="T280" t="s">
        <v>485</v>
      </c>
      <c r="U280">
        <v>115.7</v>
      </c>
      <c r="V280">
        <v>1762727256586.8</v>
      </c>
      <c r="W280">
        <v>1</v>
      </c>
      <c r="X280" t="s">
        <v>197</v>
      </c>
      <c r="Y280">
        <v>0</v>
      </c>
      <c r="Z280">
        <v>98</v>
      </c>
      <c r="AA280">
        <v>278</v>
      </c>
      <c r="AB280" t="s">
        <v>197</v>
      </c>
      <c r="AC280" t="s">
        <v>198</v>
      </c>
      <c r="AD280" t="s">
        <v>199</v>
      </c>
      <c r="AE280">
        <v>0</v>
      </c>
      <c r="AF280">
        <v>45</v>
      </c>
      <c r="AG280">
        <v>255</v>
      </c>
      <c r="AH280">
        <v>0</v>
      </c>
      <c r="AI280">
        <v>0</v>
      </c>
      <c r="AJ280">
        <v>0</v>
      </c>
      <c r="AK280">
        <v>12.6</v>
      </c>
      <c r="AL280">
        <v>0</v>
      </c>
      <c r="AM280">
        <v>0</v>
      </c>
      <c r="AN280" t="s">
        <v>197</v>
      </c>
      <c r="AO280">
        <v>100</v>
      </c>
      <c r="AP280" t="s">
        <v>197</v>
      </c>
      <c r="AQ280" t="s">
        <v>200</v>
      </c>
      <c r="AR280">
        <v>1</v>
      </c>
      <c r="AS280">
        <v>0</v>
      </c>
      <c r="AT280" t="s">
        <v>626</v>
      </c>
      <c r="AU280" t="s">
        <v>626</v>
      </c>
      <c r="AV280" t="s">
        <v>202</v>
      </c>
      <c r="AW280" t="s">
        <v>203</v>
      </c>
      <c r="AX280" t="s">
        <v>203</v>
      </c>
      <c r="AY280" t="s">
        <v>203</v>
      </c>
      <c r="AZ280" t="s">
        <v>203</v>
      </c>
      <c r="BA280" t="s">
        <v>203</v>
      </c>
      <c r="BB280" t="s">
        <v>203</v>
      </c>
      <c r="BC280" t="s">
        <v>203</v>
      </c>
      <c r="BD280" t="s">
        <v>203</v>
      </c>
      <c r="BE280" t="s">
        <v>203</v>
      </c>
      <c r="BF280">
        <v>0</v>
      </c>
      <c r="BG280">
        <v>0.2</v>
      </c>
      <c r="BH280">
        <v>50</v>
      </c>
      <c r="BI280">
        <v>0</v>
      </c>
      <c r="BJ280" t="s">
        <v>198</v>
      </c>
      <c r="BK280" t="s">
        <v>198</v>
      </c>
      <c r="BL280" t="s">
        <v>198</v>
      </c>
      <c r="BM280" t="s">
        <v>198</v>
      </c>
      <c r="BN280" t="s">
        <v>198</v>
      </c>
      <c r="BO280" t="s">
        <v>198</v>
      </c>
      <c r="BP280" t="s">
        <v>198</v>
      </c>
      <c r="BQ280" t="s">
        <v>198</v>
      </c>
      <c r="BR280" t="s">
        <v>198</v>
      </c>
      <c r="BS280" t="s">
        <v>198</v>
      </c>
      <c r="BT280" t="s">
        <v>198</v>
      </c>
      <c r="BU280" t="s">
        <v>198</v>
      </c>
      <c r="BV280" t="s">
        <v>198</v>
      </c>
      <c r="BW280" t="s">
        <v>198</v>
      </c>
      <c r="BX280" t="s">
        <v>198</v>
      </c>
      <c r="BY280" t="s">
        <v>198</v>
      </c>
      <c r="BZ280" t="s">
        <v>198</v>
      </c>
      <c r="CA280" t="s">
        <v>198</v>
      </c>
      <c r="CB280" t="s">
        <v>204</v>
      </c>
      <c r="CC280" t="s">
        <v>204</v>
      </c>
      <c r="CD280" t="s">
        <v>204</v>
      </c>
      <c r="CE280" t="s">
        <v>204</v>
      </c>
      <c r="CF280" t="s">
        <v>204</v>
      </c>
      <c r="CG280" t="s">
        <v>204</v>
      </c>
      <c r="CH280" t="s">
        <v>204</v>
      </c>
      <c r="CI280" t="s">
        <v>204</v>
      </c>
      <c r="CJ280" t="s">
        <v>204</v>
      </c>
      <c r="CK280" t="s">
        <v>204</v>
      </c>
      <c r="CL280" t="s">
        <v>204</v>
      </c>
      <c r="CM280" t="s">
        <v>204</v>
      </c>
      <c r="CN280" t="s">
        <v>203</v>
      </c>
      <c r="CO280" t="s">
        <v>203</v>
      </c>
      <c r="CP280" t="s">
        <v>203</v>
      </c>
      <c r="CQ280" t="s">
        <v>203</v>
      </c>
      <c r="CR280" t="s">
        <v>203</v>
      </c>
      <c r="CS280" t="s">
        <v>203</v>
      </c>
      <c r="CT280" t="s">
        <v>203</v>
      </c>
      <c r="CU280" t="s">
        <v>203</v>
      </c>
      <c r="CV280">
        <v>0</v>
      </c>
      <c r="CW280">
        <v>0</v>
      </c>
      <c r="CX280" t="s">
        <v>198</v>
      </c>
      <c r="CY280" t="s">
        <v>198</v>
      </c>
      <c r="CZ280" t="s">
        <v>198</v>
      </c>
      <c r="DA280" t="s">
        <v>198</v>
      </c>
      <c r="DB280" t="s">
        <v>198</v>
      </c>
      <c r="DC280">
        <v>0</v>
      </c>
      <c r="DD280">
        <v>0</v>
      </c>
      <c r="DE280">
        <v>0</v>
      </c>
      <c r="DF280">
        <v>0</v>
      </c>
      <c r="DG280">
        <v>-35.3631166</v>
      </c>
      <c r="DH280">
        <v>149.1639735</v>
      </c>
      <c r="DI280" t="s">
        <v>360</v>
      </c>
      <c r="DJ280">
        <v>1.2</v>
      </c>
      <c r="DK280">
        <v>2</v>
      </c>
      <c r="DL280">
        <v>159.8</v>
      </c>
      <c r="DM280">
        <v>0</v>
      </c>
      <c r="DN280">
        <v>6</v>
      </c>
      <c r="DO280">
        <v>10</v>
      </c>
      <c r="DP280">
        <v>0</v>
      </c>
      <c r="DQ280">
        <v>255</v>
      </c>
      <c r="DR280">
        <v>255</v>
      </c>
      <c r="DS280">
        <v>255</v>
      </c>
      <c r="DT280">
        <v>255</v>
      </c>
      <c r="DU280">
        <v>255</v>
      </c>
      <c r="DV280">
        <v>255</v>
      </c>
      <c r="DW280">
        <v>255</v>
      </c>
      <c r="DX280" t="s">
        <v>206</v>
      </c>
      <c r="DY280" t="s">
        <v>206</v>
      </c>
      <c r="DZ280" t="s">
        <v>207</v>
      </c>
      <c r="EA280" t="s">
        <v>198</v>
      </c>
      <c r="EB280" t="s">
        <v>198</v>
      </c>
      <c r="EC280" t="s">
        <v>198</v>
      </c>
      <c r="ED280">
        <v>0</v>
      </c>
      <c r="EE280">
        <v>0</v>
      </c>
      <c r="EF280">
        <v>0</v>
      </c>
      <c r="EG280">
        <v>0</v>
      </c>
      <c r="EH280">
        <v>255</v>
      </c>
      <c r="EI280">
        <v>255</v>
      </c>
      <c r="EJ280">
        <v>255</v>
      </c>
      <c r="EK280">
        <v>255</v>
      </c>
      <c r="EL280">
        <v>255</v>
      </c>
      <c r="EM280">
        <v>255</v>
      </c>
      <c r="EN280">
        <v>255</v>
      </c>
      <c r="EO280">
        <v>255</v>
      </c>
      <c r="EP280">
        <v>255</v>
      </c>
      <c r="EQ280">
        <v>255</v>
      </c>
      <c r="ER280" t="s">
        <v>208</v>
      </c>
      <c r="ES280" t="s">
        <v>209</v>
      </c>
      <c r="ET280" t="s">
        <v>209</v>
      </c>
      <c r="EU280">
        <v>0</v>
      </c>
      <c r="EV280">
        <v>16.2</v>
      </c>
      <c r="EW280">
        <v>-114.7</v>
      </c>
      <c r="EX280">
        <v>-0.2</v>
      </c>
      <c r="EY280">
        <v>0</v>
      </c>
      <c r="EZ280">
        <v>0</v>
      </c>
      <c r="FA280">
        <v>0</v>
      </c>
      <c r="FB280" t="s">
        <v>198</v>
      </c>
      <c r="FC280" t="s">
        <v>198</v>
      </c>
      <c r="FD280" t="s">
        <v>198</v>
      </c>
      <c r="FE280" t="s">
        <v>198</v>
      </c>
      <c r="FF280" t="s">
        <v>198</v>
      </c>
      <c r="FG280" t="s">
        <v>198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 t="s">
        <v>203</v>
      </c>
      <c r="FP280" t="s">
        <v>203</v>
      </c>
      <c r="FQ280" t="s">
        <v>203</v>
      </c>
      <c r="FR280" t="s">
        <v>203</v>
      </c>
      <c r="FS280" t="s">
        <v>203</v>
      </c>
      <c r="FT280" t="s">
        <v>203</v>
      </c>
      <c r="FU280" t="s">
        <v>198</v>
      </c>
      <c r="FV280" t="s">
        <v>198</v>
      </c>
      <c r="FW280" t="s">
        <v>198</v>
      </c>
      <c r="FX280" t="s">
        <v>198</v>
      </c>
      <c r="FY280" t="s">
        <v>198</v>
      </c>
      <c r="FZ280" t="s">
        <v>198</v>
      </c>
      <c r="GA280">
        <v>31.2</v>
      </c>
      <c r="GB280">
        <v>31.2</v>
      </c>
      <c r="GC280" t="s">
        <v>203</v>
      </c>
      <c r="GD280">
        <v>0</v>
      </c>
      <c r="GE280">
        <v>504</v>
      </c>
      <c r="GF280">
        <v>0</v>
      </c>
      <c r="GG280">
        <v>0</v>
      </c>
      <c r="GH280">
        <v>0</v>
      </c>
      <c r="GI280">
        <v>1</v>
      </c>
      <c r="GJ280">
        <v>1</v>
      </c>
      <c r="GK280">
        <v>0</v>
      </c>
      <c r="GL280" t="s">
        <v>198</v>
      </c>
      <c r="GM280" t="s">
        <v>198</v>
      </c>
      <c r="GN280" t="s">
        <v>198</v>
      </c>
    </row>
    <row r="281" spans="1:196">
      <c r="A281" s="19">
        <v>46316.90713359954</v>
      </c>
      <c r="B281">
        <v>0</v>
      </c>
      <c r="C281">
        <v>0</v>
      </c>
      <c r="D281">
        <v>277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584.2</v>
      </c>
      <c r="N281">
        <v>-0.5</v>
      </c>
      <c r="O281">
        <v>0</v>
      </c>
      <c r="P281">
        <v>0</v>
      </c>
      <c r="Q281">
        <v>0</v>
      </c>
      <c r="R281">
        <v>0</v>
      </c>
      <c r="S281">
        <v>115.6</v>
      </c>
      <c r="T281" t="s">
        <v>485</v>
      </c>
      <c r="U281">
        <v>115.7</v>
      </c>
      <c r="V281">
        <v>1762727256586.8</v>
      </c>
      <c r="W281">
        <v>1</v>
      </c>
      <c r="X281" t="s">
        <v>197</v>
      </c>
      <c r="Y281">
        <v>0</v>
      </c>
      <c r="Z281">
        <v>98</v>
      </c>
      <c r="AA281">
        <v>278</v>
      </c>
      <c r="AB281" t="s">
        <v>197</v>
      </c>
      <c r="AC281" t="s">
        <v>198</v>
      </c>
      <c r="AD281" t="s">
        <v>199</v>
      </c>
      <c r="AE281">
        <v>0</v>
      </c>
      <c r="AF281">
        <v>45</v>
      </c>
      <c r="AG281">
        <v>255</v>
      </c>
      <c r="AH281">
        <v>0</v>
      </c>
      <c r="AI281">
        <v>0</v>
      </c>
      <c r="AJ281">
        <v>0</v>
      </c>
      <c r="AK281">
        <v>12.6</v>
      </c>
      <c r="AL281">
        <v>0</v>
      </c>
      <c r="AM281">
        <v>0</v>
      </c>
      <c r="AN281" t="s">
        <v>197</v>
      </c>
      <c r="AO281">
        <v>100</v>
      </c>
      <c r="AP281" t="s">
        <v>197</v>
      </c>
      <c r="AQ281" t="s">
        <v>200</v>
      </c>
      <c r="AR281">
        <v>1</v>
      </c>
      <c r="AS281">
        <v>0</v>
      </c>
      <c r="AT281" t="s">
        <v>627</v>
      </c>
      <c r="AU281" t="s">
        <v>627</v>
      </c>
      <c r="AV281" t="s">
        <v>202</v>
      </c>
      <c r="AW281" t="s">
        <v>203</v>
      </c>
      <c r="AX281" t="s">
        <v>203</v>
      </c>
      <c r="AY281" t="s">
        <v>203</v>
      </c>
      <c r="AZ281" t="s">
        <v>203</v>
      </c>
      <c r="BA281" t="s">
        <v>203</v>
      </c>
      <c r="BB281" t="s">
        <v>203</v>
      </c>
      <c r="BC281" t="s">
        <v>203</v>
      </c>
      <c r="BD281" t="s">
        <v>203</v>
      </c>
      <c r="BE281" t="s">
        <v>203</v>
      </c>
      <c r="BF281">
        <v>0</v>
      </c>
      <c r="BG281">
        <v>0.2</v>
      </c>
      <c r="BH281">
        <v>50</v>
      </c>
      <c r="BI281">
        <v>0</v>
      </c>
      <c r="BJ281" t="s">
        <v>198</v>
      </c>
      <c r="BK281" t="s">
        <v>198</v>
      </c>
      <c r="BL281" t="s">
        <v>198</v>
      </c>
      <c r="BM281" t="s">
        <v>198</v>
      </c>
      <c r="BN281" t="s">
        <v>198</v>
      </c>
      <c r="BO281" t="s">
        <v>198</v>
      </c>
      <c r="BP281" t="s">
        <v>198</v>
      </c>
      <c r="BQ281" t="s">
        <v>198</v>
      </c>
      <c r="BR281" t="s">
        <v>198</v>
      </c>
      <c r="BS281" t="s">
        <v>198</v>
      </c>
      <c r="BT281" t="s">
        <v>198</v>
      </c>
      <c r="BU281" t="s">
        <v>198</v>
      </c>
      <c r="BV281" t="s">
        <v>198</v>
      </c>
      <c r="BW281" t="s">
        <v>198</v>
      </c>
      <c r="BX281" t="s">
        <v>198</v>
      </c>
      <c r="BY281" t="s">
        <v>198</v>
      </c>
      <c r="BZ281" t="s">
        <v>198</v>
      </c>
      <c r="CA281" t="s">
        <v>198</v>
      </c>
      <c r="CB281" t="s">
        <v>204</v>
      </c>
      <c r="CC281" t="s">
        <v>204</v>
      </c>
      <c r="CD281" t="s">
        <v>204</v>
      </c>
      <c r="CE281" t="s">
        <v>204</v>
      </c>
      <c r="CF281" t="s">
        <v>204</v>
      </c>
      <c r="CG281" t="s">
        <v>204</v>
      </c>
      <c r="CH281" t="s">
        <v>204</v>
      </c>
      <c r="CI281" t="s">
        <v>204</v>
      </c>
      <c r="CJ281" t="s">
        <v>204</v>
      </c>
      <c r="CK281" t="s">
        <v>204</v>
      </c>
      <c r="CL281" t="s">
        <v>204</v>
      </c>
      <c r="CM281" t="s">
        <v>204</v>
      </c>
      <c r="CN281" t="s">
        <v>203</v>
      </c>
      <c r="CO281" t="s">
        <v>203</v>
      </c>
      <c r="CP281" t="s">
        <v>203</v>
      </c>
      <c r="CQ281" t="s">
        <v>203</v>
      </c>
      <c r="CR281" t="s">
        <v>203</v>
      </c>
      <c r="CS281" t="s">
        <v>203</v>
      </c>
      <c r="CT281" t="s">
        <v>203</v>
      </c>
      <c r="CU281" t="s">
        <v>203</v>
      </c>
      <c r="CV281">
        <v>0</v>
      </c>
      <c r="CW281">
        <v>0</v>
      </c>
      <c r="CX281" t="s">
        <v>198</v>
      </c>
      <c r="CY281" t="s">
        <v>198</v>
      </c>
      <c r="CZ281" t="s">
        <v>198</v>
      </c>
      <c r="DA281" t="s">
        <v>198</v>
      </c>
      <c r="DB281" t="s">
        <v>198</v>
      </c>
      <c r="DC281">
        <v>0</v>
      </c>
      <c r="DD281">
        <v>0</v>
      </c>
      <c r="DE281">
        <v>0</v>
      </c>
      <c r="DF281">
        <v>0</v>
      </c>
      <c r="DG281">
        <v>-35.3631166</v>
      </c>
      <c r="DH281">
        <v>149.1639735</v>
      </c>
      <c r="DI281" t="s">
        <v>360</v>
      </c>
      <c r="DJ281">
        <v>1.2</v>
      </c>
      <c r="DK281">
        <v>2</v>
      </c>
      <c r="DL281">
        <v>159.8</v>
      </c>
      <c r="DM281">
        <v>0</v>
      </c>
      <c r="DN281">
        <v>6</v>
      </c>
      <c r="DO281">
        <v>10</v>
      </c>
      <c r="DP281">
        <v>0</v>
      </c>
      <c r="DQ281">
        <v>255</v>
      </c>
      <c r="DR281">
        <v>255</v>
      </c>
      <c r="DS281">
        <v>255</v>
      </c>
      <c r="DT281">
        <v>255</v>
      </c>
      <c r="DU281">
        <v>255</v>
      </c>
      <c r="DV281">
        <v>255</v>
      </c>
      <c r="DW281">
        <v>255</v>
      </c>
      <c r="DX281" t="s">
        <v>206</v>
      </c>
      <c r="DY281" t="s">
        <v>206</v>
      </c>
      <c r="DZ281" t="s">
        <v>207</v>
      </c>
      <c r="EA281" t="s">
        <v>198</v>
      </c>
      <c r="EB281" t="s">
        <v>198</v>
      </c>
      <c r="EC281" t="s">
        <v>198</v>
      </c>
      <c r="ED281">
        <v>0</v>
      </c>
      <c r="EE281">
        <v>0</v>
      </c>
      <c r="EF281">
        <v>0</v>
      </c>
      <c r="EG281">
        <v>0</v>
      </c>
      <c r="EH281">
        <v>255</v>
      </c>
      <c r="EI281">
        <v>255</v>
      </c>
      <c r="EJ281">
        <v>255</v>
      </c>
      <c r="EK281">
        <v>255</v>
      </c>
      <c r="EL281">
        <v>255</v>
      </c>
      <c r="EM281">
        <v>255</v>
      </c>
      <c r="EN281">
        <v>255</v>
      </c>
      <c r="EO281">
        <v>255</v>
      </c>
      <c r="EP281">
        <v>255</v>
      </c>
      <c r="EQ281">
        <v>255</v>
      </c>
      <c r="ER281" t="s">
        <v>208</v>
      </c>
      <c r="ES281" t="s">
        <v>209</v>
      </c>
      <c r="ET281" t="s">
        <v>209</v>
      </c>
      <c r="EU281">
        <v>0</v>
      </c>
      <c r="EV281">
        <v>16.2</v>
      </c>
      <c r="EW281">
        <v>-114.7</v>
      </c>
      <c r="EX281">
        <v>-0.2</v>
      </c>
      <c r="EY281">
        <v>0</v>
      </c>
      <c r="EZ281">
        <v>0</v>
      </c>
      <c r="FA281">
        <v>0</v>
      </c>
      <c r="FB281" t="s">
        <v>198</v>
      </c>
      <c r="FC281" t="s">
        <v>198</v>
      </c>
      <c r="FD281" t="s">
        <v>198</v>
      </c>
      <c r="FE281" t="s">
        <v>198</v>
      </c>
      <c r="FF281" t="s">
        <v>198</v>
      </c>
      <c r="FG281" t="s">
        <v>198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203</v>
      </c>
      <c r="FP281" t="s">
        <v>203</v>
      </c>
      <c r="FQ281" t="s">
        <v>203</v>
      </c>
      <c r="FR281" t="s">
        <v>203</v>
      </c>
      <c r="FS281" t="s">
        <v>203</v>
      </c>
      <c r="FT281" t="s">
        <v>203</v>
      </c>
      <c r="FU281" t="s">
        <v>198</v>
      </c>
      <c r="FV281" t="s">
        <v>198</v>
      </c>
      <c r="FW281" t="s">
        <v>198</v>
      </c>
      <c r="FX281" t="s">
        <v>198</v>
      </c>
      <c r="FY281" t="s">
        <v>198</v>
      </c>
      <c r="FZ281" t="s">
        <v>198</v>
      </c>
      <c r="GA281">
        <v>31.2</v>
      </c>
      <c r="GB281">
        <v>31.2</v>
      </c>
      <c r="GC281" t="s">
        <v>203</v>
      </c>
      <c r="GD281">
        <v>0</v>
      </c>
      <c r="GE281">
        <v>504</v>
      </c>
      <c r="GF281">
        <v>0</v>
      </c>
      <c r="GG281">
        <v>0</v>
      </c>
      <c r="GH281">
        <v>0</v>
      </c>
      <c r="GI281">
        <v>1</v>
      </c>
      <c r="GJ281">
        <v>1</v>
      </c>
      <c r="GK281">
        <v>0</v>
      </c>
      <c r="GL281" t="s">
        <v>198</v>
      </c>
      <c r="GM281" t="s">
        <v>198</v>
      </c>
      <c r="GN281" t="s">
        <v>198</v>
      </c>
    </row>
    <row r="282" spans="1:196">
      <c r="A282" s="19">
        <v>46316.90714517361</v>
      </c>
      <c r="B282">
        <v>0</v>
      </c>
      <c r="C282">
        <v>0</v>
      </c>
      <c r="D282">
        <v>277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584.2</v>
      </c>
      <c r="N282">
        <v>-0.5</v>
      </c>
      <c r="O282">
        <v>0</v>
      </c>
      <c r="P282">
        <v>0</v>
      </c>
      <c r="Q282">
        <v>0</v>
      </c>
      <c r="R282">
        <v>0</v>
      </c>
      <c r="S282">
        <v>115.6</v>
      </c>
      <c r="T282" t="s">
        <v>485</v>
      </c>
      <c r="U282">
        <v>115.7</v>
      </c>
      <c r="V282">
        <v>1762727256586.8</v>
      </c>
      <c r="W282">
        <v>1</v>
      </c>
      <c r="X282" t="s">
        <v>197</v>
      </c>
      <c r="Y282">
        <v>0</v>
      </c>
      <c r="Z282">
        <v>98</v>
      </c>
      <c r="AA282">
        <v>278</v>
      </c>
      <c r="AB282" t="s">
        <v>197</v>
      </c>
      <c r="AC282" t="s">
        <v>198</v>
      </c>
      <c r="AD282" t="s">
        <v>199</v>
      </c>
      <c r="AE282">
        <v>0</v>
      </c>
      <c r="AF282">
        <v>45</v>
      </c>
      <c r="AG282">
        <v>255</v>
      </c>
      <c r="AH282">
        <v>0</v>
      </c>
      <c r="AI282">
        <v>0</v>
      </c>
      <c r="AJ282">
        <v>0</v>
      </c>
      <c r="AK282">
        <v>12.6</v>
      </c>
      <c r="AL282">
        <v>0</v>
      </c>
      <c r="AM282">
        <v>0</v>
      </c>
      <c r="AN282" t="s">
        <v>197</v>
      </c>
      <c r="AO282">
        <v>100</v>
      </c>
      <c r="AP282" t="s">
        <v>197</v>
      </c>
      <c r="AQ282" t="s">
        <v>200</v>
      </c>
      <c r="AR282">
        <v>1</v>
      </c>
      <c r="AS282">
        <v>0</v>
      </c>
      <c r="AT282" t="s">
        <v>628</v>
      </c>
      <c r="AU282" t="s">
        <v>628</v>
      </c>
      <c r="AV282" t="s">
        <v>202</v>
      </c>
      <c r="AW282" t="s">
        <v>203</v>
      </c>
      <c r="AX282" t="s">
        <v>203</v>
      </c>
      <c r="AY282" t="s">
        <v>203</v>
      </c>
      <c r="AZ282" t="s">
        <v>203</v>
      </c>
      <c r="BA282" t="s">
        <v>203</v>
      </c>
      <c r="BB282" t="s">
        <v>203</v>
      </c>
      <c r="BC282" t="s">
        <v>203</v>
      </c>
      <c r="BD282" t="s">
        <v>203</v>
      </c>
      <c r="BE282" t="s">
        <v>203</v>
      </c>
      <c r="BF282">
        <v>0</v>
      </c>
      <c r="BG282">
        <v>0.2</v>
      </c>
      <c r="BH282">
        <v>50</v>
      </c>
      <c r="BI282">
        <v>0</v>
      </c>
      <c r="BJ282" t="s">
        <v>198</v>
      </c>
      <c r="BK282" t="s">
        <v>198</v>
      </c>
      <c r="BL282" t="s">
        <v>198</v>
      </c>
      <c r="BM282" t="s">
        <v>198</v>
      </c>
      <c r="BN282" t="s">
        <v>198</v>
      </c>
      <c r="BO282" t="s">
        <v>198</v>
      </c>
      <c r="BP282" t="s">
        <v>198</v>
      </c>
      <c r="BQ282" t="s">
        <v>198</v>
      </c>
      <c r="BR282" t="s">
        <v>198</v>
      </c>
      <c r="BS282" t="s">
        <v>198</v>
      </c>
      <c r="BT282" t="s">
        <v>198</v>
      </c>
      <c r="BU282" t="s">
        <v>198</v>
      </c>
      <c r="BV282" t="s">
        <v>198</v>
      </c>
      <c r="BW282" t="s">
        <v>198</v>
      </c>
      <c r="BX282" t="s">
        <v>198</v>
      </c>
      <c r="BY282" t="s">
        <v>198</v>
      </c>
      <c r="BZ282" t="s">
        <v>198</v>
      </c>
      <c r="CA282" t="s">
        <v>198</v>
      </c>
      <c r="CB282" t="s">
        <v>204</v>
      </c>
      <c r="CC282" t="s">
        <v>204</v>
      </c>
      <c r="CD282" t="s">
        <v>204</v>
      </c>
      <c r="CE282" t="s">
        <v>204</v>
      </c>
      <c r="CF282" t="s">
        <v>204</v>
      </c>
      <c r="CG282" t="s">
        <v>204</v>
      </c>
      <c r="CH282" t="s">
        <v>204</v>
      </c>
      <c r="CI282" t="s">
        <v>204</v>
      </c>
      <c r="CJ282" t="s">
        <v>204</v>
      </c>
      <c r="CK282" t="s">
        <v>204</v>
      </c>
      <c r="CL282" t="s">
        <v>204</v>
      </c>
      <c r="CM282" t="s">
        <v>204</v>
      </c>
      <c r="CN282" t="s">
        <v>203</v>
      </c>
      <c r="CO282" t="s">
        <v>203</v>
      </c>
      <c r="CP282" t="s">
        <v>203</v>
      </c>
      <c r="CQ282" t="s">
        <v>203</v>
      </c>
      <c r="CR282" t="s">
        <v>203</v>
      </c>
      <c r="CS282" t="s">
        <v>203</v>
      </c>
      <c r="CT282" t="s">
        <v>203</v>
      </c>
      <c r="CU282" t="s">
        <v>203</v>
      </c>
      <c r="CV282">
        <v>0</v>
      </c>
      <c r="CW282">
        <v>0</v>
      </c>
      <c r="CX282" t="s">
        <v>198</v>
      </c>
      <c r="CY282" t="s">
        <v>198</v>
      </c>
      <c r="CZ282" t="s">
        <v>198</v>
      </c>
      <c r="DA282" t="s">
        <v>198</v>
      </c>
      <c r="DB282" t="s">
        <v>198</v>
      </c>
      <c r="DC282">
        <v>0</v>
      </c>
      <c r="DD282">
        <v>0</v>
      </c>
      <c r="DE282">
        <v>0</v>
      </c>
      <c r="DF282">
        <v>0</v>
      </c>
      <c r="DG282">
        <v>-35.3631166</v>
      </c>
      <c r="DH282">
        <v>149.1639735</v>
      </c>
      <c r="DI282" t="s">
        <v>360</v>
      </c>
      <c r="DJ282">
        <v>1.2</v>
      </c>
      <c r="DK282">
        <v>2</v>
      </c>
      <c r="DL282">
        <v>159.8</v>
      </c>
      <c r="DM282">
        <v>0</v>
      </c>
      <c r="DN282">
        <v>6</v>
      </c>
      <c r="DO282">
        <v>10</v>
      </c>
      <c r="DP282">
        <v>0</v>
      </c>
      <c r="DQ282">
        <v>255</v>
      </c>
      <c r="DR282">
        <v>255</v>
      </c>
      <c r="DS282">
        <v>255</v>
      </c>
      <c r="DT282">
        <v>255</v>
      </c>
      <c r="DU282">
        <v>255</v>
      </c>
      <c r="DV282">
        <v>255</v>
      </c>
      <c r="DW282">
        <v>255</v>
      </c>
      <c r="DX282" t="s">
        <v>206</v>
      </c>
      <c r="DY282" t="s">
        <v>206</v>
      </c>
      <c r="DZ282" t="s">
        <v>207</v>
      </c>
      <c r="EA282" t="s">
        <v>198</v>
      </c>
      <c r="EB282" t="s">
        <v>198</v>
      </c>
      <c r="EC282" t="s">
        <v>198</v>
      </c>
      <c r="ED282">
        <v>0</v>
      </c>
      <c r="EE282">
        <v>0</v>
      </c>
      <c r="EF282">
        <v>0</v>
      </c>
      <c r="EG282">
        <v>0</v>
      </c>
      <c r="EH282">
        <v>255</v>
      </c>
      <c r="EI282">
        <v>255</v>
      </c>
      <c r="EJ282">
        <v>255</v>
      </c>
      <c r="EK282">
        <v>255</v>
      </c>
      <c r="EL282">
        <v>255</v>
      </c>
      <c r="EM282">
        <v>255</v>
      </c>
      <c r="EN282">
        <v>255</v>
      </c>
      <c r="EO282">
        <v>255</v>
      </c>
      <c r="EP282">
        <v>255</v>
      </c>
      <c r="EQ282">
        <v>255</v>
      </c>
      <c r="ER282" t="s">
        <v>208</v>
      </c>
      <c r="ES282" t="s">
        <v>209</v>
      </c>
      <c r="ET282" t="s">
        <v>209</v>
      </c>
      <c r="EU282">
        <v>0</v>
      </c>
      <c r="EV282">
        <v>16.2</v>
      </c>
      <c r="EW282">
        <v>-114.7</v>
      </c>
      <c r="EX282">
        <v>-0.2</v>
      </c>
      <c r="EY282">
        <v>0</v>
      </c>
      <c r="EZ282">
        <v>0</v>
      </c>
      <c r="FA282">
        <v>0</v>
      </c>
      <c r="FB282" t="s">
        <v>198</v>
      </c>
      <c r="FC282" t="s">
        <v>198</v>
      </c>
      <c r="FD282" t="s">
        <v>198</v>
      </c>
      <c r="FE282" t="s">
        <v>198</v>
      </c>
      <c r="FF282" t="s">
        <v>198</v>
      </c>
      <c r="FG282" t="s">
        <v>198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 t="s">
        <v>203</v>
      </c>
      <c r="FP282" t="s">
        <v>203</v>
      </c>
      <c r="FQ282" t="s">
        <v>203</v>
      </c>
      <c r="FR282" t="s">
        <v>203</v>
      </c>
      <c r="FS282" t="s">
        <v>203</v>
      </c>
      <c r="FT282" t="s">
        <v>203</v>
      </c>
      <c r="FU282" t="s">
        <v>198</v>
      </c>
      <c r="FV282" t="s">
        <v>198</v>
      </c>
      <c r="FW282" t="s">
        <v>198</v>
      </c>
      <c r="FX282" t="s">
        <v>198</v>
      </c>
      <c r="FY282" t="s">
        <v>198</v>
      </c>
      <c r="FZ282" t="s">
        <v>198</v>
      </c>
      <c r="GA282">
        <v>31.2</v>
      </c>
      <c r="GB282">
        <v>31.2</v>
      </c>
      <c r="GC282" t="s">
        <v>203</v>
      </c>
      <c r="GD282">
        <v>0</v>
      </c>
      <c r="GE282">
        <v>504</v>
      </c>
      <c r="GF282">
        <v>0</v>
      </c>
      <c r="GG282">
        <v>0</v>
      </c>
      <c r="GH282">
        <v>0</v>
      </c>
      <c r="GI282">
        <v>1</v>
      </c>
      <c r="GJ282">
        <v>1</v>
      </c>
      <c r="GK282">
        <v>0</v>
      </c>
      <c r="GL282" t="s">
        <v>198</v>
      </c>
      <c r="GM282" t="s">
        <v>198</v>
      </c>
      <c r="GN282" t="s">
        <v>198</v>
      </c>
    </row>
    <row r="283" spans="1:196">
      <c r="A283" s="19">
        <v>46316.90715673611</v>
      </c>
      <c r="B283">
        <v>0</v>
      </c>
      <c r="C283">
        <v>0</v>
      </c>
      <c r="D283">
        <v>277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584.2</v>
      </c>
      <c r="N283">
        <v>-0.5</v>
      </c>
      <c r="O283">
        <v>0</v>
      </c>
      <c r="P283">
        <v>0</v>
      </c>
      <c r="Q283">
        <v>0</v>
      </c>
      <c r="R283">
        <v>0</v>
      </c>
      <c r="S283">
        <v>115.6</v>
      </c>
      <c r="T283" t="s">
        <v>485</v>
      </c>
      <c r="U283">
        <v>115.7</v>
      </c>
      <c r="V283">
        <v>1762727256586.8</v>
      </c>
      <c r="W283">
        <v>1</v>
      </c>
      <c r="X283" t="s">
        <v>197</v>
      </c>
      <c r="Y283">
        <v>0</v>
      </c>
      <c r="Z283">
        <v>98</v>
      </c>
      <c r="AA283">
        <v>278</v>
      </c>
      <c r="AB283" t="s">
        <v>197</v>
      </c>
      <c r="AC283" t="s">
        <v>198</v>
      </c>
      <c r="AD283" t="s">
        <v>199</v>
      </c>
      <c r="AE283">
        <v>0</v>
      </c>
      <c r="AF283">
        <v>45</v>
      </c>
      <c r="AG283">
        <v>255</v>
      </c>
      <c r="AH283">
        <v>0</v>
      </c>
      <c r="AI283">
        <v>0</v>
      </c>
      <c r="AJ283">
        <v>0</v>
      </c>
      <c r="AK283">
        <v>12.6</v>
      </c>
      <c r="AL283">
        <v>0</v>
      </c>
      <c r="AM283">
        <v>0</v>
      </c>
      <c r="AN283" t="s">
        <v>197</v>
      </c>
      <c r="AO283">
        <v>100</v>
      </c>
      <c r="AP283" t="s">
        <v>197</v>
      </c>
      <c r="AQ283" t="s">
        <v>200</v>
      </c>
      <c r="AR283">
        <v>1</v>
      </c>
      <c r="AS283">
        <v>0</v>
      </c>
      <c r="AT283" t="s">
        <v>629</v>
      </c>
      <c r="AU283" t="s">
        <v>629</v>
      </c>
      <c r="AV283" t="s">
        <v>202</v>
      </c>
      <c r="AW283" t="s">
        <v>203</v>
      </c>
      <c r="AX283" t="s">
        <v>203</v>
      </c>
      <c r="AY283" t="s">
        <v>203</v>
      </c>
      <c r="AZ283" t="s">
        <v>203</v>
      </c>
      <c r="BA283" t="s">
        <v>203</v>
      </c>
      <c r="BB283" t="s">
        <v>203</v>
      </c>
      <c r="BC283" t="s">
        <v>203</v>
      </c>
      <c r="BD283" t="s">
        <v>203</v>
      </c>
      <c r="BE283" t="s">
        <v>203</v>
      </c>
      <c r="BF283">
        <v>0</v>
      </c>
      <c r="BG283">
        <v>0.2</v>
      </c>
      <c r="BH283">
        <v>50</v>
      </c>
      <c r="BI283">
        <v>0</v>
      </c>
      <c r="BJ283" t="s">
        <v>198</v>
      </c>
      <c r="BK283" t="s">
        <v>198</v>
      </c>
      <c r="BL283" t="s">
        <v>198</v>
      </c>
      <c r="BM283" t="s">
        <v>198</v>
      </c>
      <c r="BN283" t="s">
        <v>198</v>
      </c>
      <c r="BO283" t="s">
        <v>198</v>
      </c>
      <c r="BP283" t="s">
        <v>198</v>
      </c>
      <c r="BQ283" t="s">
        <v>198</v>
      </c>
      <c r="BR283" t="s">
        <v>198</v>
      </c>
      <c r="BS283" t="s">
        <v>198</v>
      </c>
      <c r="BT283" t="s">
        <v>198</v>
      </c>
      <c r="BU283" t="s">
        <v>198</v>
      </c>
      <c r="BV283" t="s">
        <v>198</v>
      </c>
      <c r="BW283" t="s">
        <v>198</v>
      </c>
      <c r="BX283" t="s">
        <v>198</v>
      </c>
      <c r="BY283" t="s">
        <v>198</v>
      </c>
      <c r="BZ283" t="s">
        <v>198</v>
      </c>
      <c r="CA283" t="s">
        <v>198</v>
      </c>
      <c r="CB283" t="s">
        <v>204</v>
      </c>
      <c r="CC283" t="s">
        <v>204</v>
      </c>
      <c r="CD283" t="s">
        <v>204</v>
      </c>
      <c r="CE283" t="s">
        <v>204</v>
      </c>
      <c r="CF283" t="s">
        <v>204</v>
      </c>
      <c r="CG283" t="s">
        <v>204</v>
      </c>
      <c r="CH283" t="s">
        <v>204</v>
      </c>
      <c r="CI283" t="s">
        <v>204</v>
      </c>
      <c r="CJ283" t="s">
        <v>204</v>
      </c>
      <c r="CK283" t="s">
        <v>204</v>
      </c>
      <c r="CL283" t="s">
        <v>204</v>
      </c>
      <c r="CM283" t="s">
        <v>204</v>
      </c>
      <c r="CN283" t="s">
        <v>203</v>
      </c>
      <c r="CO283" t="s">
        <v>203</v>
      </c>
      <c r="CP283" t="s">
        <v>203</v>
      </c>
      <c r="CQ283" t="s">
        <v>203</v>
      </c>
      <c r="CR283" t="s">
        <v>203</v>
      </c>
      <c r="CS283" t="s">
        <v>203</v>
      </c>
      <c r="CT283" t="s">
        <v>203</v>
      </c>
      <c r="CU283" t="s">
        <v>203</v>
      </c>
      <c r="CV283">
        <v>0</v>
      </c>
      <c r="CW283">
        <v>0</v>
      </c>
      <c r="CX283" t="s">
        <v>198</v>
      </c>
      <c r="CY283" t="s">
        <v>198</v>
      </c>
      <c r="CZ283" t="s">
        <v>198</v>
      </c>
      <c r="DA283" t="s">
        <v>198</v>
      </c>
      <c r="DB283" t="s">
        <v>198</v>
      </c>
      <c r="DC283">
        <v>0</v>
      </c>
      <c r="DD283">
        <v>0</v>
      </c>
      <c r="DE283">
        <v>0</v>
      </c>
      <c r="DF283">
        <v>0</v>
      </c>
      <c r="DG283">
        <v>-35.3631166</v>
      </c>
      <c r="DH283">
        <v>149.1639735</v>
      </c>
      <c r="DI283" t="s">
        <v>360</v>
      </c>
      <c r="DJ283">
        <v>1.2</v>
      </c>
      <c r="DK283">
        <v>2</v>
      </c>
      <c r="DL283">
        <v>159.8</v>
      </c>
      <c r="DM283">
        <v>0</v>
      </c>
      <c r="DN283">
        <v>6</v>
      </c>
      <c r="DO283">
        <v>10</v>
      </c>
      <c r="DP283">
        <v>0</v>
      </c>
      <c r="DQ283">
        <v>255</v>
      </c>
      <c r="DR283">
        <v>255</v>
      </c>
      <c r="DS283">
        <v>255</v>
      </c>
      <c r="DT283">
        <v>255</v>
      </c>
      <c r="DU283">
        <v>255</v>
      </c>
      <c r="DV283">
        <v>255</v>
      </c>
      <c r="DW283">
        <v>255</v>
      </c>
      <c r="DX283" t="s">
        <v>206</v>
      </c>
      <c r="DY283" t="s">
        <v>206</v>
      </c>
      <c r="DZ283" t="s">
        <v>207</v>
      </c>
      <c r="EA283" t="s">
        <v>198</v>
      </c>
      <c r="EB283" t="s">
        <v>198</v>
      </c>
      <c r="EC283" t="s">
        <v>198</v>
      </c>
      <c r="ED283">
        <v>0</v>
      </c>
      <c r="EE283">
        <v>0</v>
      </c>
      <c r="EF283">
        <v>0</v>
      </c>
      <c r="EG283">
        <v>0</v>
      </c>
      <c r="EH283">
        <v>255</v>
      </c>
      <c r="EI283">
        <v>255</v>
      </c>
      <c r="EJ283">
        <v>255</v>
      </c>
      <c r="EK283">
        <v>255</v>
      </c>
      <c r="EL283">
        <v>255</v>
      </c>
      <c r="EM283">
        <v>255</v>
      </c>
      <c r="EN283">
        <v>255</v>
      </c>
      <c r="EO283">
        <v>255</v>
      </c>
      <c r="EP283">
        <v>255</v>
      </c>
      <c r="EQ283">
        <v>255</v>
      </c>
      <c r="ER283" t="s">
        <v>208</v>
      </c>
      <c r="ES283" t="s">
        <v>209</v>
      </c>
      <c r="ET283" t="s">
        <v>209</v>
      </c>
      <c r="EU283">
        <v>0</v>
      </c>
      <c r="EV283">
        <v>16.2</v>
      </c>
      <c r="EW283">
        <v>-114.7</v>
      </c>
      <c r="EX283">
        <v>-0.2</v>
      </c>
      <c r="EY283">
        <v>0</v>
      </c>
      <c r="EZ283">
        <v>0</v>
      </c>
      <c r="FA283">
        <v>0</v>
      </c>
      <c r="FB283" t="s">
        <v>198</v>
      </c>
      <c r="FC283" t="s">
        <v>198</v>
      </c>
      <c r="FD283" t="s">
        <v>198</v>
      </c>
      <c r="FE283" t="s">
        <v>198</v>
      </c>
      <c r="FF283" t="s">
        <v>198</v>
      </c>
      <c r="FG283" t="s">
        <v>198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 t="s">
        <v>203</v>
      </c>
      <c r="FP283" t="s">
        <v>203</v>
      </c>
      <c r="FQ283" t="s">
        <v>203</v>
      </c>
      <c r="FR283" t="s">
        <v>203</v>
      </c>
      <c r="FS283" t="s">
        <v>203</v>
      </c>
      <c r="FT283" t="s">
        <v>203</v>
      </c>
      <c r="FU283" t="s">
        <v>198</v>
      </c>
      <c r="FV283" t="s">
        <v>198</v>
      </c>
      <c r="FW283" t="s">
        <v>198</v>
      </c>
      <c r="FX283" t="s">
        <v>198</v>
      </c>
      <c r="FY283" t="s">
        <v>198</v>
      </c>
      <c r="FZ283" t="s">
        <v>198</v>
      </c>
      <c r="GA283">
        <v>31.2</v>
      </c>
      <c r="GB283">
        <v>31.2</v>
      </c>
      <c r="GC283" t="s">
        <v>203</v>
      </c>
      <c r="GD283">
        <v>0</v>
      </c>
      <c r="GE283">
        <v>504</v>
      </c>
      <c r="GF283">
        <v>0</v>
      </c>
      <c r="GG283">
        <v>0</v>
      </c>
      <c r="GH283">
        <v>0</v>
      </c>
      <c r="GI283">
        <v>1</v>
      </c>
      <c r="GJ283">
        <v>1</v>
      </c>
      <c r="GK283">
        <v>0</v>
      </c>
      <c r="GL283" t="s">
        <v>198</v>
      </c>
      <c r="GM283" t="s">
        <v>198</v>
      </c>
      <c r="GN283" t="s">
        <v>198</v>
      </c>
    </row>
    <row r="284" spans="1:196">
      <c r="A284" s="19">
        <v>46316.90716832176</v>
      </c>
      <c r="B284">
        <v>0</v>
      </c>
      <c r="C284">
        <v>0</v>
      </c>
      <c r="D284">
        <v>277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584.2</v>
      </c>
      <c r="N284">
        <v>-0.5</v>
      </c>
      <c r="O284">
        <v>0</v>
      </c>
      <c r="P284">
        <v>0</v>
      </c>
      <c r="Q284">
        <v>0</v>
      </c>
      <c r="R284">
        <v>0</v>
      </c>
      <c r="S284">
        <v>115.6</v>
      </c>
      <c r="T284" t="s">
        <v>485</v>
      </c>
      <c r="U284">
        <v>115.7</v>
      </c>
      <c r="V284">
        <v>1762727256586.8</v>
      </c>
      <c r="W284">
        <v>1</v>
      </c>
      <c r="X284" t="s">
        <v>197</v>
      </c>
      <c r="Y284">
        <v>0</v>
      </c>
      <c r="Z284">
        <v>98</v>
      </c>
      <c r="AA284">
        <v>278</v>
      </c>
      <c r="AB284" t="s">
        <v>197</v>
      </c>
      <c r="AC284" t="s">
        <v>198</v>
      </c>
      <c r="AD284" t="s">
        <v>199</v>
      </c>
      <c r="AE284">
        <v>0</v>
      </c>
      <c r="AF284">
        <v>45</v>
      </c>
      <c r="AG284">
        <v>255</v>
      </c>
      <c r="AH284">
        <v>0</v>
      </c>
      <c r="AI284">
        <v>0</v>
      </c>
      <c r="AJ284">
        <v>0</v>
      </c>
      <c r="AK284">
        <v>12.6</v>
      </c>
      <c r="AL284">
        <v>0</v>
      </c>
      <c r="AM284">
        <v>0</v>
      </c>
      <c r="AN284" t="s">
        <v>197</v>
      </c>
      <c r="AO284">
        <v>100</v>
      </c>
      <c r="AP284" t="s">
        <v>197</v>
      </c>
      <c r="AQ284" t="s">
        <v>200</v>
      </c>
      <c r="AR284">
        <v>1</v>
      </c>
      <c r="AS284">
        <v>0</v>
      </c>
      <c r="AT284" t="s">
        <v>630</v>
      </c>
      <c r="AU284" t="s">
        <v>630</v>
      </c>
      <c r="AV284" t="s">
        <v>202</v>
      </c>
      <c r="AW284" t="s">
        <v>203</v>
      </c>
      <c r="AX284" t="s">
        <v>203</v>
      </c>
      <c r="AY284" t="s">
        <v>203</v>
      </c>
      <c r="AZ284" t="s">
        <v>203</v>
      </c>
      <c r="BA284" t="s">
        <v>203</v>
      </c>
      <c r="BB284" t="s">
        <v>203</v>
      </c>
      <c r="BC284" t="s">
        <v>203</v>
      </c>
      <c r="BD284" t="s">
        <v>203</v>
      </c>
      <c r="BE284" t="s">
        <v>203</v>
      </c>
      <c r="BF284">
        <v>0</v>
      </c>
      <c r="BG284">
        <v>0.2</v>
      </c>
      <c r="BH284">
        <v>50</v>
      </c>
      <c r="BI284">
        <v>0</v>
      </c>
      <c r="BJ284" t="s">
        <v>198</v>
      </c>
      <c r="BK284" t="s">
        <v>198</v>
      </c>
      <c r="BL284" t="s">
        <v>198</v>
      </c>
      <c r="BM284" t="s">
        <v>198</v>
      </c>
      <c r="BN284" t="s">
        <v>198</v>
      </c>
      <c r="BO284" t="s">
        <v>198</v>
      </c>
      <c r="BP284" t="s">
        <v>198</v>
      </c>
      <c r="BQ284" t="s">
        <v>198</v>
      </c>
      <c r="BR284" t="s">
        <v>198</v>
      </c>
      <c r="BS284" t="s">
        <v>198</v>
      </c>
      <c r="BT284" t="s">
        <v>198</v>
      </c>
      <c r="BU284" t="s">
        <v>198</v>
      </c>
      <c r="BV284" t="s">
        <v>198</v>
      </c>
      <c r="BW284" t="s">
        <v>198</v>
      </c>
      <c r="BX284" t="s">
        <v>198</v>
      </c>
      <c r="BY284" t="s">
        <v>198</v>
      </c>
      <c r="BZ284" t="s">
        <v>198</v>
      </c>
      <c r="CA284" t="s">
        <v>198</v>
      </c>
      <c r="CB284" t="s">
        <v>204</v>
      </c>
      <c r="CC284" t="s">
        <v>204</v>
      </c>
      <c r="CD284" t="s">
        <v>204</v>
      </c>
      <c r="CE284" t="s">
        <v>204</v>
      </c>
      <c r="CF284" t="s">
        <v>204</v>
      </c>
      <c r="CG284" t="s">
        <v>204</v>
      </c>
      <c r="CH284" t="s">
        <v>204</v>
      </c>
      <c r="CI284" t="s">
        <v>204</v>
      </c>
      <c r="CJ284" t="s">
        <v>204</v>
      </c>
      <c r="CK284" t="s">
        <v>204</v>
      </c>
      <c r="CL284" t="s">
        <v>204</v>
      </c>
      <c r="CM284" t="s">
        <v>204</v>
      </c>
      <c r="CN284" t="s">
        <v>203</v>
      </c>
      <c r="CO284" t="s">
        <v>203</v>
      </c>
      <c r="CP284" t="s">
        <v>203</v>
      </c>
      <c r="CQ284" t="s">
        <v>203</v>
      </c>
      <c r="CR284" t="s">
        <v>203</v>
      </c>
      <c r="CS284" t="s">
        <v>203</v>
      </c>
      <c r="CT284" t="s">
        <v>203</v>
      </c>
      <c r="CU284" t="s">
        <v>203</v>
      </c>
      <c r="CV284">
        <v>0</v>
      </c>
      <c r="CW284">
        <v>0</v>
      </c>
      <c r="CX284" t="s">
        <v>198</v>
      </c>
      <c r="CY284" t="s">
        <v>198</v>
      </c>
      <c r="CZ284" t="s">
        <v>198</v>
      </c>
      <c r="DA284" t="s">
        <v>198</v>
      </c>
      <c r="DB284" t="s">
        <v>198</v>
      </c>
      <c r="DC284">
        <v>0</v>
      </c>
      <c r="DD284">
        <v>0</v>
      </c>
      <c r="DE284">
        <v>0</v>
      </c>
      <c r="DF284">
        <v>0</v>
      </c>
      <c r="DG284">
        <v>-35.3631166</v>
      </c>
      <c r="DH284">
        <v>149.1639735</v>
      </c>
      <c r="DI284" t="s">
        <v>360</v>
      </c>
      <c r="DJ284">
        <v>1.2</v>
      </c>
      <c r="DK284">
        <v>2</v>
      </c>
      <c r="DL284">
        <v>159.8</v>
      </c>
      <c r="DM284">
        <v>0</v>
      </c>
      <c r="DN284">
        <v>6</v>
      </c>
      <c r="DO284">
        <v>10</v>
      </c>
      <c r="DP284">
        <v>0</v>
      </c>
      <c r="DQ284">
        <v>255</v>
      </c>
      <c r="DR284">
        <v>255</v>
      </c>
      <c r="DS284">
        <v>255</v>
      </c>
      <c r="DT284">
        <v>255</v>
      </c>
      <c r="DU284">
        <v>255</v>
      </c>
      <c r="DV284">
        <v>255</v>
      </c>
      <c r="DW284">
        <v>255</v>
      </c>
      <c r="DX284" t="s">
        <v>206</v>
      </c>
      <c r="DY284" t="s">
        <v>206</v>
      </c>
      <c r="DZ284" t="s">
        <v>207</v>
      </c>
      <c r="EA284" t="s">
        <v>198</v>
      </c>
      <c r="EB284" t="s">
        <v>198</v>
      </c>
      <c r="EC284" t="s">
        <v>198</v>
      </c>
      <c r="ED284">
        <v>0</v>
      </c>
      <c r="EE284">
        <v>0</v>
      </c>
      <c r="EF284">
        <v>0</v>
      </c>
      <c r="EG284">
        <v>0</v>
      </c>
      <c r="EH284">
        <v>255</v>
      </c>
      <c r="EI284">
        <v>255</v>
      </c>
      <c r="EJ284">
        <v>255</v>
      </c>
      <c r="EK284">
        <v>255</v>
      </c>
      <c r="EL284">
        <v>255</v>
      </c>
      <c r="EM284">
        <v>255</v>
      </c>
      <c r="EN284">
        <v>255</v>
      </c>
      <c r="EO284">
        <v>255</v>
      </c>
      <c r="EP284">
        <v>255</v>
      </c>
      <c r="EQ284">
        <v>255</v>
      </c>
      <c r="ER284" t="s">
        <v>208</v>
      </c>
      <c r="ES284" t="s">
        <v>209</v>
      </c>
      <c r="ET284" t="s">
        <v>209</v>
      </c>
      <c r="EU284">
        <v>0</v>
      </c>
      <c r="EV284">
        <v>16.2</v>
      </c>
      <c r="EW284">
        <v>-114.7</v>
      </c>
      <c r="EX284">
        <v>-0.2</v>
      </c>
      <c r="EY284">
        <v>0</v>
      </c>
      <c r="EZ284">
        <v>0</v>
      </c>
      <c r="FA284">
        <v>0</v>
      </c>
      <c r="FB284" t="s">
        <v>198</v>
      </c>
      <c r="FC284" t="s">
        <v>198</v>
      </c>
      <c r="FD284" t="s">
        <v>198</v>
      </c>
      <c r="FE284" t="s">
        <v>198</v>
      </c>
      <c r="FF284" t="s">
        <v>198</v>
      </c>
      <c r="FG284" t="s">
        <v>198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203</v>
      </c>
      <c r="FP284" t="s">
        <v>203</v>
      </c>
      <c r="FQ284" t="s">
        <v>203</v>
      </c>
      <c r="FR284" t="s">
        <v>203</v>
      </c>
      <c r="FS284" t="s">
        <v>203</v>
      </c>
      <c r="FT284" t="s">
        <v>203</v>
      </c>
      <c r="FU284" t="s">
        <v>198</v>
      </c>
      <c r="FV284" t="s">
        <v>198</v>
      </c>
      <c r="FW284" t="s">
        <v>198</v>
      </c>
      <c r="FX284" t="s">
        <v>198</v>
      </c>
      <c r="FY284" t="s">
        <v>198</v>
      </c>
      <c r="FZ284" t="s">
        <v>198</v>
      </c>
      <c r="GA284">
        <v>31.2</v>
      </c>
      <c r="GB284">
        <v>31.2</v>
      </c>
      <c r="GC284" t="s">
        <v>203</v>
      </c>
      <c r="GD284">
        <v>0</v>
      </c>
      <c r="GE284">
        <v>504</v>
      </c>
      <c r="GF284">
        <v>0</v>
      </c>
      <c r="GG284">
        <v>0</v>
      </c>
      <c r="GH284">
        <v>0</v>
      </c>
      <c r="GI284">
        <v>1</v>
      </c>
      <c r="GJ284">
        <v>1</v>
      </c>
      <c r="GK284">
        <v>0</v>
      </c>
      <c r="GL284" t="s">
        <v>198</v>
      </c>
      <c r="GM284" t="s">
        <v>198</v>
      </c>
      <c r="GN284" t="s">
        <v>198</v>
      </c>
    </row>
    <row r="285" spans="1:196">
      <c r="A285" s="19">
        <v>46316.90717989583</v>
      </c>
      <c r="B285">
        <v>0</v>
      </c>
      <c r="C285">
        <v>0</v>
      </c>
      <c r="D285">
        <v>277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584.2</v>
      </c>
      <c r="N285">
        <v>-0.5</v>
      </c>
      <c r="O285">
        <v>0</v>
      </c>
      <c r="P285">
        <v>0</v>
      </c>
      <c r="Q285">
        <v>0</v>
      </c>
      <c r="R285">
        <v>0</v>
      </c>
      <c r="S285">
        <v>115.6</v>
      </c>
      <c r="T285" t="s">
        <v>485</v>
      </c>
      <c r="U285">
        <v>115.7</v>
      </c>
      <c r="V285">
        <v>1762727256586.8</v>
      </c>
      <c r="W285">
        <v>1</v>
      </c>
      <c r="X285" t="s">
        <v>197</v>
      </c>
      <c r="Y285">
        <v>0</v>
      </c>
      <c r="Z285">
        <v>98</v>
      </c>
      <c r="AA285">
        <v>278</v>
      </c>
      <c r="AB285" t="s">
        <v>197</v>
      </c>
      <c r="AC285" t="s">
        <v>198</v>
      </c>
      <c r="AD285" t="s">
        <v>199</v>
      </c>
      <c r="AE285">
        <v>0</v>
      </c>
      <c r="AF285">
        <v>45</v>
      </c>
      <c r="AG285">
        <v>255</v>
      </c>
      <c r="AH285">
        <v>0</v>
      </c>
      <c r="AI285">
        <v>0</v>
      </c>
      <c r="AJ285">
        <v>0</v>
      </c>
      <c r="AK285">
        <v>12.6</v>
      </c>
      <c r="AL285">
        <v>0</v>
      </c>
      <c r="AM285">
        <v>0</v>
      </c>
      <c r="AN285" t="s">
        <v>197</v>
      </c>
      <c r="AO285">
        <v>100</v>
      </c>
      <c r="AP285" t="s">
        <v>197</v>
      </c>
      <c r="AQ285" t="s">
        <v>200</v>
      </c>
      <c r="AR285">
        <v>1</v>
      </c>
      <c r="AS285">
        <v>0</v>
      </c>
      <c r="AT285" t="s">
        <v>631</v>
      </c>
      <c r="AU285" t="s">
        <v>631</v>
      </c>
      <c r="AV285" t="s">
        <v>202</v>
      </c>
      <c r="AW285" t="s">
        <v>203</v>
      </c>
      <c r="AX285" t="s">
        <v>203</v>
      </c>
      <c r="AY285" t="s">
        <v>203</v>
      </c>
      <c r="AZ285" t="s">
        <v>203</v>
      </c>
      <c r="BA285" t="s">
        <v>203</v>
      </c>
      <c r="BB285" t="s">
        <v>203</v>
      </c>
      <c r="BC285" t="s">
        <v>203</v>
      </c>
      <c r="BD285" t="s">
        <v>203</v>
      </c>
      <c r="BE285" t="s">
        <v>203</v>
      </c>
      <c r="BF285">
        <v>0</v>
      </c>
      <c r="BG285">
        <v>0.2</v>
      </c>
      <c r="BH285">
        <v>50</v>
      </c>
      <c r="BI285">
        <v>0</v>
      </c>
      <c r="BJ285" t="s">
        <v>198</v>
      </c>
      <c r="BK285" t="s">
        <v>198</v>
      </c>
      <c r="BL285" t="s">
        <v>198</v>
      </c>
      <c r="BM285" t="s">
        <v>198</v>
      </c>
      <c r="BN285" t="s">
        <v>198</v>
      </c>
      <c r="BO285" t="s">
        <v>198</v>
      </c>
      <c r="BP285" t="s">
        <v>198</v>
      </c>
      <c r="BQ285" t="s">
        <v>198</v>
      </c>
      <c r="BR285" t="s">
        <v>198</v>
      </c>
      <c r="BS285" t="s">
        <v>198</v>
      </c>
      <c r="BT285" t="s">
        <v>198</v>
      </c>
      <c r="BU285" t="s">
        <v>198</v>
      </c>
      <c r="BV285" t="s">
        <v>198</v>
      </c>
      <c r="BW285" t="s">
        <v>198</v>
      </c>
      <c r="BX285" t="s">
        <v>198</v>
      </c>
      <c r="BY285" t="s">
        <v>198</v>
      </c>
      <c r="BZ285" t="s">
        <v>198</v>
      </c>
      <c r="CA285" t="s">
        <v>198</v>
      </c>
      <c r="CB285" t="s">
        <v>204</v>
      </c>
      <c r="CC285" t="s">
        <v>204</v>
      </c>
      <c r="CD285" t="s">
        <v>204</v>
      </c>
      <c r="CE285" t="s">
        <v>204</v>
      </c>
      <c r="CF285" t="s">
        <v>204</v>
      </c>
      <c r="CG285" t="s">
        <v>204</v>
      </c>
      <c r="CH285" t="s">
        <v>204</v>
      </c>
      <c r="CI285" t="s">
        <v>204</v>
      </c>
      <c r="CJ285" t="s">
        <v>204</v>
      </c>
      <c r="CK285" t="s">
        <v>204</v>
      </c>
      <c r="CL285" t="s">
        <v>204</v>
      </c>
      <c r="CM285" t="s">
        <v>204</v>
      </c>
      <c r="CN285" t="s">
        <v>203</v>
      </c>
      <c r="CO285" t="s">
        <v>203</v>
      </c>
      <c r="CP285" t="s">
        <v>203</v>
      </c>
      <c r="CQ285" t="s">
        <v>203</v>
      </c>
      <c r="CR285" t="s">
        <v>203</v>
      </c>
      <c r="CS285" t="s">
        <v>203</v>
      </c>
      <c r="CT285" t="s">
        <v>203</v>
      </c>
      <c r="CU285" t="s">
        <v>203</v>
      </c>
      <c r="CV285">
        <v>0</v>
      </c>
      <c r="CW285">
        <v>0</v>
      </c>
      <c r="CX285" t="s">
        <v>198</v>
      </c>
      <c r="CY285" t="s">
        <v>198</v>
      </c>
      <c r="CZ285" t="s">
        <v>198</v>
      </c>
      <c r="DA285" t="s">
        <v>198</v>
      </c>
      <c r="DB285" t="s">
        <v>198</v>
      </c>
      <c r="DC285">
        <v>0</v>
      </c>
      <c r="DD285">
        <v>0</v>
      </c>
      <c r="DE285">
        <v>0</v>
      </c>
      <c r="DF285">
        <v>0</v>
      </c>
      <c r="DG285">
        <v>-35.3631166</v>
      </c>
      <c r="DH285">
        <v>149.1639735</v>
      </c>
      <c r="DI285" t="s">
        <v>360</v>
      </c>
      <c r="DJ285">
        <v>1.2</v>
      </c>
      <c r="DK285">
        <v>2</v>
      </c>
      <c r="DL285">
        <v>159.8</v>
      </c>
      <c r="DM285">
        <v>0</v>
      </c>
      <c r="DN285">
        <v>6</v>
      </c>
      <c r="DO285">
        <v>10</v>
      </c>
      <c r="DP285">
        <v>0</v>
      </c>
      <c r="DQ285">
        <v>255</v>
      </c>
      <c r="DR285">
        <v>255</v>
      </c>
      <c r="DS285">
        <v>255</v>
      </c>
      <c r="DT285">
        <v>255</v>
      </c>
      <c r="DU285">
        <v>255</v>
      </c>
      <c r="DV285">
        <v>255</v>
      </c>
      <c r="DW285">
        <v>255</v>
      </c>
      <c r="DX285" t="s">
        <v>206</v>
      </c>
      <c r="DY285" t="s">
        <v>206</v>
      </c>
      <c r="DZ285" t="s">
        <v>207</v>
      </c>
      <c r="EA285" t="s">
        <v>198</v>
      </c>
      <c r="EB285" t="s">
        <v>198</v>
      </c>
      <c r="EC285" t="s">
        <v>198</v>
      </c>
      <c r="ED285">
        <v>0</v>
      </c>
      <c r="EE285">
        <v>0</v>
      </c>
      <c r="EF285">
        <v>0</v>
      </c>
      <c r="EG285">
        <v>0</v>
      </c>
      <c r="EH285">
        <v>255</v>
      </c>
      <c r="EI285">
        <v>255</v>
      </c>
      <c r="EJ285">
        <v>255</v>
      </c>
      <c r="EK285">
        <v>255</v>
      </c>
      <c r="EL285">
        <v>255</v>
      </c>
      <c r="EM285">
        <v>255</v>
      </c>
      <c r="EN285">
        <v>255</v>
      </c>
      <c r="EO285">
        <v>255</v>
      </c>
      <c r="EP285">
        <v>255</v>
      </c>
      <c r="EQ285">
        <v>255</v>
      </c>
      <c r="ER285" t="s">
        <v>208</v>
      </c>
      <c r="ES285" t="s">
        <v>209</v>
      </c>
      <c r="ET285" t="s">
        <v>209</v>
      </c>
      <c r="EU285">
        <v>0</v>
      </c>
      <c r="EV285">
        <v>16.2</v>
      </c>
      <c r="EW285">
        <v>-114.7</v>
      </c>
      <c r="EX285">
        <v>-0.2</v>
      </c>
      <c r="EY285">
        <v>0</v>
      </c>
      <c r="EZ285">
        <v>0</v>
      </c>
      <c r="FA285">
        <v>0</v>
      </c>
      <c r="FB285" t="s">
        <v>198</v>
      </c>
      <c r="FC285" t="s">
        <v>198</v>
      </c>
      <c r="FD285" t="s">
        <v>198</v>
      </c>
      <c r="FE285" t="s">
        <v>198</v>
      </c>
      <c r="FF285" t="s">
        <v>198</v>
      </c>
      <c r="FG285" t="s">
        <v>198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 t="s">
        <v>203</v>
      </c>
      <c r="FP285" t="s">
        <v>203</v>
      </c>
      <c r="FQ285" t="s">
        <v>203</v>
      </c>
      <c r="FR285" t="s">
        <v>203</v>
      </c>
      <c r="FS285" t="s">
        <v>203</v>
      </c>
      <c r="FT285" t="s">
        <v>203</v>
      </c>
      <c r="FU285" t="s">
        <v>198</v>
      </c>
      <c r="FV285" t="s">
        <v>198</v>
      </c>
      <c r="FW285" t="s">
        <v>198</v>
      </c>
      <c r="FX285" t="s">
        <v>198</v>
      </c>
      <c r="FY285" t="s">
        <v>198</v>
      </c>
      <c r="FZ285" t="s">
        <v>198</v>
      </c>
      <c r="GA285">
        <v>31.2</v>
      </c>
      <c r="GB285">
        <v>31.2</v>
      </c>
      <c r="GC285" t="s">
        <v>203</v>
      </c>
      <c r="GD285">
        <v>0</v>
      </c>
      <c r="GE285">
        <v>504</v>
      </c>
      <c r="GF285">
        <v>0</v>
      </c>
      <c r="GG285">
        <v>0</v>
      </c>
      <c r="GH285">
        <v>0</v>
      </c>
      <c r="GI285">
        <v>1</v>
      </c>
      <c r="GJ285">
        <v>1</v>
      </c>
      <c r="GK285">
        <v>0</v>
      </c>
      <c r="GL285" t="s">
        <v>198</v>
      </c>
      <c r="GM285" t="s">
        <v>198</v>
      </c>
      <c r="GN285" t="s">
        <v>198</v>
      </c>
    </row>
    <row r="286" spans="1:196">
      <c r="A286" s="19">
        <v>46316.90719146991</v>
      </c>
      <c r="B286">
        <v>0</v>
      </c>
      <c r="C286">
        <v>0</v>
      </c>
      <c r="D286">
        <v>277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584.2</v>
      </c>
      <c r="N286">
        <v>-0.5</v>
      </c>
      <c r="O286">
        <v>0</v>
      </c>
      <c r="P286">
        <v>0</v>
      </c>
      <c r="Q286">
        <v>0</v>
      </c>
      <c r="R286">
        <v>0</v>
      </c>
      <c r="S286">
        <v>115.6</v>
      </c>
      <c r="T286" t="s">
        <v>485</v>
      </c>
      <c r="U286">
        <v>115.7</v>
      </c>
      <c r="V286">
        <v>1762727256586.8</v>
      </c>
      <c r="W286">
        <v>1</v>
      </c>
      <c r="X286" t="s">
        <v>197</v>
      </c>
      <c r="Y286">
        <v>0</v>
      </c>
      <c r="Z286">
        <v>98</v>
      </c>
      <c r="AA286">
        <v>278</v>
      </c>
      <c r="AB286" t="s">
        <v>197</v>
      </c>
      <c r="AC286" t="s">
        <v>198</v>
      </c>
      <c r="AD286" t="s">
        <v>199</v>
      </c>
      <c r="AE286">
        <v>0</v>
      </c>
      <c r="AF286">
        <v>45</v>
      </c>
      <c r="AG286">
        <v>255</v>
      </c>
      <c r="AH286">
        <v>0</v>
      </c>
      <c r="AI286">
        <v>0</v>
      </c>
      <c r="AJ286">
        <v>0</v>
      </c>
      <c r="AK286">
        <v>12.6</v>
      </c>
      <c r="AL286">
        <v>0</v>
      </c>
      <c r="AM286">
        <v>0</v>
      </c>
      <c r="AN286" t="s">
        <v>197</v>
      </c>
      <c r="AO286">
        <v>100</v>
      </c>
      <c r="AP286" t="s">
        <v>197</v>
      </c>
      <c r="AQ286" t="s">
        <v>200</v>
      </c>
      <c r="AR286">
        <v>1</v>
      </c>
      <c r="AS286">
        <v>0</v>
      </c>
      <c r="AT286" t="s">
        <v>632</v>
      </c>
      <c r="AU286" t="s">
        <v>632</v>
      </c>
      <c r="AV286" t="s">
        <v>202</v>
      </c>
      <c r="AW286" t="s">
        <v>203</v>
      </c>
      <c r="AX286" t="s">
        <v>203</v>
      </c>
      <c r="AY286" t="s">
        <v>203</v>
      </c>
      <c r="AZ286" t="s">
        <v>203</v>
      </c>
      <c r="BA286" t="s">
        <v>203</v>
      </c>
      <c r="BB286" t="s">
        <v>203</v>
      </c>
      <c r="BC286" t="s">
        <v>203</v>
      </c>
      <c r="BD286" t="s">
        <v>203</v>
      </c>
      <c r="BE286" t="s">
        <v>203</v>
      </c>
      <c r="BF286">
        <v>0</v>
      </c>
      <c r="BG286">
        <v>0.2</v>
      </c>
      <c r="BH286">
        <v>50</v>
      </c>
      <c r="BI286">
        <v>0</v>
      </c>
      <c r="BJ286" t="s">
        <v>198</v>
      </c>
      <c r="BK286" t="s">
        <v>198</v>
      </c>
      <c r="BL286" t="s">
        <v>198</v>
      </c>
      <c r="BM286" t="s">
        <v>198</v>
      </c>
      <c r="BN286" t="s">
        <v>198</v>
      </c>
      <c r="BO286" t="s">
        <v>198</v>
      </c>
      <c r="BP286" t="s">
        <v>198</v>
      </c>
      <c r="BQ286" t="s">
        <v>198</v>
      </c>
      <c r="BR286" t="s">
        <v>198</v>
      </c>
      <c r="BS286" t="s">
        <v>198</v>
      </c>
      <c r="BT286" t="s">
        <v>198</v>
      </c>
      <c r="BU286" t="s">
        <v>198</v>
      </c>
      <c r="BV286" t="s">
        <v>198</v>
      </c>
      <c r="BW286" t="s">
        <v>198</v>
      </c>
      <c r="BX286" t="s">
        <v>198</v>
      </c>
      <c r="BY286" t="s">
        <v>198</v>
      </c>
      <c r="BZ286" t="s">
        <v>198</v>
      </c>
      <c r="CA286" t="s">
        <v>198</v>
      </c>
      <c r="CB286" t="s">
        <v>204</v>
      </c>
      <c r="CC286" t="s">
        <v>204</v>
      </c>
      <c r="CD286" t="s">
        <v>204</v>
      </c>
      <c r="CE286" t="s">
        <v>204</v>
      </c>
      <c r="CF286" t="s">
        <v>204</v>
      </c>
      <c r="CG286" t="s">
        <v>204</v>
      </c>
      <c r="CH286" t="s">
        <v>204</v>
      </c>
      <c r="CI286" t="s">
        <v>204</v>
      </c>
      <c r="CJ286" t="s">
        <v>204</v>
      </c>
      <c r="CK286" t="s">
        <v>204</v>
      </c>
      <c r="CL286" t="s">
        <v>204</v>
      </c>
      <c r="CM286" t="s">
        <v>204</v>
      </c>
      <c r="CN286" t="s">
        <v>203</v>
      </c>
      <c r="CO286" t="s">
        <v>203</v>
      </c>
      <c r="CP286" t="s">
        <v>203</v>
      </c>
      <c r="CQ286" t="s">
        <v>203</v>
      </c>
      <c r="CR286" t="s">
        <v>203</v>
      </c>
      <c r="CS286" t="s">
        <v>203</v>
      </c>
      <c r="CT286" t="s">
        <v>203</v>
      </c>
      <c r="CU286" t="s">
        <v>203</v>
      </c>
      <c r="CV286">
        <v>0</v>
      </c>
      <c r="CW286">
        <v>0</v>
      </c>
      <c r="CX286" t="s">
        <v>198</v>
      </c>
      <c r="CY286" t="s">
        <v>198</v>
      </c>
      <c r="CZ286" t="s">
        <v>198</v>
      </c>
      <c r="DA286" t="s">
        <v>198</v>
      </c>
      <c r="DB286" t="s">
        <v>198</v>
      </c>
      <c r="DC286">
        <v>0</v>
      </c>
      <c r="DD286">
        <v>0</v>
      </c>
      <c r="DE286">
        <v>0</v>
      </c>
      <c r="DF286">
        <v>0</v>
      </c>
      <c r="DG286">
        <v>-35.3631166</v>
      </c>
      <c r="DH286">
        <v>149.1639735</v>
      </c>
      <c r="DI286" t="s">
        <v>360</v>
      </c>
      <c r="DJ286">
        <v>1.2</v>
      </c>
      <c r="DK286">
        <v>2</v>
      </c>
      <c r="DL286">
        <v>159.8</v>
      </c>
      <c r="DM286">
        <v>0</v>
      </c>
      <c r="DN286">
        <v>6</v>
      </c>
      <c r="DO286">
        <v>10</v>
      </c>
      <c r="DP286">
        <v>0</v>
      </c>
      <c r="DQ286">
        <v>255</v>
      </c>
      <c r="DR286">
        <v>255</v>
      </c>
      <c r="DS286">
        <v>255</v>
      </c>
      <c r="DT286">
        <v>255</v>
      </c>
      <c r="DU286">
        <v>255</v>
      </c>
      <c r="DV286">
        <v>255</v>
      </c>
      <c r="DW286">
        <v>255</v>
      </c>
      <c r="DX286" t="s">
        <v>206</v>
      </c>
      <c r="DY286" t="s">
        <v>206</v>
      </c>
      <c r="DZ286" t="s">
        <v>207</v>
      </c>
      <c r="EA286" t="s">
        <v>198</v>
      </c>
      <c r="EB286" t="s">
        <v>198</v>
      </c>
      <c r="EC286" t="s">
        <v>198</v>
      </c>
      <c r="ED286">
        <v>0</v>
      </c>
      <c r="EE286">
        <v>0</v>
      </c>
      <c r="EF286">
        <v>0</v>
      </c>
      <c r="EG286">
        <v>0</v>
      </c>
      <c r="EH286">
        <v>255</v>
      </c>
      <c r="EI286">
        <v>255</v>
      </c>
      <c r="EJ286">
        <v>255</v>
      </c>
      <c r="EK286">
        <v>255</v>
      </c>
      <c r="EL286">
        <v>255</v>
      </c>
      <c r="EM286">
        <v>255</v>
      </c>
      <c r="EN286">
        <v>255</v>
      </c>
      <c r="EO286">
        <v>255</v>
      </c>
      <c r="EP286">
        <v>255</v>
      </c>
      <c r="EQ286">
        <v>255</v>
      </c>
      <c r="ER286" t="s">
        <v>208</v>
      </c>
      <c r="ES286" t="s">
        <v>209</v>
      </c>
      <c r="ET286" t="s">
        <v>209</v>
      </c>
      <c r="EU286">
        <v>0</v>
      </c>
      <c r="EV286">
        <v>16.2</v>
      </c>
      <c r="EW286">
        <v>-114.7</v>
      </c>
      <c r="EX286">
        <v>-0.2</v>
      </c>
      <c r="EY286">
        <v>0</v>
      </c>
      <c r="EZ286">
        <v>0</v>
      </c>
      <c r="FA286">
        <v>0</v>
      </c>
      <c r="FB286" t="s">
        <v>198</v>
      </c>
      <c r="FC286" t="s">
        <v>198</v>
      </c>
      <c r="FD286" t="s">
        <v>198</v>
      </c>
      <c r="FE286" t="s">
        <v>198</v>
      </c>
      <c r="FF286" t="s">
        <v>198</v>
      </c>
      <c r="FG286" t="s">
        <v>198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 t="s">
        <v>203</v>
      </c>
      <c r="FP286" t="s">
        <v>203</v>
      </c>
      <c r="FQ286" t="s">
        <v>203</v>
      </c>
      <c r="FR286" t="s">
        <v>203</v>
      </c>
      <c r="FS286" t="s">
        <v>203</v>
      </c>
      <c r="FT286" t="s">
        <v>203</v>
      </c>
      <c r="FU286" t="s">
        <v>198</v>
      </c>
      <c r="FV286" t="s">
        <v>198</v>
      </c>
      <c r="FW286" t="s">
        <v>198</v>
      </c>
      <c r="FX286" t="s">
        <v>198</v>
      </c>
      <c r="FY286" t="s">
        <v>198</v>
      </c>
      <c r="FZ286" t="s">
        <v>198</v>
      </c>
      <c r="GA286">
        <v>31.2</v>
      </c>
      <c r="GB286">
        <v>31.2</v>
      </c>
      <c r="GC286" t="s">
        <v>203</v>
      </c>
      <c r="GD286">
        <v>0</v>
      </c>
      <c r="GE286">
        <v>504</v>
      </c>
      <c r="GF286">
        <v>0</v>
      </c>
      <c r="GG286">
        <v>0</v>
      </c>
      <c r="GH286">
        <v>0</v>
      </c>
      <c r="GI286">
        <v>1</v>
      </c>
      <c r="GJ286">
        <v>1</v>
      </c>
      <c r="GK286">
        <v>0</v>
      </c>
      <c r="GL286" t="s">
        <v>198</v>
      </c>
      <c r="GM286" t="s">
        <v>198</v>
      </c>
      <c r="GN286" t="s">
        <v>198</v>
      </c>
    </row>
    <row r="287" spans="1:196">
      <c r="A287" s="19">
        <v>46316.90720304398</v>
      </c>
      <c r="B287">
        <v>0</v>
      </c>
      <c r="C287">
        <v>0</v>
      </c>
      <c r="D287">
        <v>277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584.2</v>
      </c>
      <c r="N287">
        <v>-0.5</v>
      </c>
      <c r="O287">
        <v>0</v>
      </c>
      <c r="P287">
        <v>0</v>
      </c>
      <c r="Q287">
        <v>0</v>
      </c>
      <c r="R287">
        <v>0</v>
      </c>
      <c r="S287">
        <v>115.6</v>
      </c>
      <c r="T287" t="s">
        <v>485</v>
      </c>
      <c r="U287">
        <v>115.7</v>
      </c>
      <c r="V287">
        <v>1762727256586.8</v>
      </c>
      <c r="W287">
        <v>1</v>
      </c>
      <c r="X287" t="s">
        <v>197</v>
      </c>
      <c r="Y287">
        <v>0</v>
      </c>
      <c r="Z287">
        <v>98</v>
      </c>
      <c r="AA287">
        <v>278</v>
      </c>
      <c r="AB287" t="s">
        <v>197</v>
      </c>
      <c r="AC287" t="s">
        <v>198</v>
      </c>
      <c r="AD287" t="s">
        <v>199</v>
      </c>
      <c r="AE287">
        <v>0</v>
      </c>
      <c r="AF287">
        <v>45</v>
      </c>
      <c r="AG287">
        <v>255</v>
      </c>
      <c r="AH287">
        <v>0</v>
      </c>
      <c r="AI287">
        <v>0</v>
      </c>
      <c r="AJ287">
        <v>0</v>
      </c>
      <c r="AK287">
        <v>12.6</v>
      </c>
      <c r="AL287">
        <v>0</v>
      </c>
      <c r="AM287">
        <v>0</v>
      </c>
      <c r="AN287" t="s">
        <v>197</v>
      </c>
      <c r="AO287">
        <v>100</v>
      </c>
      <c r="AP287" t="s">
        <v>197</v>
      </c>
      <c r="AQ287" t="s">
        <v>200</v>
      </c>
      <c r="AR287">
        <v>1</v>
      </c>
      <c r="AS287">
        <v>0</v>
      </c>
      <c r="AT287" t="s">
        <v>633</v>
      </c>
      <c r="AU287" t="s">
        <v>633</v>
      </c>
      <c r="AV287" t="s">
        <v>202</v>
      </c>
      <c r="AW287" t="s">
        <v>203</v>
      </c>
      <c r="AX287" t="s">
        <v>203</v>
      </c>
      <c r="AY287" t="s">
        <v>203</v>
      </c>
      <c r="AZ287" t="s">
        <v>203</v>
      </c>
      <c r="BA287" t="s">
        <v>203</v>
      </c>
      <c r="BB287" t="s">
        <v>203</v>
      </c>
      <c r="BC287" t="s">
        <v>203</v>
      </c>
      <c r="BD287" t="s">
        <v>203</v>
      </c>
      <c r="BE287" t="s">
        <v>203</v>
      </c>
      <c r="BF287">
        <v>0</v>
      </c>
      <c r="BG287">
        <v>0.2</v>
      </c>
      <c r="BH287">
        <v>50</v>
      </c>
      <c r="BI287">
        <v>0</v>
      </c>
      <c r="BJ287" t="s">
        <v>198</v>
      </c>
      <c r="BK287" t="s">
        <v>198</v>
      </c>
      <c r="BL287" t="s">
        <v>198</v>
      </c>
      <c r="BM287" t="s">
        <v>198</v>
      </c>
      <c r="BN287" t="s">
        <v>198</v>
      </c>
      <c r="BO287" t="s">
        <v>198</v>
      </c>
      <c r="BP287" t="s">
        <v>198</v>
      </c>
      <c r="BQ287" t="s">
        <v>198</v>
      </c>
      <c r="BR287" t="s">
        <v>198</v>
      </c>
      <c r="BS287" t="s">
        <v>198</v>
      </c>
      <c r="BT287" t="s">
        <v>198</v>
      </c>
      <c r="BU287" t="s">
        <v>198</v>
      </c>
      <c r="BV287" t="s">
        <v>198</v>
      </c>
      <c r="BW287" t="s">
        <v>198</v>
      </c>
      <c r="BX287" t="s">
        <v>198</v>
      </c>
      <c r="BY287" t="s">
        <v>198</v>
      </c>
      <c r="BZ287" t="s">
        <v>198</v>
      </c>
      <c r="CA287" t="s">
        <v>198</v>
      </c>
      <c r="CB287" t="s">
        <v>204</v>
      </c>
      <c r="CC287" t="s">
        <v>204</v>
      </c>
      <c r="CD287" t="s">
        <v>204</v>
      </c>
      <c r="CE287" t="s">
        <v>204</v>
      </c>
      <c r="CF287" t="s">
        <v>204</v>
      </c>
      <c r="CG287" t="s">
        <v>204</v>
      </c>
      <c r="CH287" t="s">
        <v>204</v>
      </c>
      <c r="CI287" t="s">
        <v>204</v>
      </c>
      <c r="CJ287" t="s">
        <v>204</v>
      </c>
      <c r="CK287" t="s">
        <v>204</v>
      </c>
      <c r="CL287" t="s">
        <v>204</v>
      </c>
      <c r="CM287" t="s">
        <v>204</v>
      </c>
      <c r="CN287" t="s">
        <v>203</v>
      </c>
      <c r="CO287" t="s">
        <v>203</v>
      </c>
      <c r="CP287" t="s">
        <v>203</v>
      </c>
      <c r="CQ287" t="s">
        <v>203</v>
      </c>
      <c r="CR287" t="s">
        <v>203</v>
      </c>
      <c r="CS287" t="s">
        <v>203</v>
      </c>
      <c r="CT287" t="s">
        <v>203</v>
      </c>
      <c r="CU287" t="s">
        <v>203</v>
      </c>
      <c r="CV287">
        <v>0</v>
      </c>
      <c r="CW287">
        <v>0</v>
      </c>
      <c r="CX287" t="s">
        <v>198</v>
      </c>
      <c r="CY287" t="s">
        <v>198</v>
      </c>
      <c r="CZ287" t="s">
        <v>198</v>
      </c>
      <c r="DA287" t="s">
        <v>198</v>
      </c>
      <c r="DB287" t="s">
        <v>198</v>
      </c>
      <c r="DC287">
        <v>0</v>
      </c>
      <c r="DD287">
        <v>0</v>
      </c>
      <c r="DE287">
        <v>0</v>
      </c>
      <c r="DF287">
        <v>0</v>
      </c>
      <c r="DG287">
        <v>-35.3631166</v>
      </c>
      <c r="DH287">
        <v>149.1639735</v>
      </c>
      <c r="DI287" t="s">
        <v>360</v>
      </c>
      <c r="DJ287">
        <v>1.2</v>
      </c>
      <c r="DK287">
        <v>2</v>
      </c>
      <c r="DL287">
        <v>159.8</v>
      </c>
      <c r="DM287">
        <v>0</v>
      </c>
      <c r="DN287">
        <v>6</v>
      </c>
      <c r="DO287">
        <v>10</v>
      </c>
      <c r="DP287">
        <v>0</v>
      </c>
      <c r="DQ287">
        <v>255</v>
      </c>
      <c r="DR287">
        <v>255</v>
      </c>
      <c r="DS287">
        <v>255</v>
      </c>
      <c r="DT287">
        <v>255</v>
      </c>
      <c r="DU287">
        <v>255</v>
      </c>
      <c r="DV287">
        <v>255</v>
      </c>
      <c r="DW287">
        <v>255</v>
      </c>
      <c r="DX287" t="s">
        <v>206</v>
      </c>
      <c r="DY287" t="s">
        <v>206</v>
      </c>
      <c r="DZ287" t="s">
        <v>207</v>
      </c>
      <c r="EA287" t="s">
        <v>198</v>
      </c>
      <c r="EB287" t="s">
        <v>198</v>
      </c>
      <c r="EC287" t="s">
        <v>198</v>
      </c>
      <c r="ED287">
        <v>0</v>
      </c>
      <c r="EE287">
        <v>0</v>
      </c>
      <c r="EF287">
        <v>0</v>
      </c>
      <c r="EG287">
        <v>0</v>
      </c>
      <c r="EH287">
        <v>255</v>
      </c>
      <c r="EI287">
        <v>255</v>
      </c>
      <c r="EJ287">
        <v>255</v>
      </c>
      <c r="EK287">
        <v>255</v>
      </c>
      <c r="EL287">
        <v>255</v>
      </c>
      <c r="EM287">
        <v>255</v>
      </c>
      <c r="EN287">
        <v>255</v>
      </c>
      <c r="EO287">
        <v>255</v>
      </c>
      <c r="EP287">
        <v>255</v>
      </c>
      <c r="EQ287">
        <v>255</v>
      </c>
      <c r="ER287" t="s">
        <v>208</v>
      </c>
      <c r="ES287" t="s">
        <v>209</v>
      </c>
      <c r="ET287" t="s">
        <v>209</v>
      </c>
      <c r="EU287">
        <v>0</v>
      </c>
      <c r="EV287">
        <v>16.2</v>
      </c>
      <c r="EW287">
        <v>-114.7</v>
      </c>
      <c r="EX287">
        <v>-0.2</v>
      </c>
      <c r="EY287">
        <v>0</v>
      </c>
      <c r="EZ287">
        <v>0</v>
      </c>
      <c r="FA287">
        <v>0</v>
      </c>
      <c r="FB287" t="s">
        <v>198</v>
      </c>
      <c r="FC287" t="s">
        <v>198</v>
      </c>
      <c r="FD287" t="s">
        <v>198</v>
      </c>
      <c r="FE287" t="s">
        <v>198</v>
      </c>
      <c r="FF287" t="s">
        <v>198</v>
      </c>
      <c r="FG287" t="s">
        <v>198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 t="s">
        <v>203</v>
      </c>
      <c r="FP287" t="s">
        <v>203</v>
      </c>
      <c r="FQ287" t="s">
        <v>203</v>
      </c>
      <c r="FR287" t="s">
        <v>203</v>
      </c>
      <c r="FS287" t="s">
        <v>203</v>
      </c>
      <c r="FT287" t="s">
        <v>203</v>
      </c>
      <c r="FU287" t="s">
        <v>198</v>
      </c>
      <c r="FV287" t="s">
        <v>198</v>
      </c>
      <c r="FW287" t="s">
        <v>198</v>
      </c>
      <c r="FX287" t="s">
        <v>198</v>
      </c>
      <c r="FY287" t="s">
        <v>198</v>
      </c>
      <c r="FZ287" t="s">
        <v>198</v>
      </c>
      <c r="GA287">
        <v>31.2</v>
      </c>
      <c r="GB287">
        <v>31.2</v>
      </c>
      <c r="GC287" t="s">
        <v>203</v>
      </c>
      <c r="GD287">
        <v>0</v>
      </c>
      <c r="GE287">
        <v>504</v>
      </c>
      <c r="GF287">
        <v>0</v>
      </c>
      <c r="GG287">
        <v>0</v>
      </c>
      <c r="GH287">
        <v>0</v>
      </c>
      <c r="GI287">
        <v>1</v>
      </c>
      <c r="GJ287">
        <v>1</v>
      </c>
      <c r="GK287">
        <v>0</v>
      </c>
      <c r="GL287" t="s">
        <v>198</v>
      </c>
      <c r="GM287" t="s">
        <v>198</v>
      </c>
      <c r="GN287" t="s">
        <v>198</v>
      </c>
    </row>
    <row r="288" spans="1:196">
      <c r="A288" s="19">
        <v>46316.90721461806</v>
      </c>
      <c r="B288">
        <v>0</v>
      </c>
      <c r="C288">
        <v>0</v>
      </c>
      <c r="D288">
        <v>277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584.2</v>
      </c>
      <c r="N288">
        <v>-0.5</v>
      </c>
      <c r="O288">
        <v>0</v>
      </c>
      <c r="P288">
        <v>0</v>
      </c>
      <c r="Q288">
        <v>0</v>
      </c>
      <c r="R288">
        <v>0</v>
      </c>
      <c r="S288">
        <v>115.6</v>
      </c>
      <c r="T288" t="s">
        <v>485</v>
      </c>
      <c r="U288">
        <v>115.7</v>
      </c>
      <c r="V288">
        <v>1762727256586.8</v>
      </c>
      <c r="W288">
        <v>1</v>
      </c>
      <c r="X288" t="s">
        <v>197</v>
      </c>
      <c r="Y288">
        <v>0</v>
      </c>
      <c r="Z288">
        <v>98</v>
      </c>
      <c r="AA288">
        <v>278</v>
      </c>
      <c r="AB288" t="s">
        <v>197</v>
      </c>
      <c r="AC288" t="s">
        <v>198</v>
      </c>
      <c r="AD288" t="s">
        <v>199</v>
      </c>
      <c r="AE288">
        <v>0</v>
      </c>
      <c r="AF288">
        <v>45</v>
      </c>
      <c r="AG288">
        <v>255</v>
      </c>
      <c r="AH288">
        <v>0</v>
      </c>
      <c r="AI288">
        <v>0</v>
      </c>
      <c r="AJ288">
        <v>0</v>
      </c>
      <c r="AK288">
        <v>12.6</v>
      </c>
      <c r="AL288">
        <v>0</v>
      </c>
      <c r="AM288">
        <v>0</v>
      </c>
      <c r="AN288" t="s">
        <v>197</v>
      </c>
      <c r="AO288">
        <v>100</v>
      </c>
      <c r="AP288" t="s">
        <v>197</v>
      </c>
      <c r="AQ288" t="s">
        <v>200</v>
      </c>
      <c r="AR288">
        <v>1</v>
      </c>
      <c r="AS288">
        <v>0</v>
      </c>
      <c r="AT288" t="s">
        <v>634</v>
      </c>
      <c r="AU288" t="s">
        <v>634</v>
      </c>
      <c r="AV288" t="s">
        <v>202</v>
      </c>
      <c r="AW288" t="s">
        <v>203</v>
      </c>
      <c r="AX288" t="s">
        <v>203</v>
      </c>
      <c r="AY288" t="s">
        <v>203</v>
      </c>
      <c r="AZ288" t="s">
        <v>203</v>
      </c>
      <c r="BA288" t="s">
        <v>203</v>
      </c>
      <c r="BB288" t="s">
        <v>203</v>
      </c>
      <c r="BC288" t="s">
        <v>203</v>
      </c>
      <c r="BD288" t="s">
        <v>203</v>
      </c>
      <c r="BE288" t="s">
        <v>203</v>
      </c>
      <c r="BF288">
        <v>0</v>
      </c>
      <c r="BG288">
        <v>0.2</v>
      </c>
      <c r="BH288">
        <v>50</v>
      </c>
      <c r="BI288">
        <v>0</v>
      </c>
      <c r="BJ288" t="s">
        <v>198</v>
      </c>
      <c r="BK288" t="s">
        <v>198</v>
      </c>
      <c r="BL288" t="s">
        <v>198</v>
      </c>
      <c r="BM288" t="s">
        <v>198</v>
      </c>
      <c r="BN288" t="s">
        <v>198</v>
      </c>
      <c r="BO288" t="s">
        <v>198</v>
      </c>
      <c r="BP288" t="s">
        <v>198</v>
      </c>
      <c r="BQ288" t="s">
        <v>198</v>
      </c>
      <c r="BR288" t="s">
        <v>198</v>
      </c>
      <c r="BS288" t="s">
        <v>198</v>
      </c>
      <c r="BT288" t="s">
        <v>198</v>
      </c>
      <c r="BU288" t="s">
        <v>198</v>
      </c>
      <c r="BV288" t="s">
        <v>198</v>
      </c>
      <c r="BW288" t="s">
        <v>198</v>
      </c>
      <c r="BX288" t="s">
        <v>198</v>
      </c>
      <c r="BY288" t="s">
        <v>198</v>
      </c>
      <c r="BZ288" t="s">
        <v>198</v>
      </c>
      <c r="CA288" t="s">
        <v>198</v>
      </c>
      <c r="CB288" t="s">
        <v>204</v>
      </c>
      <c r="CC288" t="s">
        <v>204</v>
      </c>
      <c r="CD288" t="s">
        <v>204</v>
      </c>
      <c r="CE288" t="s">
        <v>204</v>
      </c>
      <c r="CF288" t="s">
        <v>204</v>
      </c>
      <c r="CG288" t="s">
        <v>204</v>
      </c>
      <c r="CH288" t="s">
        <v>204</v>
      </c>
      <c r="CI288" t="s">
        <v>204</v>
      </c>
      <c r="CJ288" t="s">
        <v>204</v>
      </c>
      <c r="CK288" t="s">
        <v>204</v>
      </c>
      <c r="CL288" t="s">
        <v>204</v>
      </c>
      <c r="CM288" t="s">
        <v>204</v>
      </c>
      <c r="CN288" t="s">
        <v>203</v>
      </c>
      <c r="CO288" t="s">
        <v>203</v>
      </c>
      <c r="CP288" t="s">
        <v>203</v>
      </c>
      <c r="CQ288" t="s">
        <v>203</v>
      </c>
      <c r="CR288" t="s">
        <v>203</v>
      </c>
      <c r="CS288" t="s">
        <v>203</v>
      </c>
      <c r="CT288" t="s">
        <v>203</v>
      </c>
      <c r="CU288" t="s">
        <v>203</v>
      </c>
      <c r="CV288">
        <v>0</v>
      </c>
      <c r="CW288">
        <v>0</v>
      </c>
      <c r="CX288" t="s">
        <v>198</v>
      </c>
      <c r="CY288" t="s">
        <v>198</v>
      </c>
      <c r="CZ288" t="s">
        <v>198</v>
      </c>
      <c r="DA288" t="s">
        <v>198</v>
      </c>
      <c r="DB288" t="s">
        <v>198</v>
      </c>
      <c r="DC288">
        <v>0</v>
      </c>
      <c r="DD288">
        <v>0</v>
      </c>
      <c r="DE288">
        <v>0</v>
      </c>
      <c r="DF288">
        <v>0</v>
      </c>
      <c r="DG288">
        <v>-35.3631166</v>
      </c>
      <c r="DH288">
        <v>149.1639735</v>
      </c>
      <c r="DI288" t="s">
        <v>360</v>
      </c>
      <c r="DJ288">
        <v>1.2</v>
      </c>
      <c r="DK288">
        <v>2</v>
      </c>
      <c r="DL288">
        <v>159.8</v>
      </c>
      <c r="DM288">
        <v>0</v>
      </c>
      <c r="DN288">
        <v>6</v>
      </c>
      <c r="DO288">
        <v>10</v>
      </c>
      <c r="DP288">
        <v>0</v>
      </c>
      <c r="DQ288">
        <v>255</v>
      </c>
      <c r="DR288">
        <v>255</v>
      </c>
      <c r="DS288">
        <v>255</v>
      </c>
      <c r="DT288">
        <v>255</v>
      </c>
      <c r="DU288">
        <v>255</v>
      </c>
      <c r="DV288">
        <v>255</v>
      </c>
      <c r="DW288">
        <v>255</v>
      </c>
      <c r="DX288" t="s">
        <v>206</v>
      </c>
      <c r="DY288" t="s">
        <v>206</v>
      </c>
      <c r="DZ288" t="s">
        <v>207</v>
      </c>
      <c r="EA288" t="s">
        <v>198</v>
      </c>
      <c r="EB288" t="s">
        <v>198</v>
      </c>
      <c r="EC288" t="s">
        <v>198</v>
      </c>
      <c r="ED288">
        <v>0</v>
      </c>
      <c r="EE288">
        <v>0</v>
      </c>
      <c r="EF288">
        <v>0</v>
      </c>
      <c r="EG288">
        <v>0</v>
      </c>
      <c r="EH288">
        <v>255</v>
      </c>
      <c r="EI288">
        <v>255</v>
      </c>
      <c r="EJ288">
        <v>255</v>
      </c>
      <c r="EK288">
        <v>255</v>
      </c>
      <c r="EL288">
        <v>255</v>
      </c>
      <c r="EM288">
        <v>255</v>
      </c>
      <c r="EN288">
        <v>255</v>
      </c>
      <c r="EO288">
        <v>255</v>
      </c>
      <c r="EP288">
        <v>255</v>
      </c>
      <c r="EQ288">
        <v>255</v>
      </c>
      <c r="ER288" t="s">
        <v>208</v>
      </c>
      <c r="ES288" t="s">
        <v>209</v>
      </c>
      <c r="ET288" t="s">
        <v>209</v>
      </c>
      <c r="EU288">
        <v>0</v>
      </c>
      <c r="EV288">
        <v>16.2</v>
      </c>
      <c r="EW288">
        <v>-114.7</v>
      </c>
      <c r="EX288">
        <v>-0.2</v>
      </c>
      <c r="EY288">
        <v>0</v>
      </c>
      <c r="EZ288">
        <v>0</v>
      </c>
      <c r="FA288">
        <v>0</v>
      </c>
      <c r="FB288" t="s">
        <v>198</v>
      </c>
      <c r="FC288" t="s">
        <v>198</v>
      </c>
      <c r="FD288" t="s">
        <v>198</v>
      </c>
      <c r="FE288" t="s">
        <v>198</v>
      </c>
      <c r="FF288" t="s">
        <v>198</v>
      </c>
      <c r="FG288" t="s">
        <v>198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203</v>
      </c>
      <c r="FP288" t="s">
        <v>203</v>
      </c>
      <c r="FQ288" t="s">
        <v>203</v>
      </c>
      <c r="FR288" t="s">
        <v>203</v>
      </c>
      <c r="FS288" t="s">
        <v>203</v>
      </c>
      <c r="FT288" t="s">
        <v>203</v>
      </c>
      <c r="FU288" t="s">
        <v>198</v>
      </c>
      <c r="FV288" t="s">
        <v>198</v>
      </c>
      <c r="FW288" t="s">
        <v>198</v>
      </c>
      <c r="FX288" t="s">
        <v>198</v>
      </c>
      <c r="FY288" t="s">
        <v>198</v>
      </c>
      <c r="FZ288" t="s">
        <v>198</v>
      </c>
      <c r="GA288">
        <v>31.2</v>
      </c>
      <c r="GB288">
        <v>31.2</v>
      </c>
      <c r="GC288" t="s">
        <v>203</v>
      </c>
      <c r="GD288">
        <v>0</v>
      </c>
      <c r="GE288">
        <v>504</v>
      </c>
      <c r="GF288">
        <v>0</v>
      </c>
      <c r="GG288">
        <v>0</v>
      </c>
      <c r="GH288">
        <v>0</v>
      </c>
      <c r="GI288">
        <v>1</v>
      </c>
      <c r="GJ288">
        <v>1</v>
      </c>
      <c r="GK288">
        <v>0</v>
      </c>
      <c r="GL288" t="s">
        <v>198</v>
      </c>
      <c r="GM288" t="s">
        <v>198</v>
      </c>
      <c r="GN288" t="s">
        <v>198</v>
      </c>
    </row>
    <row r="289" spans="1:196">
      <c r="A289" s="19">
        <v>46316.90722619213</v>
      </c>
      <c r="B289">
        <v>0</v>
      </c>
      <c r="C289">
        <v>0</v>
      </c>
      <c r="D289">
        <v>277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584.2</v>
      </c>
      <c r="N289">
        <v>-0.5</v>
      </c>
      <c r="O289">
        <v>0</v>
      </c>
      <c r="P289">
        <v>0</v>
      </c>
      <c r="Q289">
        <v>0</v>
      </c>
      <c r="R289">
        <v>0</v>
      </c>
      <c r="S289">
        <v>115.6</v>
      </c>
      <c r="T289" t="s">
        <v>485</v>
      </c>
      <c r="U289">
        <v>115.7</v>
      </c>
      <c r="V289">
        <v>1762727256586.8</v>
      </c>
      <c r="W289">
        <v>1</v>
      </c>
      <c r="X289" t="s">
        <v>197</v>
      </c>
      <c r="Y289">
        <v>0</v>
      </c>
      <c r="Z289">
        <v>98</v>
      </c>
      <c r="AA289">
        <v>278</v>
      </c>
      <c r="AB289" t="s">
        <v>197</v>
      </c>
      <c r="AC289" t="s">
        <v>198</v>
      </c>
      <c r="AD289" t="s">
        <v>199</v>
      </c>
      <c r="AE289">
        <v>0</v>
      </c>
      <c r="AF289">
        <v>45</v>
      </c>
      <c r="AG289">
        <v>255</v>
      </c>
      <c r="AH289">
        <v>0</v>
      </c>
      <c r="AI289">
        <v>0</v>
      </c>
      <c r="AJ289">
        <v>0</v>
      </c>
      <c r="AK289">
        <v>12.6</v>
      </c>
      <c r="AL289">
        <v>0</v>
      </c>
      <c r="AM289">
        <v>0</v>
      </c>
      <c r="AN289" t="s">
        <v>197</v>
      </c>
      <c r="AO289">
        <v>100</v>
      </c>
      <c r="AP289" t="s">
        <v>197</v>
      </c>
      <c r="AQ289" t="s">
        <v>200</v>
      </c>
      <c r="AR289">
        <v>1</v>
      </c>
      <c r="AS289">
        <v>0</v>
      </c>
      <c r="AT289" t="s">
        <v>635</v>
      </c>
      <c r="AU289" t="s">
        <v>635</v>
      </c>
      <c r="AV289" t="s">
        <v>202</v>
      </c>
      <c r="AW289" t="s">
        <v>203</v>
      </c>
      <c r="AX289" t="s">
        <v>203</v>
      </c>
      <c r="AY289" t="s">
        <v>203</v>
      </c>
      <c r="AZ289" t="s">
        <v>203</v>
      </c>
      <c r="BA289" t="s">
        <v>203</v>
      </c>
      <c r="BB289" t="s">
        <v>203</v>
      </c>
      <c r="BC289" t="s">
        <v>203</v>
      </c>
      <c r="BD289" t="s">
        <v>203</v>
      </c>
      <c r="BE289" t="s">
        <v>203</v>
      </c>
      <c r="BF289">
        <v>0</v>
      </c>
      <c r="BG289">
        <v>0.2</v>
      </c>
      <c r="BH289">
        <v>50</v>
      </c>
      <c r="BI289">
        <v>0</v>
      </c>
      <c r="BJ289" t="s">
        <v>198</v>
      </c>
      <c r="BK289" t="s">
        <v>198</v>
      </c>
      <c r="BL289" t="s">
        <v>198</v>
      </c>
      <c r="BM289" t="s">
        <v>198</v>
      </c>
      <c r="BN289" t="s">
        <v>198</v>
      </c>
      <c r="BO289" t="s">
        <v>198</v>
      </c>
      <c r="BP289" t="s">
        <v>198</v>
      </c>
      <c r="BQ289" t="s">
        <v>198</v>
      </c>
      <c r="BR289" t="s">
        <v>198</v>
      </c>
      <c r="BS289" t="s">
        <v>198</v>
      </c>
      <c r="BT289" t="s">
        <v>198</v>
      </c>
      <c r="BU289" t="s">
        <v>198</v>
      </c>
      <c r="BV289" t="s">
        <v>198</v>
      </c>
      <c r="BW289" t="s">
        <v>198</v>
      </c>
      <c r="BX289" t="s">
        <v>198</v>
      </c>
      <c r="BY289" t="s">
        <v>198</v>
      </c>
      <c r="BZ289" t="s">
        <v>198</v>
      </c>
      <c r="CA289" t="s">
        <v>198</v>
      </c>
      <c r="CB289" t="s">
        <v>204</v>
      </c>
      <c r="CC289" t="s">
        <v>204</v>
      </c>
      <c r="CD289" t="s">
        <v>204</v>
      </c>
      <c r="CE289" t="s">
        <v>204</v>
      </c>
      <c r="CF289" t="s">
        <v>204</v>
      </c>
      <c r="CG289" t="s">
        <v>204</v>
      </c>
      <c r="CH289" t="s">
        <v>204</v>
      </c>
      <c r="CI289" t="s">
        <v>204</v>
      </c>
      <c r="CJ289" t="s">
        <v>204</v>
      </c>
      <c r="CK289" t="s">
        <v>204</v>
      </c>
      <c r="CL289" t="s">
        <v>204</v>
      </c>
      <c r="CM289" t="s">
        <v>204</v>
      </c>
      <c r="CN289" t="s">
        <v>203</v>
      </c>
      <c r="CO289" t="s">
        <v>203</v>
      </c>
      <c r="CP289" t="s">
        <v>203</v>
      </c>
      <c r="CQ289" t="s">
        <v>203</v>
      </c>
      <c r="CR289" t="s">
        <v>203</v>
      </c>
      <c r="CS289" t="s">
        <v>203</v>
      </c>
      <c r="CT289" t="s">
        <v>203</v>
      </c>
      <c r="CU289" t="s">
        <v>203</v>
      </c>
      <c r="CV289">
        <v>0</v>
      </c>
      <c r="CW289">
        <v>0</v>
      </c>
      <c r="CX289" t="s">
        <v>198</v>
      </c>
      <c r="CY289" t="s">
        <v>198</v>
      </c>
      <c r="CZ289" t="s">
        <v>198</v>
      </c>
      <c r="DA289" t="s">
        <v>198</v>
      </c>
      <c r="DB289" t="s">
        <v>198</v>
      </c>
      <c r="DC289">
        <v>0</v>
      </c>
      <c r="DD289">
        <v>0</v>
      </c>
      <c r="DE289">
        <v>0</v>
      </c>
      <c r="DF289">
        <v>0</v>
      </c>
      <c r="DG289">
        <v>-35.3631166</v>
      </c>
      <c r="DH289">
        <v>149.1639735</v>
      </c>
      <c r="DI289" t="s">
        <v>360</v>
      </c>
      <c r="DJ289">
        <v>1.2</v>
      </c>
      <c r="DK289">
        <v>2</v>
      </c>
      <c r="DL289">
        <v>159.8</v>
      </c>
      <c r="DM289">
        <v>0</v>
      </c>
      <c r="DN289">
        <v>6</v>
      </c>
      <c r="DO289">
        <v>10</v>
      </c>
      <c r="DP289">
        <v>0</v>
      </c>
      <c r="DQ289">
        <v>255</v>
      </c>
      <c r="DR289">
        <v>255</v>
      </c>
      <c r="DS289">
        <v>255</v>
      </c>
      <c r="DT289">
        <v>255</v>
      </c>
      <c r="DU289">
        <v>255</v>
      </c>
      <c r="DV289">
        <v>255</v>
      </c>
      <c r="DW289">
        <v>255</v>
      </c>
      <c r="DX289" t="s">
        <v>206</v>
      </c>
      <c r="DY289" t="s">
        <v>206</v>
      </c>
      <c r="DZ289" t="s">
        <v>207</v>
      </c>
      <c r="EA289" t="s">
        <v>198</v>
      </c>
      <c r="EB289" t="s">
        <v>198</v>
      </c>
      <c r="EC289" t="s">
        <v>198</v>
      </c>
      <c r="ED289">
        <v>0</v>
      </c>
      <c r="EE289">
        <v>0</v>
      </c>
      <c r="EF289">
        <v>0</v>
      </c>
      <c r="EG289">
        <v>0</v>
      </c>
      <c r="EH289">
        <v>255</v>
      </c>
      <c r="EI289">
        <v>255</v>
      </c>
      <c r="EJ289">
        <v>255</v>
      </c>
      <c r="EK289">
        <v>255</v>
      </c>
      <c r="EL289">
        <v>255</v>
      </c>
      <c r="EM289">
        <v>255</v>
      </c>
      <c r="EN289">
        <v>255</v>
      </c>
      <c r="EO289">
        <v>255</v>
      </c>
      <c r="EP289">
        <v>255</v>
      </c>
      <c r="EQ289">
        <v>255</v>
      </c>
      <c r="ER289" t="s">
        <v>208</v>
      </c>
      <c r="ES289" t="s">
        <v>209</v>
      </c>
      <c r="ET289" t="s">
        <v>209</v>
      </c>
      <c r="EU289">
        <v>0</v>
      </c>
      <c r="EV289">
        <v>16.2</v>
      </c>
      <c r="EW289">
        <v>-114.7</v>
      </c>
      <c r="EX289">
        <v>-0.2</v>
      </c>
      <c r="EY289">
        <v>0</v>
      </c>
      <c r="EZ289">
        <v>0</v>
      </c>
      <c r="FA289">
        <v>0</v>
      </c>
      <c r="FB289" t="s">
        <v>198</v>
      </c>
      <c r="FC289" t="s">
        <v>198</v>
      </c>
      <c r="FD289" t="s">
        <v>198</v>
      </c>
      <c r="FE289" t="s">
        <v>198</v>
      </c>
      <c r="FF289" t="s">
        <v>198</v>
      </c>
      <c r="FG289" t="s">
        <v>198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 t="s">
        <v>203</v>
      </c>
      <c r="FP289" t="s">
        <v>203</v>
      </c>
      <c r="FQ289" t="s">
        <v>203</v>
      </c>
      <c r="FR289" t="s">
        <v>203</v>
      </c>
      <c r="FS289" t="s">
        <v>203</v>
      </c>
      <c r="FT289" t="s">
        <v>203</v>
      </c>
      <c r="FU289" t="s">
        <v>198</v>
      </c>
      <c r="FV289" t="s">
        <v>198</v>
      </c>
      <c r="FW289" t="s">
        <v>198</v>
      </c>
      <c r="FX289" t="s">
        <v>198</v>
      </c>
      <c r="FY289" t="s">
        <v>198</v>
      </c>
      <c r="FZ289" t="s">
        <v>198</v>
      </c>
      <c r="GA289">
        <v>31.2</v>
      </c>
      <c r="GB289">
        <v>31.2</v>
      </c>
      <c r="GC289" t="s">
        <v>203</v>
      </c>
      <c r="GD289">
        <v>0</v>
      </c>
      <c r="GE289">
        <v>504</v>
      </c>
      <c r="GF289">
        <v>0</v>
      </c>
      <c r="GG289">
        <v>0</v>
      </c>
      <c r="GH289">
        <v>0</v>
      </c>
      <c r="GI289">
        <v>1</v>
      </c>
      <c r="GJ289">
        <v>1</v>
      </c>
      <c r="GK289">
        <v>0</v>
      </c>
      <c r="GL289" t="s">
        <v>198</v>
      </c>
      <c r="GM289" t="s">
        <v>198</v>
      </c>
      <c r="GN289" t="s">
        <v>198</v>
      </c>
    </row>
    <row r="290" spans="1:196">
      <c r="A290" s="19">
        <v>46316.9072377662</v>
      </c>
      <c r="B290">
        <v>0</v>
      </c>
      <c r="C290">
        <v>0</v>
      </c>
      <c r="D290">
        <v>277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584.2</v>
      </c>
      <c r="N290">
        <v>-0.5</v>
      </c>
      <c r="O290">
        <v>0</v>
      </c>
      <c r="P290">
        <v>0</v>
      </c>
      <c r="Q290">
        <v>0</v>
      </c>
      <c r="R290">
        <v>0</v>
      </c>
      <c r="S290">
        <v>115.6</v>
      </c>
      <c r="T290" t="s">
        <v>485</v>
      </c>
      <c r="U290">
        <v>115.7</v>
      </c>
      <c r="V290">
        <v>1762727256586.8</v>
      </c>
      <c r="W290">
        <v>1</v>
      </c>
      <c r="X290" t="s">
        <v>197</v>
      </c>
      <c r="Y290">
        <v>0</v>
      </c>
      <c r="Z290">
        <v>98</v>
      </c>
      <c r="AA290">
        <v>278</v>
      </c>
      <c r="AB290" t="s">
        <v>197</v>
      </c>
      <c r="AC290" t="s">
        <v>198</v>
      </c>
      <c r="AD290" t="s">
        <v>199</v>
      </c>
      <c r="AE290">
        <v>0</v>
      </c>
      <c r="AF290">
        <v>45</v>
      </c>
      <c r="AG290">
        <v>255</v>
      </c>
      <c r="AH290">
        <v>0</v>
      </c>
      <c r="AI290">
        <v>0</v>
      </c>
      <c r="AJ290">
        <v>0</v>
      </c>
      <c r="AK290">
        <v>12.6</v>
      </c>
      <c r="AL290">
        <v>0</v>
      </c>
      <c r="AM290">
        <v>0</v>
      </c>
      <c r="AN290" t="s">
        <v>197</v>
      </c>
      <c r="AO290">
        <v>100</v>
      </c>
      <c r="AP290" t="s">
        <v>197</v>
      </c>
      <c r="AQ290" t="s">
        <v>200</v>
      </c>
      <c r="AR290">
        <v>1</v>
      </c>
      <c r="AS290">
        <v>0</v>
      </c>
      <c r="AT290" t="s">
        <v>636</v>
      </c>
      <c r="AU290" t="s">
        <v>636</v>
      </c>
      <c r="AV290" t="s">
        <v>202</v>
      </c>
      <c r="AW290" t="s">
        <v>203</v>
      </c>
      <c r="AX290" t="s">
        <v>203</v>
      </c>
      <c r="AY290" t="s">
        <v>203</v>
      </c>
      <c r="AZ290" t="s">
        <v>203</v>
      </c>
      <c r="BA290" t="s">
        <v>203</v>
      </c>
      <c r="BB290" t="s">
        <v>203</v>
      </c>
      <c r="BC290" t="s">
        <v>203</v>
      </c>
      <c r="BD290" t="s">
        <v>203</v>
      </c>
      <c r="BE290" t="s">
        <v>203</v>
      </c>
      <c r="BF290">
        <v>0</v>
      </c>
      <c r="BG290">
        <v>0.2</v>
      </c>
      <c r="BH290">
        <v>50</v>
      </c>
      <c r="BI290">
        <v>0</v>
      </c>
      <c r="BJ290" t="s">
        <v>198</v>
      </c>
      <c r="BK290" t="s">
        <v>198</v>
      </c>
      <c r="BL290" t="s">
        <v>198</v>
      </c>
      <c r="BM290" t="s">
        <v>198</v>
      </c>
      <c r="BN290" t="s">
        <v>198</v>
      </c>
      <c r="BO290" t="s">
        <v>198</v>
      </c>
      <c r="BP290" t="s">
        <v>198</v>
      </c>
      <c r="BQ290" t="s">
        <v>198</v>
      </c>
      <c r="BR290" t="s">
        <v>198</v>
      </c>
      <c r="BS290" t="s">
        <v>198</v>
      </c>
      <c r="BT290" t="s">
        <v>198</v>
      </c>
      <c r="BU290" t="s">
        <v>198</v>
      </c>
      <c r="BV290" t="s">
        <v>198</v>
      </c>
      <c r="BW290" t="s">
        <v>198</v>
      </c>
      <c r="BX290" t="s">
        <v>198</v>
      </c>
      <c r="BY290" t="s">
        <v>198</v>
      </c>
      <c r="BZ290" t="s">
        <v>198</v>
      </c>
      <c r="CA290" t="s">
        <v>198</v>
      </c>
      <c r="CB290" t="s">
        <v>204</v>
      </c>
      <c r="CC290" t="s">
        <v>204</v>
      </c>
      <c r="CD290" t="s">
        <v>204</v>
      </c>
      <c r="CE290" t="s">
        <v>204</v>
      </c>
      <c r="CF290" t="s">
        <v>204</v>
      </c>
      <c r="CG290" t="s">
        <v>204</v>
      </c>
      <c r="CH290" t="s">
        <v>204</v>
      </c>
      <c r="CI290" t="s">
        <v>204</v>
      </c>
      <c r="CJ290" t="s">
        <v>204</v>
      </c>
      <c r="CK290" t="s">
        <v>204</v>
      </c>
      <c r="CL290" t="s">
        <v>204</v>
      </c>
      <c r="CM290" t="s">
        <v>204</v>
      </c>
      <c r="CN290" t="s">
        <v>203</v>
      </c>
      <c r="CO290" t="s">
        <v>203</v>
      </c>
      <c r="CP290" t="s">
        <v>203</v>
      </c>
      <c r="CQ290" t="s">
        <v>203</v>
      </c>
      <c r="CR290" t="s">
        <v>203</v>
      </c>
      <c r="CS290" t="s">
        <v>203</v>
      </c>
      <c r="CT290" t="s">
        <v>203</v>
      </c>
      <c r="CU290" t="s">
        <v>203</v>
      </c>
      <c r="CV290">
        <v>0</v>
      </c>
      <c r="CW290">
        <v>0</v>
      </c>
      <c r="CX290" t="s">
        <v>198</v>
      </c>
      <c r="CY290" t="s">
        <v>198</v>
      </c>
      <c r="CZ290" t="s">
        <v>198</v>
      </c>
      <c r="DA290" t="s">
        <v>198</v>
      </c>
      <c r="DB290" t="s">
        <v>198</v>
      </c>
      <c r="DC290">
        <v>0</v>
      </c>
      <c r="DD290">
        <v>0</v>
      </c>
      <c r="DE290">
        <v>0</v>
      </c>
      <c r="DF290">
        <v>0</v>
      </c>
      <c r="DG290">
        <v>-35.3631166</v>
      </c>
      <c r="DH290">
        <v>149.1639735</v>
      </c>
      <c r="DI290" t="s">
        <v>360</v>
      </c>
      <c r="DJ290">
        <v>1.2</v>
      </c>
      <c r="DK290">
        <v>2</v>
      </c>
      <c r="DL290">
        <v>159.8</v>
      </c>
      <c r="DM290">
        <v>0</v>
      </c>
      <c r="DN290">
        <v>6</v>
      </c>
      <c r="DO290">
        <v>10</v>
      </c>
      <c r="DP290">
        <v>0</v>
      </c>
      <c r="DQ290">
        <v>255</v>
      </c>
      <c r="DR290">
        <v>255</v>
      </c>
      <c r="DS290">
        <v>255</v>
      </c>
      <c r="DT290">
        <v>255</v>
      </c>
      <c r="DU290">
        <v>255</v>
      </c>
      <c r="DV290">
        <v>255</v>
      </c>
      <c r="DW290">
        <v>255</v>
      </c>
      <c r="DX290" t="s">
        <v>206</v>
      </c>
      <c r="DY290" t="s">
        <v>206</v>
      </c>
      <c r="DZ290" t="s">
        <v>207</v>
      </c>
      <c r="EA290" t="s">
        <v>198</v>
      </c>
      <c r="EB290" t="s">
        <v>198</v>
      </c>
      <c r="EC290" t="s">
        <v>198</v>
      </c>
      <c r="ED290">
        <v>0</v>
      </c>
      <c r="EE290">
        <v>0</v>
      </c>
      <c r="EF290">
        <v>0</v>
      </c>
      <c r="EG290">
        <v>0</v>
      </c>
      <c r="EH290">
        <v>255</v>
      </c>
      <c r="EI290">
        <v>255</v>
      </c>
      <c r="EJ290">
        <v>255</v>
      </c>
      <c r="EK290">
        <v>255</v>
      </c>
      <c r="EL290">
        <v>255</v>
      </c>
      <c r="EM290">
        <v>255</v>
      </c>
      <c r="EN290">
        <v>255</v>
      </c>
      <c r="EO290">
        <v>255</v>
      </c>
      <c r="EP290">
        <v>255</v>
      </c>
      <c r="EQ290">
        <v>255</v>
      </c>
      <c r="ER290" t="s">
        <v>208</v>
      </c>
      <c r="ES290" t="s">
        <v>209</v>
      </c>
      <c r="ET290" t="s">
        <v>209</v>
      </c>
      <c r="EU290">
        <v>0</v>
      </c>
      <c r="EV290">
        <v>16.2</v>
      </c>
      <c r="EW290">
        <v>-114.7</v>
      </c>
      <c r="EX290">
        <v>-0.2</v>
      </c>
      <c r="EY290">
        <v>0</v>
      </c>
      <c r="EZ290">
        <v>0</v>
      </c>
      <c r="FA290">
        <v>0</v>
      </c>
      <c r="FB290" t="s">
        <v>198</v>
      </c>
      <c r="FC290" t="s">
        <v>198</v>
      </c>
      <c r="FD290" t="s">
        <v>198</v>
      </c>
      <c r="FE290" t="s">
        <v>198</v>
      </c>
      <c r="FF290" t="s">
        <v>198</v>
      </c>
      <c r="FG290" t="s">
        <v>198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 t="s">
        <v>203</v>
      </c>
      <c r="FP290" t="s">
        <v>203</v>
      </c>
      <c r="FQ290" t="s">
        <v>203</v>
      </c>
      <c r="FR290" t="s">
        <v>203</v>
      </c>
      <c r="FS290" t="s">
        <v>203</v>
      </c>
      <c r="FT290" t="s">
        <v>203</v>
      </c>
      <c r="FU290" t="s">
        <v>198</v>
      </c>
      <c r="FV290" t="s">
        <v>198</v>
      </c>
      <c r="FW290" t="s">
        <v>198</v>
      </c>
      <c r="FX290" t="s">
        <v>198</v>
      </c>
      <c r="FY290" t="s">
        <v>198</v>
      </c>
      <c r="FZ290" t="s">
        <v>198</v>
      </c>
      <c r="GA290">
        <v>31.2</v>
      </c>
      <c r="GB290">
        <v>31.2</v>
      </c>
      <c r="GC290" t="s">
        <v>203</v>
      </c>
      <c r="GD290">
        <v>0</v>
      </c>
      <c r="GE290">
        <v>504</v>
      </c>
      <c r="GF290">
        <v>0</v>
      </c>
      <c r="GG290">
        <v>0</v>
      </c>
      <c r="GH290">
        <v>0</v>
      </c>
      <c r="GI290">
        <v>1</v>
      </c>
      <c r="GJ290">
        <v>1</v>
      </c>
      <c r="GK290">
        <v>0</v>
      </c>
      <c r="GL290" t="s">
        <v>198</v>
      </c>
      <c r="GM290" t="s">
        <v>198</v>
      </c>
      <c r="GN290" t="s">
        <v>198</v>
      </c>
    </row>
    <row r="291" spans="1:196">
      <c r="A291" s="19">
        <v>46316.90724934028</v>
      </c>
      <c r="B291">
        <v>0</v>
      </c>
      <c r="C291">
        <v>0</v>
      </c>
      <c r="D291">
        <v>277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584.2</v>
      </c>
      <c r="N291">
        <v>-0.5</v>
      </c>
      <c r="O291">
        <v>0</v>
      </c>
      <c r="P291">
        <v>0</v>
      </c>
      <c r="Q291">
        <v>0</v>
      </c>
      <c r="R291">
        <v>0</v>
      </c>
      <c r="S291">
        <v>115.6</v>
      </c>
      <c r="T291" t="s">
        <v>485</v>
      </c>
      <c r="U291">
        <v>115.7</v>
      </c>
      <c r="V291">
        <v>1762727256586.8</v>
      </c>
      <c r="W291">
        <v>1</v>
      </c>
      <c r="X291" t="s">
        <v>197</v>
      </c>
      <c r="Y291">
        <v>0</v>
      </c>
      <c r="Z291">
        <v>98</v>
      </c>
      <c r="AA291">
        <v>278</v>
      </c>
      <c r="AB291" t="s">
        <v>197</v>
      </c>
      <c r="AC291" t="s">
        <v>198</v>
      </c>
      <c r="AD291" t="s">
        <v>199</v>
      </c>
      <c r="AE291">
        <v>0</v>
      </c>
      <c r="AF291">
        <v>45</v>
      </c>
      <c r="AG291">
        <v>255</v>
      </c>
      <c r="AH291">
        <v>0</v>
      </c>
      <c r="AI291">
        <v>0</v>
      </c>
      <c r="AJ291">
        <v>0</v>
      </c>
      <c r="AK291">
        <v>12.6</v>
      </c>
      <c r="AL291">
        <v>0</v>
      </c>
      <c r="AM291">
        <v>0</v>
      </c>
      <c r="AN291" t="s">
        <v>197</v>
      </c>
      <c r="AO291">
        <v>100</v>
      </c>
      <c r="AP291" t="s">
        <v>197</v>
      </c>
      <c r="AQ291" t="s">
        <v>200</v>
      </c>
      <c r="AR291">
        <v>1</v>
      </c>
      <c r="AS291">
        <v>0</v>
      </c>
      <c r="AT291" t="s">
        <v>637</v>
      </c>
      <c r="AU291" t="s">
        <v>637</v>
      </c>
      <c r="AV291" t="s">
        <v>202</v>
      </c>
      <c r="AW291" t="s">
        <v>203</v>
      </c>
      <c r="AX291" t="s">
        <v>203</v>
      </c>
      <c r="AY291" t="s">
        <v>203</v>
      </c>
      <c r="AZ291" t="s">
        <v>203</v>
      </c>
      <c r="BA291" t="s">
        <v>203</v>
      </c>
      <c r="BB291" t="s">
        <v>203</v>
      </c>
      <c r="BC291" t="s">
        <v>203</v>
      </c>
      <c r="BD291" t="s">
        <v>203</v>
      </c>
      <c r="BE291" t="s">
        <v>203</v>
      </c>
      <c r="BF291">
        <v>0</v>
      </c>
      <c r="BG291">
        <v>0.2</v>
      </c>
      <c r="BH291">
        <v>50</v>
      </c>
      <c r="BI291">
        <v>0</v>
      </c>
      <c r="BJ291" t="s">
        <v>198</v>
      </c>
      <c r="BK291" t="s">
        <v>198</v>
      </c>
      <c r="BL291" t="s">
        <v>198</v>
      </c>
      <c r="BM291" t="s">
        <v>198</v>
      </c>
      <c r="BN291" t="s">
        <v>198</v>
      </c>
      <c r="BO291" t="s">
        <v>198</v>
      </c>
      <c r="BP291" t="s">
        <v>198</v>
      </c>
      <c r="BQ291" t="s">
        <v>198</v>
      </c>
      <c r="BR291" t="s">
        <v>198</v>
      </c>
      <c r="BS291" t="s">
        <v>198</v>
      </c>
      <c r="BT291" t="s">
        <v>198</v>
      </c>
      <c r="BU291" t="s">
        <v>198</v>
      </c>
      <c r="BV291" t="s">
        <v>198</v>
      </c>
      <c r="BW291" t="s">
        <v>198</v>
      </c>
      <c r="BX291" t="s">
        <v>198</v>
      </c>
      <c r="BY291" t="s">
        <v>198</v>
      </c>
      <c r="BZ291" t="s">
        <v>198</v>
      </c>
      <c r="CA291" t="s">
        <v>198</v>
      </c>
      <c r="CB291" t="s">
        <v>204</v>
      </c>
      <c r="CC291" t="s">
        <v>204</v>
      </c>
      <c r="CD291" t="s">
        <v>204</v>
      </c>
      <c r="CE291" t="s">
        <v>204</v>
      </c>
      <c r="CF291" t="s">
        <v>204</v>
      </c>
      <c r="CG291" t="s">
        <v>204</v>
      </c>
      <c r="CH291" t="s">
        <v>204</v>
      </c>
      <c r="CI291" t="s">
        <v>204</v>
      </c>
      <c r="CJ291" t="s">
        <v>204</v>
      </c>
      <c r="CK291" t="s">
        <v>204</v>
      </c>
      <c r="CL291" t="s">
        <v>204</v>
      </c>
      <c r="CM291" t="s">
        <v>204</v>
      </c>
      <c r="CN291" t="s">
        <v>203</v>
      </c>
      <c r="CO291" t="s">
        <v>203</v>
      </c>
      <c r="CP291" t="s">
        <v>203</v>
      </c>
      <c r="CQ291" t="s">
        <v>203</v>
      </c>
      <c r="CR291" t="s">
        <v>203</v>
      </c>
      <c r="CS291" t="s">
        <v>203</v>
      </c>
      <c r="CT291" t="s">
        <v>203</v>
      </c>
      <c r="CU291" t="s">
        <v>203</v>
      </c>
      <c r="CV291">
        <v>0</v>
      </c>
      <c r="CW291">
        <v>0</v>
      </c>
      <c r="CX291" t="s">
        <v>198</v>
      </c>
      <c r="CY291" t="s">
        <v>198</v>
      </c>
      <c r="CZ291" t="s">
        <v>198</v>
      </c>
      <c r="DA291" t="s">
        <v>198</v>
      </c>
      <c r="DB291" t="s">
        <v>198</v>
      </c>
      <c r="DC291">
        <v>0</v>
      </c>
      <c r="DD291">
        <v>0</v>
      </c>
      <c r="DE291">
        <v>0</v>
      </c>
      <c r="DF291">
        <v>0</v>
      </c>
      <c r="DG291">
        <v>-35.3631166</v>
      </c>
      <c r="DH291">
        <v>149.1639735</v>
      </c>
      <c r="DI291" t="s">
        <v>360</v>
      </c>
      <c r="DJ291">
        <v>1.2</v>
      </c>
      <c r="DK291">
        <v>2</v>
      </c>
      <c r="DL291">
        <v>159.8</v>
      </c>
      <c r="DM291">
        <v>0</v>
      </c>
      <c r="DN291">
        <v>6</v>
      </c>
      <c r="DO291">
        <v>10</v>
      </c>
      <c r="DP291">
        <v>0</v>
      </c>
      <c r="DQ291">
        <v>255</v>
      </c>
      <c r="DR291">
        <v>255</v>
      </c>
      <c r="DS291">
        <v>255</v>
      </c>
      <c r="DT291">
        <v>255</v>
      </c>
      <c r="DU291">
        <v>255</v>
      </c>
      <c r="DV291">
        <v>255</v>
      </c>
      <c r="DW291">
        <v>255</v>
      </c>
      <c r="DX291" t="s">
        <v>206</v>
      </c>
      <c r="DY291" t="s">
        <v>206</v>
      </c>
      <c r="DZ291" t="s">
        <v>207</v>
      </c>
      <c r="EA291" t="s">
        <v>198</v>
      </c>
      <c r="EB291" t="s">
        <v>198</v>
      </c>
      <c r="EC291" t="s">
        <v>198</v>
      </c>
      <c r="ED291">
        <v>0</v>
      </c>
      <c r="EE291">
        <v>0</v>
      </c>
      <c r="EF291">
        <v>0</v>
      </c>
      <c r="EG291">
        <v>0</v>
      </c>
      <c r="EH291">
        <v>255</v>
      </c>
      <c r="EI291">
        <v>255</v>
      </c>
      <c r="EJ291">
        <v>255</v>
      </c>
      <c r="EK291">
        <v>255</v>
      </c>
      <c r="EL291">
        <v>255</v>
      </c>
      <c r="EM291">
        <v>255</v>
      </c>
      <c r="EN291">
        <v>255</v>
      </c>
      <c r="EO291">
        <v>255</v>
      </c>
      <c r="EP291">
        <v>255</v>
      </c>
      <c r="EQ291">
        <v>255</v>
      </c>
      <c r="ER291" t="s">
        <v>208</v>
      </c>
      <c r="ES291" t="s">
        <v>209</v>
      </c>
      <c r="ET291" t="s">
        <v>209</v>
      </c>
      <c r="EU291">
        <v>0</v>
      </c>
      <c r="EV291">
        <v>16.2</v>
      </c>
      <c r="EW291">
        <v>-114.7</v>
      </c>
      <c r="EX291">
        <v>-0.2</v>
      </c>
      <c r="EY291">
        <v>0</v>
      </c>
      <c r="EZ291">
        <v>0</v>
      </c>
      <c r="FA291">
        <v>0</v>
      </c>
      <c r="FB291" t="s">
        <v>198</v>
      </c>
      <c r="FC291" t="s">
        <v>198</v>
      </c>
      <c r="FD291" t="s">
        <v>198</v>
      </c>
      <c r="FE291" t="s">
        <v>198</v>
      </c>
      <c r="FF291" t="s">
        <v>198</v>
      </c>
      <c r="FG291" t="s">
        <v>198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 t="s">
        <v>203</v>
      </c>
      <c r="FP291" t="s">
        <v>203</v>
      </c>
      <c r="FQ291" t="s">
        <v>203</v>
      </c>
      <c r="FR291" t="s">
        <v>203</v>
      </c>
      <c r="FS291" t="s">
        <v>203</v>
      </c>
      <c r="FT291" t="s">
        <v>203</v>
      </c>
      <c r="FU291" t="s">
        <v>198</v>
      </c>
      <c r="FV291" t="s">
        <v>198</v>
      </c>
      <c r="FW291" t="s">
        <v>198</v>
      </c>
      <c r="FX291" t="s">
        <v>198</v>
      </c>
      <c r="FY291" t="s">
        <v>198</v>
      </c>
      <c r="FZ291" t="s">
        <v>198</v>
      </c>
      <c r="GA291">
        <v>31.2</v>
      </c>
      <c r="GB291">
        <v>31.2</v>
      </c>
      <c r="GC291" t="s">
        <v>203</v>
      </c>
      <c r="GD291">
        <v>0</v>
      </c>
      <c r="GE291">
        <v>504</v>
      </c>
      <c r="GF291">
        <v>0</v>
      </c>
      <c r="GG291">
        <v>0</v>
      </c>
      <c r="GH291">
        <v>0</v>
      </c>
      <c r="GI291">
        <v>1</v>
      </c>
      <c r="GJ291">
        <v>1</v>
      </c>
      <c r="GK291">
        <v>0</v>
      </c>
      <c r="GL291" t="s">
        <v>198</v>
      </c>
      <c r="GM291" t="s">
        <v>198</v>
      </c>
      <c r="GN291" t="s">
        <v>198</v>
      </c>
    </row>
    <row r="292" spans="1:196">
      <c r="A292" s="19">
        <v>46316.90726091435</v>
      </c>
      <c r="B292">
        <v>0</v>
      </c>
      <c r="C292">
        <v>0</v>
      </c>
      <c r="D292">
        <v>277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584.2</v>
      </c>
      <c r="N292">
        <v>-0.5</v>
      </c>
      <c r="O292">
        <v>0</v>
      </c>
      <c r="P292">
        <v>0</v>
      </c>
      <c r="Q292">
        <v>0</v>
      </c>
      <c r="R292">
        <v>0</v>
      </c>
      <c r="S292">
        <v>115.6</v>
      </c>
      <c r="T292" t="s">
        <v>485</v>
      </c>
      <c r="U292">
        <v>115.7</v>
      </c>
      <c r="V292">
        <v>1762727256586.8</v>
      </c>
      <c r="W292">
        <v>1</v>
      </c>
      <c r="X292" t="s">
        <v>197</v>
      </c>
      <c r="Y292">
        <v>0</v>
      </c>
      <c r="Z292">
        <v>98</v>
      </c>
      <c r="AA292">
        <v>278</v>
      </c>
      <c r="AB292" t="s">
        <v>197</v>
      </c>
      <c r="AC292" t="s">
        <v>198</v>
      </c>
      <c r="AD292" t="s">
        <v>199</v>
      </c>
      <c r="AE292">
        <v>0</v>
      </c>
      <c r="AF292">
        <v>45</v>
      </c>
      <c r="AG292">
        <v>255</v>
      </c>
      <c r="AH292">
        <v>0</v>
      </c>
      <c r="AI292">
        <v>0</v>
      </c>
      <c r="AJ292">
        <v>0</v>
      </c>
      <c r="AK292">
        <v>12.6</v>
      </c>
      <c r="AL292">
        <v>0</v>
      </c>
      <c r="AM292">
        <v>0</v>
      </c>
      <c r="AN292" t="s">
        <v>197</v>
      </c>
      <c r="AO292">
        <v>100</v>
      </c>
      <c r="AP292" t="s">
        <v>197</v>
      </c>
      <c r="AQ292" t="s">
        <v>200</v>
      </c>
      <c r="AR292">
        <v>1</v>
      </c>
      <c r="AS292">
        <v>0</v>
      </c>
      <c r="AT292" t="s">
        <v>638</v>
      </c>
      <c r="AU292" t="s">
        <v>638</v>
      </c>
      <c r="AV292" t="s">
        <v>202</v>
      </c>
      <c r="AW292" t="s">
        <v>203</v>
      </c>
      <c r="AX292" t="s">
        <v>203</v>
      </c>
      <c r="AY292" t="s">
        <v>203</v>
      </c>
      <c r="AZ292" t="s">
        <v>203</v>
      </c>
      <c r="BA292" t="s">
        <v>203</v>
      </c>
      <c r="BB292" t="s">
        <v>203</v>
      </c>
      <c r="BC292" t="s">
        <v>203</v>
      </c>
      <c r="BD292" t="s">
        <v>203</v>
      </c>
      <c r="BE292" t="s">
        <v>203</v>
      </c>
      <c r="BF292">
        <v>0</v>
      </c>
      <c r="BG292">
        <v>0.2</v>
      </c>
      <c r="BH292">
        <v>50</v>
      </c>
      <c r="BI292">
        <v>0</v>
      </c>
      <c r="BJ292" t="s">
        <v>198</v>
      </c>
      <c r="BK292" t="s">
        <v>198</v>
      </c>
      <c r="BL292" t="s">
        <v>198</v>
      </c>
      <c r="BM292" t="s">
        <v>198</v>
      </c>
      <c r="BN292" t="s">
        <v>198</v>
      </c>
      <c r="BO292" t="s">
        <v>198</v>
      </c>
      <c r="BP292" t="s">
        <v>198</v>
      </c>
      <c r="BQ292" t="s">
        <v>198</v>
      </c>
      <c r="BR292" t="s">
        <v>198</v>
      </c>
      <c r="BS292" t="s">
        <v>198</v>
      </c>
      <c r="BT292" t="s">
        <v>198</v>
      </c>
      <c r="BU292" t="s">
        <v>198</v>
      </c>
      <c r="BV292" t="s">
        <v>198</v>
      </c>
      <c r="BW292" t="s">
        <v>198</v>
      </c>
      <c r="BX292" t="s">
        <v>198</v>
      </c>
      <c r="BY292" t="s">
        <v>198</v>
      </c>
      <c r="BZ292" t="s">
        <v>198</v>
      </c>
      <c r="CA292" t="s">
        <v>198</v>
      </c>
      <c r="CB292" t="s">
        <v>204</v>
      </c>
      <c r="CC292" t="s">
        <v>204</v>
      </c>
      <c r="CD292" t="s">
        <v>204</v>
      </c>
      <c r="CE292" t="s">
        <v>204</v>
      </c>
      <c r="CF292" t="s">
        <v>204</v>
      </c>
      <c r="CG292" t="s">
        <v>204</v>
      </c>
      <c r="CH292" t="s">
        <v>204</v>
      </c>
      <c r="CI292" t="s">
        <v>204</v>
      </c>
      <c r="CJ292" t="s">
        <v>204</v>
      </c>
      <c r="CK292" t="s">
        <v>204</v>
      </c>
      <c r="CL292" t="s">
        <v>204</v>
      </c>
      <c r="CM292" t="s">
        <v>204</v>
      </c>
      <c r="CN292" t="s">
        <v>203</v>
      </c>
      <c r="CO292" t="s">
        <v>203</v>
      </c>
      <c r="CP292" t="s">
        <v>203</v>
      </c>
      <c r="CQ292" t="s">
        <v>203</v>
      </c>
      <c r="CR292" t="s">
        <v>203</v>
      </c>
      <c r="CS292" t="s">
        <v>203</v>
      </c>
      <c r="CT292" t="s">
        <v>203</v>
      </c>
      <c r="CU292" t="s">
        <v>203</v>
      </c>
      <c r="CV292">
        <v>0</v>
      </c>
      <c r="CW292">
        <v>0</v>
      </c>
      <c r="CX292" t="s">
        <v>198</v>
      </c>
      <c r="CY292" t="s">
        <v>198</v>
      </c>
      <c r="CZ292" t="s">
        <v>198</v>
      </c>
      <c r="DA292" t="s">
        <v>198</v>
      </c>
      <c r="DB292" t="s">
        <v>198</v>
      </c>
      <c r="DC292">
        <v>0</v>
      </c>
      <c r="DD292">
        <v>0</v>
      </c>
      <c r="DE292">
        <v>0</v>
      </c>
      <c r="DF292">
        <v>0</v>
      </c>
      <c r="DG292">
        <v>-35.3631166</v>
      </c>
      <c r="DH292">
        <v>149.1639735</v>
      </c>
      <c r="DI292" t="s">
        <v>360</v>
      </c>
      <c r="DJ292">
        <v>1.2</v>
      </c>
      <c r="DK292">
        <v>2</v>
      </c>
      <c r="DL292">
        <v>159.8</v>
      </c>
      <c r="DM292">
        <v>0</v>
      </c>
      <c r="DN292">
        <v>6</v>
      </c>
      <c r="DO292">
        <v>10</v>
      </c>
      <c r="DP292">
        <v>0</v>
      </c>
      <c r="DQ292">
        <v>255</v>
      </c>
      <c r="DR292">
        <v>255</v>
      </c>
      <c r="DS292">
        <v>255</v>
      </c>
      <c r="DT292">
        <v>255</v>
      </c>
      <c r="DU292">
        <v>255</v>
      </c>
      <c r="DV292">
        <v>255</v>
      </c>
      <c r="DW292">
        <v>255</v>
      </c>
      <c r="DX292" t="s">
        <v>206</v>
      </c>
      <c r="DY292" t="s">
        <v>206</v>
      </c>
      <c r="DZ292" t="s">
        <v>207</v>
      </c>
      <c r="EA292" t="s">
        <v>198</v>
      </c>
      <c r="EB292" t="s">
        <v>198</v>
      </c>
      <c r="EC292" t="s">
        <v>198</v>
      </c>
      <c r="ED292">
        <v>0</v>
      </c>
      <c r="EE292">
        <v>0</v>
      </c>
      <c r="EF292">
        <v>0</v>
      </c>
      <c r="EG292">
        <v>0</v>
      </c>
      <c r="EH292">
        <v>255</v>
      </c>
      <c r="EI292">
        <v>255</v>
      </c>
      <c r="EJ292">
        <v>255</v>
      </c>
      <c r="EK292">
        <v>255</v>
      </c>
      <c r="EL292">
        <v>255</v>
      </c>
      <c r="EM292">
        <v>255</v>
      </c>
      <c r="EN292">
        <v>255</v>
      </c>
      <c r="EO292">
        <v>255</v>
      </c>
      <c r="EP292">
        <v>255</v>
      </c>
      <c r="EQ292">
        <v>255</v>
      </c>
      <c r="ER292" t="s">
        <v>208</v>
      </c>
      <c r="ES292" t="s">
        <v>209</v>
      </c>
      <c r="ET292" t="s">
        <v>209</v>
      </c>
      <c r="EU292">
        <v>0</v>
      </c>
      <c r="EV292">
        <v>16.2</v>
      </c>
      <c r="EW292">
        <v>-114.7</v>
      </c>
      <c r="EX292">
        <v>-0.2</v>
      </c>
      <c r="EY292">
        <v>0</v>
      </c>
      <c r="EZ292">
        <v>0</v>
      </c>
      <c r="FA292">
        <v>0</v>
      </c>
      <c r="FB292" t="s">
        <v>198</v>
      </c>
      <c r="FC292" t="s">
        <v>198</v>
      </c>
      <c r="FD292" t="s">
        <v>198</v>
      </c>
      <c r="FE292" t="s">
        <v>198</v>
      </c>
      <c r="FF292" t="s">
        <v>198</v>
      </c>
      <c r="FG292" t="s">
        <v>198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203</v>
      </c>
      <c r="FP292" t="s">
        <v>203</v>
      </c>
      <c r="FQ292" t="s">
        <v>203</v>
      </c>
      <c r="FR292" t="s">
        <v>203</v>
      </c>
      <c r="FS292" t="s">
        <v>203</v>
      </c>
      <c r="FT292" t="s">
        <v>203</v>
      </c>
      <c r="FU292" t="s">
        <v>198</v>
      </c>
      <c r="FV292" t="s">
        <v>198</v>
      </c>
      <c r="FW292" t="s">
        <v>198</v>
      </c>
      <c r="FX292" t="s">
        <v>198</v>
      </c>
      <c r="FY292" t="s">
        <v>198</v>
      </c>
      <c r="FZ292" t="s">
        <v>198</v>
      </c>
      <c r="GA292">
        <v>31.2</v>
      </c>
      <c r="GB292">
        <v>31.2</v>
      </c>
      <c r="GC292" t="s">
        <v>203</v>
      </c>
      <c r="GD292">
        <v>0</v>
      </c>
      <c r="GE292">
        <v>504</v>
      </c>
      <c r="GF292">
        <v>0</v>
      </c>
      <c r="GG292">
        <v>0</v>
      </c>
      <c r="GH292">
        <v>0</v>
      </c>
      <c r="GI292">
        <v>1</v>
      </c>
      <c r="GJ292">
        <v>1</v>
      </c>
      <c r="GK292">
        <v>0</v>
      </c>
      <c r="GL292" t="s">
        <v>198</v>
      </c>
      <c r="GM292" t="s">
        <v>198</v>
      </c>
      <c r="GN292" t="s">
        <v>198</v>
      </c>
    </row>
    <row r="293" spans="1:196">
      <c r="A293" s="19">
        <v>46316.90727248842</v>
      </c>
      <c r="B293">
        <v>0</v>
      </c>
      <c r="C293">
        <v>0</v>
      </c>
      <c r="D293">
        <v>277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584.2</v>
      </c>
      <c r="N293">
        <v>-0.5</v>
      </c>
      <c r="O293">
        <v>0</v>
      </c>
      <c r="P293">
        <v>0</v>
      </c>
      <c r="Q293">
        <v>0</v>
      </c>
      <c r="R293">
        <v>0</v>
      </c>
      <c r="S293">
        <v>115.6</v>
      </c>
      <c r="T293" t="s">
        <v>485</v>
      </c>
      <c r="U293">
        <v>115.7</v>
      </c>
      <c r="V293">
        <v>1762727256586.8</v>
      </c>
      <c r="W293">
        <v>1</v>
      </c>
      <c r="X293" t="s">
        <v>197</v>
      </c>
      <c r="Y293">
        <v>0</v>
      </c>
      <c r="Z293">
        <v>98</v>
      </c>
      <c r="AA293">
        <v>278</v>
      </c>
      <c r="AB293" t="s">
        <v>197</v>
      </c>
      <c r="AC293" t="s">
        <v>198</v>
      </c>
      <c r="AD293" t="s">
        <v>199</v>
      </c>
      <c r="AE293">
        <v>0</v>
      </c>
      <c r="AF293">
        <v>45</v>
      </c>
      <c r="AG293">
        <v>255</v>
      </c>
      <c r="AH293">
        <v>0</v>
      </c>
      <c r="AI293">
        <v>0</v>
      </c>
      <c r="AJ293">
        <v>0</v>
      </c>
      <c r="AK293">
        <v>12.6</v>
      </c>
      <c r="AL293">
        <v>0</v>
      </c>
      <c r="AM293">
        <v>0</v>
      </c>
      <c r="AN293" t="s">
        <v>197</v>
      </c>
      <c r="AO293">
        <v>100</v>
      </c>
      <c r="AP293" t="s">
        <v>197</v>
      </c>
      <c r="AQ293" t="s">
        <v>200</v>
      </c>
      <c r="AR293">
        <v>1</v>
      </c>
      <c r="AS293">
        <v>0</v>
      </c>
      <c r="AT293" t="s">
        <v>639</v>
      </c>
      <c r="AU293" t="s">
        <v>639</v>
      </c>
      <c r="AV293" t="s">
        <v>202</v>
      </c>
      <c r="AW293" t="s">
        <v>203</v>
      </c>
      <c r="AX293" t="s">
        <v>203</v>
      </c>
      <c r="AY293" t="s">
        <v>203</v>
      </c>
      <c r="AZ293" t="s">
        <v>203</v>
      </c>
      <c r="BA293" t="s">
        <v>203</v>
      </c>
      <c r="BB293" t="s">
        <v>203</v>
      </c>
      <c r="BC293" t="s">
        <v>203</v>
      </c>
      <c r="BD293" t="s">
        <v>203</v>
      </c>
      <c r="BE293" t="s">
        <v>203</v>
      </c>
      <c r="BF293">
        <v>0</v>
      </c>
      <c r="BG293">
        <v>0.2</v>
      </c>
      <c r="BH293">
        <v>50</v>
      </c>
      <c r="BI293">
        <v>0</v>
      </c>
      <c r="BJ293" t="s">
        <v>198</v>
      </c>
      <c r="BK293" t="s">
        <v>198</v>
      </c>
      <c r="BL293" t="s">
        <v>198</v>
      </c>
      <c r="BM293" t="s">
        <v>198</v>
      </c>
      <c r="BN293" t="s">
        <v>198</v>
      </c>
      <c r="BO293" t="s">
        <v>198</v>
      </c>
      <c r="BP293" t="s">
        <v>198</v>
      </c>
      <c r="BQ293" t="s">
        <v>198</v>
      </c>
      <c r="BR293" t="s">
        <v>198</v>
      </c>
      <c r="BS293" t="s">
        <v>198</v>
      </c>
      <c r="BT293" t="s">
        <v>198</v>
      </c>
      <c r="BU293" t="s">
        <v>198</v>
      </c>
      <c r="BV293" t="s">
        <v>198</v>
      </c>
      <c r="BW293" t="s">
        <v>198</v>
      </c>
      <c r="BX293" t="s">
        <v>198</v>
      </c>
      <c r="BY293" t="s">
        <v>198</v>
      </c>
      <c r="BZ293" t="s">
        <v>198</v>
      </c>
      <c r="CA293" t="s">
        <v>198</v>
      </c>
      <c r="CB293" t="s">
        <v>204</v>
      </c>
      <c r="CC293" t="s">
        <v>204</v>
      </c>
      <c r="CD293" t="s">
        <v>204</v>
      </c>
      <c r="CE293" t="s">
        <v>204</v>
      </c>
      <c r="CF293" t="s">
        <v>204</v>
      </c>
      <c r="CG293" t="s">
        <v>204</v>
      </c>
      <c r="CH293" t="s">
        <v>204</v>
      </c>
      <c r="CI293" t="s">
        <v>204</v>
      </c>
      <c r="CJ293" t="s">
        <v>204</v>
      </c>
      <c r="CK293" t="s">
        <v>204</v>
      </c>
      <c r="CL293" t="s">
        <v>204</v>
      </c>
      <c r="CM293" t="s">
        <v>204</v>
      </c>
      <c r="CN293" t="s">
        <v>203</v>
      </c>
      <c r="CO293" t="s">
        <v>203</v>
      </c>
      <c r="CP293" t="s">
        <v>203</v>
      </c>
      <c r="CQ293" t="s">
        <v>203</v>
      </c>
      <c r="CR293" t="s">
        <v>203</v>
      </c>
      <c r="CS293" t="s">
        <v>203</v>
      </c>
      <c r="CT293" t="s">
        <v>203</v>
      </c>
      <c r="CU293" t="s">
        <v>203</v>
      </c>
      <c r="CV293">
        <v>0</v>
      </c>
      <c r="CW293">
        <v>0</v>
      </c>
      <c r="CX293" t="s">
        <v>198</v>
      </c>
      <c r="CY293" t="s">
        <v>198</v>
      </c>
      <c r="CZ293" t="s">
        <v>198</v>
      </c>
      <c r="DA293" t="s">
        <v>198</v>
      </c>
      <c r="DB293" t="s">
        <v>198</v>
      </c>
      <c r="DC293">
        <v>0</v>
      </c>
      <c r="DD293">
        <v>0</v>
      </c>
      <c r="DE293">
        <v>0</v>
      </c>
      <c r="DF293">
        <v>0</v>
      </c>
      <c r="DG293">
        <v>-35.3631166</v>
      </c>
      <c r="DH293">
        <v>149.1639735</v>
      </c>
      <c r="DI293" t="s">
        <v>360</v>
      </c>
      <c r="DJ293">
        <v>1.2</v>
      </c>
      <c r="DK293">
        <v>2</v>
      </c>
      <c r="DL293">
        <v>159.8</v>
      </c>
      <c r="DM293">
        <v>0</v>
      </c>
      <c r="DN293">
        <v>6</v>
      </c>
      <c r="DO293">
        <v>10</v>
      </c>
      <c r="DP293">
        <v>0</v>
      </c>
      <c r="DQ293">
        <v>255</v>
      </c>
      <c r="DR293">
        <v>255</v>
      </c>
      <c r="DS293">
        <v>255</v>
      </c>
      <c r="DT293">
        <v>255</v>
      </c>
      <c r="DU293">
        <v>255</v>
      </c>
      <c r="DV293">
        <v>255</v>
      </c>
      <c r="DW293">
        <v>255</v>
      </c>
      <c r="DX293" t="s">
        <v>206</v>
      </c>
      <c r="DY293" t="s">
        <v>206</v>
      </c>
      <c r="DZ293" t="s">
        <v>207</v>
      </c>
      <c r="EA293" t="s">
        <v>198</v>
      </c>
      <c r="EB293" t="s">
        <v>198</v>
      </c>
      <c r="EC293" t="s">
        <v>198</v>
      </c>
      <c r="ED293">
        <v>0</v>
      </c>
      <c r="EE293">
        <v>0</v>
      </c>
      <c r="EF293">
        <v>0</v>
      </c>
      <c r="EG293">
        <v>0</v>
      </c>
      <c r="EH293">
        <v>255</v>
      </c>
      <c r="EI293">
        <v>255</v>
      </c>
      <c r="EJ293">
        <v>255</v>
      </c>
      <c r="EK293">
        <v>255</v>
      </c>
      <c r="EL293">
        <v>255</v>
      </c>
      <c r="EM293">
        <v>255</v>
      </c>
      <c r="EN293">
        <v>255</v>
      </c>
      <c r="EO293">
        <v>255</v>
      </c>
      <c r="EP293">
        <v>255</v>
      </c>
      <c r="EQ293">
        <v>255</v>
      </c>
      <c r="ER293" t="s">
        <v>208</v>
      </c>
      <c r="ES293" t="s">
        <v>209</v>
      </c>
      <c r="ET293" t="s">
        <v>209</v>
      </c>
      <c r="EU293">
        <v>0</v>
      </c>
      <c r="EV293">
        <v>16.2</v>
      </c>
      <c r="EW293">
        <v>-114.7</v>
      </c>
      <c r="EX293">
        <v>-0.2</v>
      </c>
      <c r="EY293">
        <v>0</v>
      </c>
      <c r="EZ293">
        <v>0</v>
      </c>
      <c r="FA293">
        <v>0</v>
      </c>
      <c r="FB293" t="s">
        <v>198</v>
      </c>
      <c r="FC293" t="s">
        <v>198</v>
      </c>
      <c r="FD293" t="s">
        <v>198</v>
      </c>
      <c r="FE293" t="s">
        <v>198</v>
      </c>
      <c r="FF293" t="s">
        <v>198</v>
      </c>
      <c r="FG293" t="s">
        <v>198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 t="s">
        <v>203</v>
      </c>
      <c r="FP293" t="s">
        <v>203</v>
      </c>
      <c r="FQ293" t="s">
        <v>203</v>
      </c>
      <c r="FR293" t="s">
        <v>203</v>
      </c>
      <c r="FS293" t="s">
        <v>203</v>
      </c>
      <c r="FT293" t="s">
        <v>203</v>
      </c>
      <c r="FU293" t="s">
        <v>198</v>
      </c>
      <c r="FV293" t="s">
        <v>198</v>
      </c>
      <c r="FW293" t="s">
        <v>198</v>
      </c>
      <c r="FX293" t="s">
        <v>198</v>
      </c>
      <c r="FY293" t="s">
        <v>198</v>
      </c>
      <c r="FZ293" t="s">
        <v>198</v>
      </c>
      <c r="GA293">
        <v>31.2</v>
      </c>
      <c r="GB293">
        <v>31.2</v>
      </c>
      <c r="GC293" t="s">
        <v>203</v>
      </c>
      <c r="GD293">
        <v>0</v>
      </c>
      <c r="GE293">
        <v>504</v>
      </c>
      <c r="GF293">
        <v>0</v>
      </c>
      <c r="GG293">
        <v>0</v>
      </c>
      <c r="GH293">
        <v>0</v>
      </c>
      <c r="GI293">
        <v>1</v>
      </c>
      <c r="GJ293">
        <v>1</v>
      </c>
      <c r="GK293">
        <v>0</v>
      </c>
      <c r="GL293" t="s">
        <v>198</v>
      </c>
      <c r="GM293" t="s">
        <v>198</v>
      </c>
      <c r="GN293" t="s">
        <v>198</v>
      </c>
    </row>
    <row r="294" spans="1:196">
      <c r="A294" s="19">
        <v>46316.9072840625</v>
      </c>
      <c r="B294">
        <v>0</v>
      </c>
      <c r="C294">
        <v>0</v>
      </c>
      <c r="D294">
        <v>277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584.2</v>
      </c>
      <c r="N294">
        <v>-0.5</v>
      </c>
      <c r="O294">
        <v>0</v>
      </c>
      <c r="P294">
        <v>0</v>
      </c>
      <c r="Q294">
        <v>0</v>
      </c>
      <c r="R294">
        <v>0</v>
      </c>
      <c r="S294">
        <v>115.6</v>
      </c>
      <c r="T294" t="s">
        <v>485</v>
      </c>
      <c r="U294">
        <v>115.7</v>
      </c>
      <c r="V294">
        <v>1762727256586.8</v>
      </c>
      <c r="W294">
        <v>1</v>
      </c>
      <c r="X294" t="s">
        <v>197</v>
      </c>
      <c r="Y294">
        <v>0</v>
      </c>
      <c r="Z294">
        <v>98</v>
      </c>
      <c r="AA294">
        <v>278</v>
      </c>
      <c r="AB294" t="s">
        <v>197</v>
      </c>
      <c r="AC294" t="s">
        <v>198</v>
      </c>
      <c r="AD294" t="s">
        <v>199</v>
      </c>
      <c r="AE294">
        <v>0</v>
      </c>
      <c r="AF294">
        <v>45</v>
      </c>
      <c r="AG294">
        <v>255</v>
      </c>
      <c r="AH294">
        <v>0</v>
      </c>
      <c r="AI294">
        <v>0</v>
      </c>
      <c r="AJ294">
        <v>0</v>
      </c>
      <c r="AK294">
        <v>12.6</v>
      </c>
      <c r="AL294">
        <v>0</v>
      </c>
      <c r="AM294">
        <v>0</v>
      </c>
      <c r="AN294" t="s">
        <v>197</v>
      </c>
      <c r="AO294">
        <v>100</v>
      </c>
      <c r="AP294" t="s">
        <v>197</v>
      </c>
      <c r="AQ294" t="s">
        <v>200</v>
      </c>
      <c r="AR294">
        <v>1</v>
      </c>
      <c r="AS294">
        <v>0</v>
      </c>
      <c r="AT294" t="s">
        <v>640</v>
      </c>
      <c r="AU294" t="s">
        <v>640</v>
      </c>
      <c r="AV294" t="s">
        <v>202</v>
      </c>
      <c r="AW294" t="s">
        <v>203</v>
      </c>
      <c r="AX294" t="s">
        <v>203</v>
      </c>
      <c r="AY294" t="s">
        <v>203</v>
      </c>
      <c r="AZ294" t="s">
        <v>203</v>
      </c>
      <c r="BA294" t="s">
        <v>203</v>
      </c>
      <c r="BB294" t="s">
        <v>203</v>
      </c>
      <c r="BC294" t="s">
        <v>203</v>
      </c>
      <c r="BD294" t="s">
        <v>203</v>
      </c>
      <c r="BE294" t="s">
        <v>203</v>
      </c>
      <c r="BF294">
        <v>0</v>
      </c>
      <c r="BG294">
        <v>0.2</v>
      </c>
      <c r="BH294">
        <v>50</v>
      </c>
      <c r="BI294">
        <v>0</v>
      </c>
      <c r="BJ294" t="s">
        <v>198</v>
      </c>
      <c r="BK294" t="s">
        <v>198</v>
      </c>
      <c r="BL294" t="s">
        <v>198</v>
      </c>
      <c r="BM294" t="s">
        <v>198</v>
      </c>
      <c r="BN294" t="s">
        <v>198</v>
      </c>
      <c r="BO294" t="s">
        <v>198</v>
      </c>
      <c r="BP294" t="s">
        <v>198</v>
      </c>
      <c r="BQ294" t="s">
        <v>198</v>
      </c>
      <c r="BR294" t="s">
        <v>198</v>
      </c>
      <c r="BS294" t="s">
        <v>198</v>
      </c>
      <c r="BT294" t="s">
        <v>198</v>
      </c>
      <c r="BU294" t="s">
        <v>198</v>
      </c>
      <c r="BV294" t="s">
        <v>198</v>
      </c>
      <c r="BW294" t="s">
        <v>198</v>
      </c>
      <c r="BX294" t="s">
        <v>198</v>
      </c>
      <c r="BY294" t="s">
        <v>198</v>
      </c>
      <c r="BZ294" t="s">
        <v>198</v>
      </c>
      <c r="CA294" t="s">
        <v>198</v>
      </c>
      <c r="CB294" t="s">
        <v>204</v>
      </c>
      <c r="CC294" t="s">
        <v>204</v>
      </c>
      <c r="CD294" t="s">
        <v>204</v>
      </c>
      <c r="CE294" t="s">
        <v>204</v>
      </c>
      <c r="CF294" t="s">
        <v>204</v>
      </c>
      <c r="CG294" t="s">
        <v>204</v>
      </c>
      <c r="CH294" t="s">
        <v>204</v>
      </c>
      <c r="CI294" t="s">
        <v>204</v>
      </c>
      <c r="CJ294" t="s">
        <v>204</v>
      </c>
      <c r="CK294" t="s">
        <v>204</v>
      </c>
      <c r="CL294" t="s">
        <v>204</v>
      </c>
      <c r="CM294" t="s">
        <v>204</v>
      </c>
      <c r="CN294" t="s">
        <v>203</v>
      </c>
      <c r="CO294" t="s">
        <v>203</v>
      </c>
      <c r="CP294" t="s">
        <v>203</v>
      </c>
      <c r="CQ294" t="s">
        <v>203</v>
      </c>
      <c r="CR294" t="s">
        <v>203</v>
      </c>
      <c r="CS294" t="s">
        <v>203</v>
      </c>
      <c r="CT294" t="s">
        <v>203</v>
      </c>
      <c r="CU294" t="s">
        <v>203</v>
      </c>
      <c r="CV294">
        <v>0</v>
      </c>
      <c r="CW294">
        <v>0</v>
      </c>
      <c r="CX294" t="s">
        <v>198</v>
      </c>
      <c r="CY294" t="s">
        <v>198</v>
      </c>
      <c r="CZ294" t="s">
        <v>198</v>
      </c>
      <c r="DA294" t="s">
        <v>198</v>
      </c>
      <c r="DB294" t="s">
        <v>198</v>
      </c>
      <c r="DC294">
        <v>0</v>
      </c>
      <c r="DD294">
        <v>0</v>
      </c>
      <c r="DE294">
        <v>0</v>
      </c>
      <c r="DF294">
        <v>0</v>
      </c>
      <c r="DG294">
        <v>-35.3631166</v>
      </c>
      <c r="DH294">
        <v>149.1639735</v>
      </c>
      <c r="DI294" t="s">
        <v>360</v>
      </c>
      <c r="DJ294">
        <v>1.2</v>
      </c>
      <c r="DK294">
        <v>2</v>
      </c>
      <c r="DL294">
        <v>159.8</v>
      </c>
      <c r="DM294">
        <v>0</v>
      </c>
      <c r="DN294">
        <v>6</v>
      </c>
      <c r="DO294">
        <v>10</v>
      </c>
      <c r="DP294">
        <v>0</v>
      </c>
      <c r="DQ294">
        <v>255</v>
      </c>
      <c r="DR294">
        <v>255</v>
      </c>
      <c r="DS294">
        <v>255</v>
      </c>
      <c r="DT294">
        <v>255</v>
      </c>
      <c r="DU294">
        <v>255</v>
      </c>
      <c r="DV294">
        <v>255</v>
      </c>
      <c r="DW294">
        <v>255</v>
      </c>
      <c r="DX294" t="s">
        <v>206</v>
      </c>
      <c r="DY294" t="s">
        <v>206</v>
      </c>
      <c r="DZ294" t="s">
        <v>207</v>
      </c>
      <c r="EA294" t="s">
        <v>198</v>
      </c>
      <c r="EB294" t="s">
        <v>198</v>
      </c>
      <c r="EC294" t="s">
        <v>198</v>
      </c>
      <c r="ED294">
        <v>0</v>
      </c>
      <c r="EE294">
        <v>0</v>
      </c>
      <c r="EF294">
        <v>0</v>
      </c>
      <c r="EG294">
        <v>0</v>
      </c>
      <c r="EH294">
        <v>255</v>
      </c>
      <c r="EI294">
        <v>255</v>
      </c>
      <c r="EJ294">
        <v>255</v>
      </c>
      <c r="EK294">
        <v>255</v>
      </c>
      <c r="EL294">
        <v>255</v>
      </c>
      <c r="EM294">
        <v>255</v>
      </c>
      <c r="EN294">
        <v>255</v>
      </c>
      <c r="EO294">
        <v>255</v>
      </c>
      <c r="EP294">
        <v>255</v>
      </c>
      <c r="EQ294">
        <v>255</v>
      </c>
      <c r="ER294" t="s">
        <v>208</v>
      </c>
      <c r="ES294" t="s">
        <v>209</v>
      </c>
      <c r="ET294" t="s">
        <v>209</v>
      </c>
      <c r="EU294">
        <v>0</v>
      </c>
      <c r="EV294">
        <v>16.2</v>
      </c>
      <c r="EW294">
        <v>-114.7</v>
      </c>
      <c r="EX294">
        <v>-0.2</v>
      </c>
      <c r="EY294">
        <v>0</v>
      </c>
      <c r="EZ294">
        <v>0</v>
      </c>
      <c r="FA294">
        <v>0</v>
      </c>
      <c r="FB294" t="s">
        <v>198</v>
      </c>
      <c r="FC294" t="s">
        <v>198</v>
      </c>
      <c r="FD294" t="s">
        <v>198</v>
      </c>
      <c r="FE294" t="s">
        <v>198</v>
      </c>
      <c r="FF294" t="s">
        <v>198</v>
      </c>
      <c r="FG294" t="s">
        <v>198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 t="s">
        <v>203</v>
      </c>
      <c r="FP294" t="s">
        <v>203</v>
      </c>
      <c r="FQ294" t="s">
        <v>203</v>
      </c>
      <c r="FR294" t="s">
        <v>203</v>
      </c>
      <c r="FS294" t="s">
        <v>203</v>
      </c>
      <c r="FT294" t="s">
        <v>203</v>
      </c>
      <c r="FU294" t="s">
        <v>198</v>
      </c>
      <c r="FV294" t="s">
        <v>198</v>
      </c>
      <c r="FW294" t="s">
        <v>198</v>
      </c>
      <c r="FX294" t="s">
        <v>198</v>
      </c>
      <c r="FY294" t="s">
        <v>198</v>
      </c>
      <c r="FZ294" t="s">
        <v>198</v>
      </c>
      <c r="GA294">
        <v>31.2</v>
      </c>
      <c r="GB294">
        <v>31.2</v>
      </c>
      <c r="GC294" t="s">
        <v>203</v>
      </c>
      <c r="GD294">
        <v>0</v>
      </c>
      <c r="GE294">
        <v>504</v>
      </c>
      <c r="GF294">
        <v>0</v>
      </c>
      <c r="GG294">
        <v>0</v>
      </c>
      <c r="GH294">
        <v>0</v>
      </c>
      <c r="GI294">
        <v>1</v>
      </c>
      <c r="GJ294">
        <v>1</v>
      </c>
      <c r="GK294">
        <v>0</v>
      </c>
      <c r="GL294" t="s">
        <v>198</v>
      </c>
      <c r="GM294" t="s">
        <v>198</v>
      </c>
      <c r="GN294" t="s">
        <v>198</v>
      </c>
    </row>
    <row r="295" spans="1:196">
      <c r="A295" s="19">
        <v>46316.90729563657</v>
      </c>
      <c r="B295">
        <v>0</v>
      </c>
      <c r="C295">
        <v>0</v>
      </c>
      <c r="D295">
        <v>277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584.2</v>
      </c>
      <c r="N295">
        <v>-0.5</v>
      </c>
      <c r="O295">
        <v>0</v>
      </c>
      <c r="P295">
        <v>0</v>
      </c>
      <c r="Q295">
        <v>0</v>
      </c>
      <c r="R295">
        <v>0</v>
      </c>
      <c r="S295">
        <v>115.6</v>
      </c>
      <c r="T295" t="s">
        <v>485</v>
      </c>
      <c r="U295">
        <v>115.7</v>
      </c>
      <c r="V295">
        <v>1762727256586.8</v>
      </c>
      <c r="W295">
        <v>1</v>
      </c>
      <c r="X295" t="s">
        <v>197</v>
      </c>
      <c r="Y295">
        <v>0</v>
      </c>
      <c r="Z295">
        <v>98</v>
      </c>
      <c r="AA295">
        <v>278</v>
      </c>
      <c r="AB295" t="s">
        <v>197</v>
      </c>
      <c r="AC295" t="s">
        <v>198</v>
      </c>
      <c r="AD295" t="s">
        <v>199</v>
      </c>
      <c r="AE295">
        <v>0</v>
      </c>
      <c r="AF295">
        <v>45</v>
      </c>
      <c r="AG295">
        <v>255</v>
      </c>
      <c r="AH295">
        <v>0</v>
      </c>
      <c r="AI295">
        <v>0</v>
      </c>
      <c r="AJ295">
        <v>0</v>
      </c>
      <c r="AK295">
        <v>12.6</v>
      </c>
      <c r="AL295">
        <v>0</v>
      </c>
      <c r="AM295">
        <v>0</v>
      </c>
      <c r="AN295" t="s">
        <v>197</v>
      </c>
      <c r="AO295">
        <v>100</v>
      </c>
      <c r="AP295" t="s">
        <v>197</v>
      </c>
      <c r="AQ295" t="s">
        <v>200</v>
      </c>
      <c r="AR295">
        <v>1</v>
      </c>
      <c r="AS295">
        <v>0</v>
      </c>
      <c r="AT295" t="s">
        <v>641</v>
      </c>
      <c r="AU295" t="s">
        <v>641</v>
      </c>
      <c r="AV295" t="s">
        <v>202</v>
      </c>
      <c r="AW295" t="s">
        <v>203</v>
      </c>
      <c r="AX295" t="s">
        <v>203</v>
      </c>
      <c r="AY295" t="s">
        <v>203</v>
      </c>
      <c r="AZ295" t="s">
        <v>203</v>
      </c>
      <c r="BA295" t="s">
        <v>203</v>
      </c>
      <c r="BB295" t="s">
        <v>203</v>
      </c>
      <c r="BC295" t="s">
        <v>203</v>
      </c>
      <c r="BD295" t="s">
        <v>203</v>
      </c>
      <c r="BE295" t="s">
        <v>203</v>
      </c>
      <c r="BF295">
        <v>0</v>
      </c>
      <c r="BG295">
        <v>0.2</v>
      </c>
      <c r="BH295">
        <v>50</v>
      </c>
      <c r="BI295">
        <v>0</v>
      </c>
      <c r="BJ295" t="s">
        <v>198</v>
      </c>
      <c r="BK295" t="s">
        <v>198</v>
      </c>
      <c r="BL295" t="s">
        <v>198</v>
      </c>
      <c r="BM295" t="s">
        <v>198</v>
      </c>
      <c r="BN295" t="s">
        <v>198</v>
      </c>
      <c r="BO295" t="s">
        <v>198</v>
      </c>
      <c r="BP295" t="s">
        <v>198</v>
      </c>
      <c r="BQ295" t="s">
        <v>198</v>
      </c>
      <c r="BR295" t="s">
        <v>198</v>
      </c>
      <c r="BS295" t="s">
        <v>198</v>
      </c>
      <c r="BT295" t="s">
        <v>198</v>
      </c>
      <c r="BU295" t="s">
        <v>198</v>
      </c>
      <c r="BV295" t="s">
        <v>198</v>
      </c>
      <c r="BW295" t="s">
        <v>198</v>
      </c>
      <c r="BX295" t="s">
        <v>198</v>
      </c>
      <c r="BY295" t="s">
        <v>198</v>
      </c>
      <c r="BZ295" t="s">
        <v>198</v>
      </c>
      <c r="CA295" t="s">
        <v>198</v>
      </c>
      <c r="CB295" t="s">
        <v>204</v>
      </c>
      <c r="CC295" t="s">
        <v>204</v>
      </c>
      <c r="CD295" t="s">
        <v>204</v>
      </c>
      <c r="CE295" t="s">
        <v>204</v>
      </c>
      <c r="CF295" t="s">
        <v>204</v>
      </c>
      <c r="CG295" t="s">
        <v>204</v>
      </c>
      <c r="CH295" t="s">
        <v>204</v>
      </c>
      <c r="CI295" t="s">
        <v>204</v>
      </c>
      <c r="CJ295" t="s">
        <v>204</v>
      </c>
      <c r="CK295" t="s">
        <v>204</v>
      </c>
      <c r="CL295" t="s">
        <v>204</v>
      </c>
      <c r="CM295" t="s">
        <v>204</v>
      </c>
      <c r="CN295" t="s">
        <v>203</v>
      </c>
      <c r="CO295" t="s">
        <v>203</v>
      </c>
      <c r="CP295" t="s">
        <v>203</v>
      </c>
      <c r="CQ295" t="s">
        <v>203</v>
      </c>
      <c r="CR295" t="s">
        <v>203</v>
      </c>
      <c r="CS295" t="s">
        <v>203</v>
      </c>
      <c r="CT295" t="s">
        <v>203</v>
      </c>
      <c r="CU295" t="s">
        <v>203</v>
      </c>
      <c r="CV295">
        <v>0</v>
      </c>
      <c r="CW295">
        <v>0</v>
      </c>
      <c r="CX295" t="s">
        <v>198</v>
      </c>
      <c r="CY295" t="s">
        <v>198</v>
      </c>
      <c r="CZ295" t="s">
        <v>198</v>
      </c>
      <c r="DA295" t="s">
        <v>198</v>
      </c>
      <c r="DB295" t="s">
        <v>198</v>
      </c>
      <c r="DC295">
        <v>0</v>
      </c>
      <c r="DD295">
        <v>0</v>
      </c>
      <c r="DE295">
        <v>0</v>
      </c>
      <c r="DF295">
        <v>0</v>
      </c>
      <c r="DG295">
        <v>-35.3631166</v>
      </c>
      <c r="DH295">
        <v>149.1639735</v>
      </c>
      <c r="DI295" t="s">
        <v>360</v>
      </c>
      <c r="DJ295">
        <v>1.2</v>
      </c>
      <c r="DK295">
        <v>2</v>
      </c>
      <c r="DL295">
        <v>159.8</v>
      </c>
      <c r="DM295">
        <v>0</v>
      </c>
      <c r="DN295">
        <v>6</v>
      </c>
      <c r="DO295">
        <v>10</v>
      </c>
      <c r="DP295">
        <v>0</v>
      </c>
      <c r="DQ295">
        <v>255</v>
      </c>
      <c r="DR295">
        <v>255</v>
      </c>
      <c r="DS295">
        <v>255</v>
      </c>
      <c r="DT295">
        <v>255</v>
      </c>
      <c r="DU295">
        <v>255</v>
      </c>
      <c r="DV295">
        <v>255</v>
      </c>
      <c r="DW295">
        <v>255</v>
      </c>
      <c r="DX295" t="s">
        <v>206</v>
      </c>
      <c r="DY295" t="s">
        <v>206</v>
      </c>
      <c r="DZ295" t="s">
        <v>207</v>
      </c>
      <c r="EA295" t="s">
        <v>198</v>
      </c>
      <c r="EB295" t="s">
        <v>198</v>
      </c>
      <c r="EC295" t="s">
        <v>198</v>
      </c>
      <c r="ED295">
        <v>0</v>
      </c>
      <c r="EE295">
        <v>0</v>
      </c>
      <c r="EF295">
        <v>0</v>
      </c>
      <c r="EG295">
        <v>0</v>
      </c>
      <c r="EH295">
        <v>255</v>
      </c>
      <c r="EI295">
        <v>255</v>
      </c>
      <c r="EJ295">
        <v>255</v>
      </c>
      <c r="EK295">
        <v>255</v>
      </c>
      <c r="EL295">
        <v>255</v>
      </c>
      <c r="EM295">
        <v>255</v>
      </c>
      <c r="EN295">
        <v>255</v>
      </c>
      <c r="EO295">
        <v>255</v>
      </c>
      <c r="EP295">
        <v>255</v>
      </c>
      <c r="EQ295">
        <v>255</v>
      </c>
      <c r="ER295" t="s">
        <v>208</v>
      </c>
      <c r="ES295" t="s">
        <v>209</v>
      </c>
      <c r="ET295" t="s">
        <v>209</v>
      </c>
      <c r="EU295">
        <v>0</v>
      </c>
      <c r="EV295">
        <v>16.2</v>
      </c>
      <c r="EW295">
        <v>-114.7</v>
      </c>
      <c r="EX295">
        <v>-0.2</v>
      </c>
      <c r="EY295">
        <v>0</v>
      </c>
      <c r="EZ295">
        <v>0</v>
      </c>
      <c r="FA295">
        <v>0</v>
      </c>
      <c r="FB295" t="s">
        <v>198</v>
      </c>
      <c r="FC295" t="s">
        <v>198</v>
      </c>
      <c r="FD295" t="s">
        <v>198</v>
      </c>
      <c r="FE295" t="s">
        <v>198</v>
      </c>
      <c r="FF295" t="s">
        <v>198</v>
      </c>
      <c r="FG295" t="s">
        <v>198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 t="s">
        <v>203</v>
      </c>
      <c r="FP295" t="s">
        <v>203</v>
      </c>
      <c r="FQ295" t="s">
        <v>203</v>
      </c>
      <c r="FR295" t="s">
        <v>203</v>
      </c>
      <c r="FS295" t="s">
        <v>203</v>
      </c>
      <c r="FT295" t="s">
        <v>203</v>
      </c>
      <c r="FU295" t="s">
        <v>198</v>
      </c>
      <c r="FV295" t="s">
        <v>198</v>
      </c>
      <c r="FW295" t="s">
        <v>198</v>
      </c>
      <c r="FX295" t="s">
        <v>198</v>
      </c>
      <c r="FY295" t="s">
        <v>198</v>
      </c>
      <c r="FZ295" t="s">
        <v>198</v>
      </c>
      <c r="GA295">
        <v>31.2</v>
      </c>
      <c r="GB295">
        <v>31.2</v>
      </c>
      <c r="GC295" t="s">
        <v>203</v>
      </c>
      <c r="GD295">
        <v>0</v>
      </c>
      <c r="GE295">
        <v>504</v>
      </c>
      <c r="GF295">
        <v>0</v>
      </c>
      <c r="GG295">
        <v>0</v>
      </c>
      <c r="GH295">
        <v>0</v>
      </c>
      <c r="GI295">
        <v>1</v>
      </c>
      <c r="GJ295">
        <v>1</v>
      </c>
      <c r="GK295">
        <v>0</v>
      </c>
      <c r="GL295" t="s">
        <v>198</v>
      </c>
      <c r="GM295" t="s">
        <v>198</v>
      </c>
      <c r="GN295" t="s">
        <v>198</v>
      </c>
    </row>
    <row r="296" spans="1:196">
      <c r="A296" s="19">
        <v>46316.90730721065</v>
      </c>
      <c r="B296">
        <v>0</v>
      </c>
      <c r="C296">
        <v>0</v>
      </c>
      <c r="D296">
        <v>277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584.2</v>
      </c>
      <c r="N296">
        <v>-0.5</v>
      </c>
      <c r="O296">
        <v>0</v>
      </c>
      <c r="P296">
        <v>0</v>
      </c>
      <c r="Q296">
        <v>0</v>
      </c>
      <c r="R296">
        <v>0</v>
      </c>
      <c r="S296">
        <v>115.6</v>
      </c>
      <c r="T296" t="s">
        <v>485</v>
      </c>
      <c r="U296">
        <v>115.7</v>
      </c>
      <c r="V296">
        <v>1762727256586.8</v>
      </c>
      <c r="W296">
        <v>1</v>
      </c>
      <c r="X296" t="s">
        <v>197</v>
      </c>
      <c r="Y296">
        <v>0</v>
      </c>
      <c r="Z296">
        <v>98</v>
      </c>
      <c r="AA296">
        <v>278</v>
      </c>
      <c r="AB296" t="s">
        <v>197</v>
      </c>
      <c r="AC296" t="s">
        <v>198</v>
      </c>
      <c r="AD296" t="s">
        <v>199</v>
      </c>
      <c r="AE296">
        <v>0</v>
      </c>
      <c r="AF296">
        <v>45</v>
      </c>
      <c r="AG296">
        <v>255</v>
      </c>
      <c r="AH296">
        <v>0</v>
      </c>
      <c r="AI296">
        <v>0</v>
      </c>
      <c r="AJ296">
        <v>0</v>
      </c>
      <c r="AK296">
        <v>12.6</v>
      </c>
      <c r="AL296">
        <v>0</v>
      </c>
      <c r="AM296">
        <v>0</v>
      </c>
      <c r="AN296" t="s">
        <v>197</v>
      </c>
      <c r="AO296">
        <v>100</v>
      </c>
      <c r="AP296" t="s">
        <v>197</v>
      </c>
      <c r="AQ296" t="s">
        <v>200</v>
      </c>
      <c r="AR296">
        <v>1</v>
      </c>
      <c r="AS296">
        <v>0</v>
      </c>
      <c r="AT296" t="s">
        <v>642</v>
      </c>
      <c r="AU296" t="s">
        <v>642</v>
      </c>
      <c r="AV296" t="s">
        <v>202</v>
      </c>
      <c r="AW296" t="s">
        <v>203</v>
      </c>
      <c r="AX296" t="s">
        <v>203</v>
      </c>
      <c r="AY296" t="s">
        <v>203</v>
      </c>
      <c r="AZ296" t="s">
        <v>203</v>
      </c>
      <c r="BA296" t="s">
        <v>203</v>
      </c>
      <c r="BB296" t="s">
        <v>203</v>
      </c>
      <c r="BC296" t="s">
        <v>203</v>
      </c>
      <c r="BD296" t="s">
        <v>203</v>
      </c>
      <c r="BE296" t="s">
        <v>203</v>
      </c>
      <c r="BF296">
        <v>0</v>
      </c>
      <c r="BG296">
        <v>0.2</v>
      </c>
      <c r="BH296">
        <v>50</v>
      </c>
      <c r="BI296">
        <v>0</v>
      </c>
      <c r="BJ296" t="s">
        <v>198</v>
      </c>
      <c r="BK296" t="s">
        <v>198</v>
      </c>
      <c r="BL296" t="s">
        <v>198</v>
      </c>
      <c r="BM296" t="s">
        <v>198</v>
      </c>
      <c r="BN296" t="s">
        <v>198</v>
      </c>
      <c r="BO296" t="s">
        <v>198</v>
      </c>
      <c r="BP296" t="s">
        <v>198</v>
      </c>
      <c r="BQ296" t="s">
        <v>198</v>
      </c>
      <c r="BR296" t="s">
        <v>198</v>
      </c>
      <c r="BS296" t="s">
        <v>198</v>
      </c>
      <c r="BT296" t="s">
        <v>198</v>
      </c>
      <c r="BU296" t="s">
        <v>198</v>
      </c>
      <c r="BV296" t="s">
        <v>198</v>
      </c>
      <c r="BW296" t="s">
        <v>198</v>
      </c>
      <c r="BX296" t="s">
        <v>198</v>
      </c>
      <c r="BY296" t="s">
        <v>198</v>
      </c>
      <c r="BZ296" t="s">
        <v>198</v>
      </c>
      <c r="CA296" t="s">
        <v>198</v>
      </c>
      <c r="CB296" t="s">
        <v>204</v>
      </c>
      <c r="CC296" t="s">
        <v>204</v>
      </c>
      <c r="CD296" t="s">
        <v>204</v>
      </c>
      <c r="CE296" t="s">
        <v>204</v>
      </c>
      <c r="CF296" t="s">
        <v>204</v>
      </c>
      <c r="CG296" t="s">
        <v>204</v>
      </c>
      <c r="CH296" t="s">
        <v>204</v>
      </c>
      <c r="CI296" t="s">
        <v>204</v>
      </c>
      <c r="CJ296" t="s">
        <v>204</v>
      </c>
      <c r="CK296" t="s">
        <v>204</v>
      </c>
      <c r="CL296" t="s">
        <v>204</v>
      </c>
      <c r="CM296" t="s">
        <v>204</v>
      </c>
      <c r="CN296" t="s">
        <v>203</v>
      </c>
      <c r="CO296" t="s">
        <v>203</v>
      </c>
      <c r="CP296" t="s">
        <v>203</v>
      </c>
      <c r="CQ296" t="s">
        <v>203</v>
      </c>
      <c r="CR296" t="s">
        <v>203</v>
      </c>
      <c r="CS296" t="s">
        <v>203</v>
      </c>
      <c r="CT296" t="s">
        <v>203</v>
      </c>
      <c r="CU296" t="s">
        <v>203</v>
      </c>
      <c r="CV296">
        <v>0</v>
      </c>
      <c r="CW296">
        <v>0</v>
      </c>
      <c r="CX296" t="s">
        <v>198</v>
      </c>
      <c r="CY296" t="s">
        <v>198</v>
      </c>
      <c r="CZ296" t="s">
        <v>198</v>
      </c>
      <c r="DA296" t="s">
        <v>198</v>
      </c>
      <c r="DB296" t="s">
        <v>198</v>
      </c>
      <c r="DC296">
        <v>0</v>
      </c>
      <c r="DD296">
        <v>0</v>
      </c>
      <c r="DE296">
        <v>0</v>
      </c>
      <c r="DF296">
        <v>0</v>
      </c>
      <c r="DG296">
        <v>-35.3631166</v>
      </c>
      <c r="DH296">
        <v>149.1639735</v>
      </c>
      <c r="DI296" t="s">
        <v>360</v>
      </c>
      <c r="DJ296">
        <v>1.2</v>
      </c>
      <c r="DK296">
        <v>2</v>
      </c>
      <c r="DL296">
        <v>159.8</v>
      </c>
      <c r="DM296">
        <v>0</v>
      </c>
      <c r="DN296">
        <v>6</v>
      </c>
      <c r="DO296">
        <v>10</v>
      </c>
      <c r="DP296">
        <v>0</v>
      </c>
      <c r="DQ296">
        <v>255</v>
      </c>
      <c r="DR296">
        <v>255</v>
      </c>
      <c r="DS296">
        <v>255</v>
      </c>
      <c r="DT296">
        <v>255</v>
      </c>
      <c r="DU296">
        <v>255</v>
      </c>
      <c r="DV296">
        <v>255</v>
      </c>
      <c r="DW296">
        <v>255</v>
      </c>
      <c r="DX296" t="s">
        <v>206</v>
      </c>
      <c r="DY296" t="s">
        <v>206</v>
      </c>
      <c r="DZ296" t="s">
        <v>207</v>
      </c>
      <c r="EA296" t="s">
        <v>198</v>
      </c>
      <c r="EB296" t="s">
        <v>198</v>
      </c>
      <c r="EC296" t="s">
        <v>198</v>
      </c>
      <c r="ED296">
        <v>0</v>
      </c>
      <c r="EE296">
        <v>0</v>
      </c>
      <c r="EF296">
        <v>0</v>
      </c>
      <c r="EG296">
        <v>0</v>
      </c>
      <c r="EH296">
        <v>255</v>
      </c>
      <c r="EI296">
        <v>255</v>
      </c>
      <c r="EJ296">
        <v>255</v>
      </c>
      <c r="EK296">
        <v>255</v>
      </c>
      <c r="EL296">
        <v>255</v>
      </c>
      <c r="EM296">
        <v>255</v>
      </c>
      <c r="EN296">
        <v>255</v>
      </c>
      <c r="EO296">
        <v>255</v>
      </c>
      <c r="EP296">
        <v>255</v>
      </c>
      <c r="EQ296">
        <v>255</v>
      </c>
      <c r="ER296" t="s">
        <v>208</v>
      </c>
      <c r="ES296" t="s">
        <v>209</v>
      </c>
      <c r="ET296" t="s">
        <v>209</v>
      </c>
      <c r="EU296">
        <v>0</v>
      </c>
      <c r="EV296">
        <v>16.2</v>
      </c>
      <c r="EW296">
        <v>-114.7</v>
      </c>
      <c r="EX296">
        <v>-0.2</v>
      </c>
      <c r="EY296">
        <v>0</v>
      </c>
      <c r="EZ296">
        <v>0</v>
      </c>
      <c r="FA296">
        <v>0</v>
      </c>
      <c r="FB296" t="s">
        <v>198</v>
      </c>
      <c r="FC296" t="s">
        <v>198</v>
      </c>
      <c r="FD296" t="s">
        <v>198</v>
      </c>
      <c r="FE296" t="s">
        <v>198</v>
      </c>
      <c r="FF296" t="s">
        <v>198</v>
      </c>
      <c r="FG296" t="s">
        <v>198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 t="s">
        <v>203</v>
      </c>
      <c r="FP296" t="s">
        <v>203</v>
      </c>
      <c r="FQ296" t="s">
        <v>203</v>
      </c>
      <c r="FR296" t="s">
        <v>203</v>
      </c>
      <c r="FS296" t="s">
        <v>203</v>
      </c>
      <c r="FT296" t="s">
        <v>203</v>
      </c>
      <c r="FU296" t="s">
        <v>198</v>
      </c>
      <c r="FV296" t="s">
        <v>198</v>
      </c>
      <c r="FW296" t="s">
        <v>198</v>
      </c>
      <c r="FX296" t="s">
        <v>198</v>
      </c>
      <c r="FY296" t="s">
        <v>198</v>
      </c>
      <c r="FZ296" t="s">
        <v>198</v>
      </c>
      <c r="GA296">
        <v>31.2</v>
      </c>
      <c r="GB296">
        <v>31.2</v>
      </c>
      <c r="GC296" t="s">
        <v>203</v>
      </c>
      <c r="GD296">
        <v>0</v>
      </c>
      <c r="GE296">
        <v>504</v>
      </c>
      <c r="GF296">
        <v>0</v>
      </c>
      <c r="GG296">
        <v>0</v>
      </c>
      <c r="GH296">
        <v>0</v>
      </c>
      <c r="GI296">
        <v>1</v>
      </c>
      <c r="GJ296">
        <v>1</v>
      </c>
      <c r="GK296">
        <v>0</v>
      </c>
      <c r="GL296" t="s">
        <v>198</v>
      </c>
      <c r="GM296" t="s">
        <v>198</v>
      </c>
      <c r="GN296" t="s">
        <v>198</v>
      </c>
    </row>
    <row r="297" spans="1:196">
      <c r="A297" s="19">
        <v>46316.90731877315</v>
      </c>
      <c r="B297">
        <v>0</v>
      </c>
      <c r="C297">
        <v>0</v>
      </c>
      <c r="D297">
        <v>277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584.2</v>
      </c>
      <c r="N297">
        <v>-0.5</v>
      </c>
      <c r="O297">
        <v>0</v>
      </c>
      <c r="P297">
        <v>0</v>
      </c>
      <c r="Q297">
        <v>0</v>
      </c>
      <c r="R297">
        <v>0</v>
      </c>
      <c r="S297">
        <v>115.6</v>
      </c>
      <c r="T297" t="s">
        <v>485</v>
      </c>
      <c r="U297">
        <v>115.7</v>
      </c>
      <c r="V297">
        <v>1762727256586.8</v>
      </c>
      <c r="W297">
        <v>1</v>
      </c>
      <c r="X297" t="s">
        <v>197</v>
      </c>
      <c r="Y297">
        <v>0</v>
      </c>
      <c r="Z297">
        <v>98</v>
      </c>
      <c r="AA297">
        <v>278</v>
      </c>
      <c r="AB297" t="s">
        <v>197</v>
      </c>
      <c r="AC297" t="s">
        <v>198</v>
      </c>
      <c r="AD297" t="s">
        <v>199</v>
      </c>
      <c r="AE297">
        <v>0</v>
      </c>
      <c r="AF297">
        <v>45</v>
      </c>
      <c r="AG297">
        <v>255</v>
      </c>
      <c r="AH297">
        <v>0</v>
      </c>
      <c r="AI297">
        <v>0</v>
      </c>
      <c r="AJ297">
        <v>0</v>
      </c>
      <c r="AK297">
        <v>12.6</v>
      </c>
      <c r="AL297">
        <v>0</v>
      </c>
      <c r="AM297">
        <v>0</v>
      </c>
      <c r="AN297" t="s">
        <v>197</v>
      </c>
      <c r="AO297">
        <v>100</v>
      </c>
      <c r="AP297" t="s">
        <v>197</v>
      </c>
      <c r="AQ297" t="s">
        <v>200</v>
      </c>
      <c r="AR297">
        <v>1</v>
      </c>
      <c r="AS297">
        <v>0</v>
      </c>
      <c r="AT297" t="s">
        <v>643</v>
      </c>
      <c r="AU297" t="s">
        <v>643</v>
      </c>
      <c r="AV297" t="s">
        <v>202</v>
      </c>
      <c r="AW297" t="s">
        <v>203</v>
      </c>
      <c r="AX297" t="s">
        <v>203</v>
      </c>
      <c r="AY297" t="s">
        <v>203</v>
      </c>
      <c r="AZ297" t="s">
        <v>203</v>
      </c>
      <c r="BA297" t="s">
        <v>203</v>
      </c>
      <c r="BB297" t="s">
        <v>203</v>
      </c>
      <c r="BC297" t="s">
        <v>203</v>
      </c>
      <c r="BD297" t="s">
        <v>203</v>
      </c>
      <c r="BE297" t="s">
        <v>203</v>
      </c>
      <c r="BF297">
        <v>0</v>
      </c>
      <c r="BG297">
        <v>0.2</v>
      </c>
      <c r="BH297">
        <v>50</v>
      </c>
      <c r="BI297">
        <v>0</v>
      </c>
      <c r="BJ297" t="s">
        <v>198</v>
      </c>
      <c r="BK297" t="s">
        <v>198</v>
      </c>
      <c r="BL297" t="s">
        <v>198</v>
      </c>
      <c r="BM297" t="s">
        <v>198</v>
      </c>
      <c r="BN297" t="s">
        <v>198</v>
      </c>
      <c r="BO297" t="s">
        <v>198</v>
      </c>
      <c r="BP297" t="s">
        <v>198</v>
      </c>
      <c r="BQ297" t="s">
        <v>198</v>
      </c>
      <c r="BR297" t="s">
        <v>198</v>
      </c>
      <c r="BS297" t="s">
        <v>198</v>
      </c>
      <c r="BT297" t="s">
        <v>198</v>
      </c>
      <c r="BU297" t="s">
        <v>198</v>
      </c>
      <c r="BV297" t="s">
        <v>198</v>
      </c>
      <c r="BW297" t="s">
        <v>198</v>
      </c>
      <c r="BX297" t="s">
        <v>198</v>
      </c>
      <c r="BY297" t="s">
        <v>198</v>
      </c>
      <c r="BZ297" t="s">
        <v>198</v>
      </c>
      <c r="CA297" t="s">
        <v>198</v>
      </c>
      <c r="CB297" t="s">
        <v>204</v>
      </c>
      <c r="CC297" t="s">
        <v>204</v>
      </c>
      <c r="CD297" t="s">
        <v>204</v>
      </c>
      <c r="CE297" t="s">
        <v>204</v>
      </c>
      <c r="CF297" t="s">
        <v>204</v>
      </c>
      <c r="CG297" t="s">
        <v>204</v>
      </c>
      <c r="CH297" t="s">
        <v>204</v>
      </c>
      <c r="CI297" t="s">
        <v>204</v>
      </c>
      <c r="CJ297" t="s">
        <v>204</v>
      </c>
      <c r="CK297" t="s">
        <v>204</v>
      </c>
      <c r="CL297" t="s">
        <v>204</v>
      </c>
      <c r="CM297" t="s">
        <v>204</v>
      </c>
      <c r="CN297" t="s">
        <v>203</v>
      </c>
      <c r="CO297" t="s">
        <v>203</v>
      </c>
      <c r="CP297" t="s">
        <v>203</v>
      </c>
      <c r="CQ297" t="s">
        <v>203</v>
      </c>
      <c r="CR297" t="s">
        <v>203</v>
      </c>
      <c r="CS297" t="s">
        <v>203</v>
      </c>
      <c r="CT297" t="s">
        <v>203</v>
      </c>
      <c r="CU297" t="s">
        <v>203</v>
      </c>
      <c r="CV297">
        <v>0</v>
      </c>
      <c r="CW297">
        <v>0</v>
      </c>
      <c r="CX297" t="s">
        <v>198</v>
      </c>
      <c r="CY297" t="s">
        <v>198</v>
      </c>
      <c r="CZ297" t="s">
        <v>198</v>
      </c>
      <c r="DA297" t="s">
        <v>198</v>
      </c>
      <c r="DB297" t="s">
        <v>198</v>
      </c>
      <c r="DC297">
        <v>0</v>
      </c>
      <c r="DD297">
        <v>0</v>
      </c>
      <c r="DE297">
        <v>0</v>
      </c>
      <c r="DF297">
        <v>0</v>
      </c>
      <c r="DG297">
        <v>-35.3631166</v>
      </c>
      <c r="DH297">
        <v>149.1639735</v>
      </c>
      <c r="DI297" t="s">
        <v>360</v>
      </c>
      <c r="DJ297">
        <v>1.2</v>
      </c>
      <c r="DK297">
        <v>2</v>
      </c>
      <c r="DL297">
        <v>159.8</v>
      </c>
      <c r="DM297">
        <v>0</v>
      </c>
      <c r="DN297">
        <v>6</v>
      </c>
      <c r="DO297">
        <v>10</v>
      </c>
      <c r="DP297">
        <v>0</v>
      </c>
      <c r="DQ297">
        <v>255</v>
      </c>
      <c r="DR297">
        <v>255</v>
      </c>
      <c r="DS297">
        <v>255</v>
      </c>
      <c r="DT297">
        <v>255</v>
      </c>
      <c r="DU297">
        <v>255</v>
      </c>
      <c r="DV297">
        <v>255</v>
      </c>
      <c r="DW297">
        <v>255</v>
      </c>
      <c r="DX297" t="s">
        <v>206</v>
      </c>
      <c r="DY297" t="s">
        <v>206</v>
      </c>
      <c r="DZ297" t="s">
        <v>207</v>
      </c>
      <c r="EA297" t="s">
        <v>198</v>
      </c>
      <c r="EB297" t="s">
        <v>198</v>
      </c>
      <c r="EC297" t="s">
        <v>198</v>
      </c>
      <c r="ED297">
        <v>0</v>
      </c>
      <c r="EE297">
        <v>0</v>
      </c>
      <c r="EF297">
        <v>0</v>
      </c>
      <c r="EG297">
        <v>0</v>
      </c>
      <c r="EH297">
        <v>255</v>
      </c>
      <c r="EI297">
        <v>255</v>
      </c>
      <c r="EJ297">
        <v>255</v>
      </c>
      <c r="EK297">
        <v>255</v>
      </c>
      <c r="EL297">
        <v>255</v>
      </c>
      <c r="EM297">
        <v>255</v>
      </c>
      <c r="EN297">
        <v>255</v>
      </c>
      <c r="EO297">
        <v>255</v>
      </c>
      <c r="EP297">
        <v>255</v>
      </c>
      <c r="EQ297">
        <v>255</v>
      </c>
      <c r="ER297" t="s">
        <v>208</v>
      </c>
      <c r="ES297" t="s">
        <v>209</v>
      </c>
      <c r="ET297" t="s">
        <v>209</v>
      </c>
      <c r="EU297">
        <v>0</v>
      </c>
      <c r="EV297">
        <v>16.2</v>
      </c>
      <c r="EW297">
        <v>-114.7</v>
      </c>
      <c r="EX297">
        <v>-0.2</v>
      </c>
      <c r="EY297">
        <v>0</v>
      </c>
      <c r="EZ297">
        <v>0</v>
      </c>
      <c r="FA297">
        <v>0</v>
      </c>
      <c r="FB297" t="s">
        <v>198</v>
      </c>
      <c r="FC297" t="s">
        <v>198</v>
      </c>
      <c r="FD297" t="s">
        <v>198</v>
      </c>
      <c r="FE297" t="s">
        <v>198</v>
      </c>
      <c r="FF297" t="s">
        <v>198</v>
      </c>
      <c r="FG297" t="s">
        <v>198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 t="s">
        <v>203</v>
      </c>
      <c r="FP297" t="s">
        <v>203</v>
      </c>
      <c r="FQ297" t="s">
        <v>203</v>
      </c>
      <c r="FR297" t="s">
        <v>203</v>
      </c>
      <c r="FS297" t="s">
        <v>203</v>
      </c>
      <c r="FT297" t="s">
        <v>203</v>
      </c>
      <c r="FU297" t="s">
        <v>198</v>
      </c>
      <c r="FV297" t="s">
        <v>198</v>
      </c>
      <c r="FW297" t="s">
        <v>198</v>
      </c>
      <c r="FX297" t="s">
        <v>198</v>
      </c>
      <c r="FY297" t="s">
        <v>198</v>
      </c>
      <c r="FZ297" t="s">
        <v>198</v>
      </c>
      <c r="GA297">
        <v>31.2</v>
      </c>
      <c r="GB297">
        <v>31.2</v>
      </c>
      <c r="GC297" t="s">
        <v>203</v>
      </c>
      <c r="GD297">
        <v>0</v>
      </c>
      <c r="GE297">
        <v>504</v>
      </c>
      <c r="GF297">
        <v>0</v>
      </c>
      <c r="GG297">
        <v>0</v>
      </c>
      <c r="GH297">
        <v>0</v>
      </c>
      <c r="GI297">
        <v>1</v>
      </c>
      <c r="GJ297">
        <v>1</v>
      </c>
      <c r="GK297">
        <v>0</v>
      </c>
      <c r="GL297" t="s">
        <v>198</v>
      </c>
      <c r="GM297" t="s">
        <v>198</v>
      </c>
      <c r="GN297" t="s">
        <v>198</v>
      </c>
    </row>
    <row r="298" spans="1:196">
      <c r="A298" s="19">
        <v>46316.90733035879</v>
      </c>
      <c r="B298">
        <v>0</v>
      </c>
      <c r="C298">
        <v>0</v>
      </c>
      <c r="D298">
        <v>277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584.2</v>
      </c>
      <c r="N298">
        <v>-0.5</v>
      </c>
      <c r="O298">
        <v>0</v>
      </c>
      <c r="P298">
        <v>0</v>
      </c>
      <c r="Q298">
        <v>0</v>
      </c>
      <c r="R298">
        <v>0</v>
      </c>
      <c r="S298">
        <v>115.6</v>
      </c>
      <c r="T298" t="s">
        <v>485</v>
      </c>
      <c r="U298">
        <v>115.7</v>
      </c>
      <c r="V298">
        <v>1762727256586.8</v>
      </c>
      <c r="W298">
        <v>1</v>
      </c>
      <c r="X298" t="s">
        <v>197</v>
      </c>
      <c r="Y298">
        <v>0</v>
      </c>
      <c r="Z298">
        <v>98</v>
      </c>
      <c r="AA298">
        <v>278</v>
      </c>
      <c r="AB298" t="s">
        <v>197</v>
      </c>
      <c r="AC298" t="s">
        <v>198</v>
      </c>
      <c r="AD298" t="s">
        <v>199</v>
      </c>
      <c r="AE298">
        <v>0</v>
      </c>
      <c r="AF298">
        <v>45</v>
      </c>
      <c r="AG298">
        <v>255</v>
      </c>
      <c r="AH298">
        <v>0</v>
      </c>
      <c r="AI298">
        <v>0</v>
      </c>
      <c r="AJ298">
        <v>0</v>
      </c>
      <c r="AK298">
        <v>12.6</v>
      </c>
      <c r="AL298">
        <v>0</v>
      </c>
      <c r="AM298">
        <v>0</v>
      </c>
      <c r="AN298" t="s">
        <v>197</v>
      </c>
      <c r="AO298">
        <v>100</v>
      </c>
      <c r="AP298" t="s">
        <v>197</v>
      </c>
      <c r="AQ298" t="s">
        <v>200</v>
      </c>
      <c r="AR298">
        <v>1</v>
      </c>
      <c r="AS298">
        <v>0</v>
      </c>
      <c r="AT298" t="s">
        <v>644</v>
      </c>
      <c r="AU298" t="s">
        <v>644</v>
      </c>
      <c r="AV298" t="s">
        <v>202</v>
      </c>
      <c r="AW298" t="s">
        <v>203</v>
      </c>
      <c r="AX298" t="s">
        <v>203</v>
      </c>
      <c r="AY298" t="s">
        <v>203</v>
      </c>
      <c r="AZ298" t="s">
        <v>203</v>
      </c>
      <c r="BA298" t="s">
        <v>203</v>
      </c>
      <c r="BB298" t="s">
        <v>203</v>
      </c>
      <c r="BC298" t="s">
        <v>203</v>
      </c>
      <c r="BD298" t="s">
        <v>203</v>
      </c>
      <c r="BE298" t="s">
        <v>203</v>
      </c>
      <c r="BF298">
        <v>0</v>
      </c>
      <c r="BG298">
        <v>0.2</v>
      </c>
      <c r="BH298">
        <v>50</v>
      </c>
      <c r="BI298">
        <v>0</v>
      </c>
      <c r="BJ298" t="s">
        <v>198</v>
      </c>
      <c r="BK298" t="s">
        <v>198</v>
      </c>
      <c r="BL298" t="s">
        <v>198</v>
      </c>
      <c r="BM298" t="s">
        <v>198</v>
      </c>
      <c r="BN298" t="s">
        <v>198</v>
      </c>
      <c r="BO298" t="s">
        <v>198</v>
      </c>
      <c r="BP298" t="s">
        <v>198</v>
      </c>
      <c r="BQ298" t="s">
        <v>198</v>
      </c>
      <c r="BR298" t="s">
        <v>198</v>
      </c>
      <c r="BS298" t="s">
        <v>198</v>
      </c>
      <c r="BT298" t="s">
        <v>198</v>
      </c>
      <c r="BU298" t="s">
        <v>198</v>
      </c>
      <c r="BV298" t="s">
        <v>198</v>
      </c>
      <c r="BW298" t="s">
        <v>198</v>
      </c>
      <c r="BX298" t="s">
        <v>198</v>
      </c>
      <c r="BY298" t="s">
        <v>198</v>
      </c>
      <c r="BZ298" t="s">
        <v>198</v>
      </c>
      <c r="CA298" t="s">
        <v>198</v>
      </c>
      <c r="CB298" t="s">
        <v>204</v>
      </c>
      <c r="CC298" t="s">
        <v>204</v>
      </c>
      <c r="CD298" t="s">
        <v>204</v>
      </c>
      <c r="CE298" t="s">
        <v>204</v>
      </c>
      <c r="CF298" t="s">
        <v>204</v>
      </c>
      <c r="CG298" t="s">
        <v>204</v>
      </c>
      <c r="CH298" t="s">
        <v>204</v>
      </c>
      <c r="CI298" t="s">
        <v>204</v>
      </c>
      <c r="CJ298" t="s">
        <v>204</v>
      </c>
      <c r="CK298" t="s">
        <v>204</v>
      </c>
      <c r="CL298" t="s">
        <v>204</v>
      </c>
      <c r="CM298" t="s">
        <v>204</v>
      </c>
      <c r="CN298" t="s">
        <v>203</v>
      </c>
      <c r="CO298" t="s">
        <v>203</v>
      </c>
      <c r="CP298" t="s">
        <v>203</v>
      </c>
      <c r="CQ298" t="s">
        <v>203</v>
      </c>
      <c r="CR298" t="s">
        <v>203</v>
      </c>
      <c r="CS298" t="s">
        <v>203</v>
      </c>
      <c r="CT298" t="s">
        <v>203</v>
      </c>
      <c r="CU298" t="s">
        <v>203</v>
      </c>
      <c r="CV298">
        <v>0</v>
      </c>
      <c r="CW298">
        <v>0</v>
      </c>
      <c r="CX298" t="s">
        <v>198</v>
      </c>
      <c r="CY298" t="s">
        <v>198</v>
      </c>
      <c r="CZ298" t="s">
        <v>198</v>
      </c>
      <c r="DA298" t="s">
        <v>198</v>
      </c>
      <c r="DB298" t="s">
        <v>198</v>
      </c>
      <c r="DC298">
        <v>0</v>
      </c>
      <c r="DD298">
        <v>0</v>
      </c>
      <c r="DE298">
        <v>0</v>
      </c>
      <c r="DF298">
        <v>0</v>
      </c>
      <c r="DG298">
        <v>-35.3631166</v>
      </c>
      <c r="DH298">
        <v>149.1639735</v>
      </c>
      <c r="DI298" t="s">
        <v>360</v>
      </c>
      <c r="DJ298">
        <v>1.2</v>
      </c>
      <c r="DK298">
        <v>2</v>
      </c>
      <c r="DL298">
        <v>159.8</v>
      </c>
      <c r="DM298">
        <v>0</v>
      </c>
      <c r="DN298">
        <v>6</v>
      </c>
      <c r="DO298">
        <v>10</v>
      </c>
      <c r="DP298">
        <v>0</v>
      </c>
      <c r="DQ298">
        <v>255</v>
      </c>
      <c r="DR298">
        <v>255</v>
      </c>
      <c r="DS298">
        <v>255</v>
      </c>
      <c r="DT298">
        <v>255</v>
      </c>
      <c r="DU298">
        <v>255</v>
      </c>
      <c r="DV298">
        <v>255</v>
      </c>
      <c r="DW298">
        <v>255</v>
      </c>
      <c r="DX298" t="s">
        <v>206</v>
      </c>
      <c r="DY298" t="s">
        <v>206</v>
      </c>
      <c r="DZ298" t="s">
        <v>207</v>
      </c>
      <c r="EA298" t="s">
        <v>198</v>
      </c>
      <c r="EB298" t="s">
        <v>198</v>
      </c>
      <c r="EC298" t="s">
        <v>198</v>
      </c>
      <c r="ED298">
        <v>0</v>
      </c>
      <c r="EE298">
        <v>0</v>
      </c>
      <c r="EF298">
        <v>0</v>
      </c>
      <c r="EG298">
        <v>0</v>
      </c>
      <c r="EH298">
        <v>255</v>
      </c>
      <c r="EI298">
        <v>255</v>
      </c>
      <c r="EJ298">
        <v>255</v>
      </c>
      <c r="EK298">
        <v>255</v>
      </c>
      <c r="EL298">
        <v>255</v>
      </c>
      <c r="EM298">
        <v>255</v>
      </c>
      <c r="EN298">
        <v>255</v>
      </c>
      <c r="EO298">
        <v>255</v>
      </c>
      <c r="EP298">
        <v>255</v>
      </c>
      <c r="EQ298">
        <v>255</v>
      </c>
      <c r="ER298" t="s">
        <v>208</v>
      </c>
      <c r="ES298" t="s">
        <v>209</v>
      </c>
      <c r="ET298" t="s">
        <v>209</v>
      </c>
      <c r="EU298">
        <v>0</v>
      </c>
      <c r="EV298">
        <v>16.2</v>
      </c>
      <c r="EW298">
        <v>-114.7</v>
      </c>
      <c r="EX298">
        <v>-0.2</v>
      </c>
      <c r="EY298">
        <v>0</v>
      </c>
      <c r="EZ298">
        <v>0</v>
      </c>
      <c r="FA298">
        <v>0</v>
      </c>
      <c r="FB298" t="s">
        <v>198</v>
      </c>
      <c r="FC298" t="s">
        <v>198</v>
      </c>
      <c r="FD298" t="s">
        <v>198</v>
      </c>
      <c r="FE298" t="s">
        <v>198</v>
      </c>
      <c r="FF298" t="s">
        <v>198</v>
      </c>
      <c r="FG298" t="s">
        <v>198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203</v>
      </c>
      <c r="FP298" t="s">
        <v>203</v>
      </c>
      <c r="FQ298" t="s">
        <v>203</v>
      </c>
      <c r="FR298" t="s">
        <v>203</v>
      </c>
      <c r="FS298" t="s">
        <v>203</v>
      </c>
      <c r="FT298" t="s">
        <v>203</v>
      </c>
      <c r="FU298" t="s">
        <v>198</v>
      </c>
      <c r="FV298" t="s">
        <v>198</v>
      </c>
      <c r="FW298" t="s">
        <v>198</v>
      </c>
      <c r="FX298" t="s">
        <v>198</v>
      </c>
      <c r="FY298" t="s">
        <v>198</v>
      </c>
      <c r="FZ298" t="s">
        <v>198</v>
      </c>
      <c r="GA298">
        <v>31.2</v>
      </c>
      <c r="GB298">
        <v>31.2</v>
      </c>
      <c r="GC298" t="s">
        <v>203</v>
      </c>
      <c r="GD298">
        <v>0</v>
      </c>
      <c r="GE298">
        <v>504</v>
      </c>
      <c r="GF298">
        <v>0</v>
      </c>
      <c r="GG298">
        <v>0</v>
      </c>
      <c r="GH298">
        <v>0</v>
      </c>
      <c r="GI298">
        <v>1</v>
      </c>
      <c r="GJ298">
        <v>1</v>
      </c>
      <c r="GK298">
        <v>0</v>
      </c>
      <c r="GL298" t="s">
        <v>198</v>
      </c>
      <c r="GM298" t="s">
        <v>198</v>
      </c>
      <c r="GN298" t="s">
        <v>198</v>
      </c>
    </row>
    <row r="299" spans="1:196">
      <c r="A299" s="19">
        <v>46316.90734193287</v>
      </c>
      <c r="B299">
        <v>0</v>
      </c>
      <c r="C299">
        <v>0</v>
      </c>
      <c r="D299">
        <v>277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584.2</v>
      </c>
      <c r="N299">
        <v>-0.5</v>
      </c>
      <c r="O299">
        <v>0</v>
      </c>
      <c r="P299">
        <v>0</v>
      </c>
      <c r="Q299">
        <v>0</v>
      </c>
      <c r="R299">
        <v>0</v>
      </c>
      <c r="S299">
        <v>115.6</v>
      </c>
      <c r="T299" t="s">
        <v>485</v>
      </c>
      <c r="U299">
        <v>115.7</v>
      </c>
      <c r="V299">
        <v>1762727256586.8</v>
      </c>
      <c r="W299">
        <v>1</v>
      </c>
      <c r="X299" t="s">
        <v>197</v>
      </c>
      <c r="Y299">
        <v>0</v>
      </c>
      <c r="Z299">
        <v>98</v>
      </c>
      <c r="AA299">
        <v>278</v>
      </c>
      <c r="AB299" t="s">
        <v>197</v>
      </c>
      <c r="AC299" t="s">
        <v>198</v>
      </c>
      <c r="AD299" t="s">
        <v>199</v>
      </c>
      <c r="AE299">
        <v>0</v>
      </c>
      <c r="AF299">
        <v>45</v>
      </c>
      <c r="AG299">
        <v>255</v>
      </c>
      <c r="AH299">
        <v>0</v>
      </c>
      <c r="AI299">
        <v>0</v>
      </c>
      <c r="AJ299">
        <v>0</v>
      </c>
      <c r="AK299">
        <v>12.6</v>
      </c>
      <c r="AL299">
        <v>0</v>
      </c>
      <c r="AM299">
        <v>0</v>
      </c>
      <c r="AN299" t="s">
        <v>197</v>
      </c>
      <c r="AO299">
        <v>100</v>
      </c>
      <c r="AP299" t="s">
        <v>197</v>
      </c>
      <c r="AQ299" t="s">
        <v>200</v>
      </c>
      <c r="AR299">
        <v>1</v>
      </c>
      <c r="AS299">
        <v>0</v>
      </c>
      <c r="AT299" t="s">
        <v>645</v>
      </c>
      <c r="AU299" t="s">
        <v>645</v>
      </c>
      <c r="AV299" t="s">
        <v>202</v>
      </c>
      <c r="AW299" t="s">
        <v>203</v>
      </c>
      <c r="AX299" t="s">
        <v>203</v>
      </c>
      <c r="AY299" t="s">
        <v>203</v>
      </c>
      <c r="AZ299" t="s">
        <v>203</v>
      </c>
      <c r="BA299" t="s">
        <v>203</v>
      </c>
      <c r="BB299" t="s">
        <v>203</v>
      </c>
      <c r="BC299" t="s">
        <v>203</v>
      </c>
      <c r="BD299" t="s">
        <v>203</v>
      </c>
      <c r="BE299" t="s">
        <v>203</v>
      </c>
      <c r="BF299">
        <v>0</v>
      </c>
      <c r="BG299">
        <v>0.2</v>
      </c>
      <c r="BH299">
        <v>50</v>
      </c>
      <c r="BI299">
        <v>0</v>
      </c>
      <c r="BJ299" t="s">
        <v>198</v>
      </c>
      <c r="BK299" t="s">
        <v>198</v>
      </c>
      <c r="BL299" t="s">
        <v>198</v>
      </c>
      <c r="BM299" t="s">
        <v>198</v>
      </c>
      <c r="BN299" t="s">
        <v>198</v>
      </c>
      <c r="BO299" t="s">
        <v>198</v>
      </c>
      <c r="BP299" t="s">
        <v>198</v>
      </c>
      <c r="BQ299" t="s">
        <v>198</v>
      </c>
      <c r="BR299" t="s">
        <v>198</v>
      </c>
      <c r="BS299" t="s">
        <v>198</v>
      </c>
      <c r="BT299" t="s">
        <v>198</v>
      </c>
      <c r="BU299" t="s">
        <v>198</v>
      </c>
      <c r="BV299" t="s">
        <v>198</v>
      </c>
      <c r="BW299" t="s">
        <v>198</v>
      </c>
      <c r="BX299" t="s">
        <v>198</v>
      </c>
      <c r="BY299" t="s">
        <v>198</v>
      </c>
      <c r="BZ299" t="s">
        <v>198</v>
      </c>
      <c r="CA299" t="s">
        <v>198</v>
      </c>
      <c r="CB299" t="s">
        <v>204</v>
      </c>
      <c r="CC299" t="s">
        <v>204</v>
      </c>
      <c r="CD299" t="s">
        <v>204</v>
      </c>
      <c r="CE299" t="s">
        <v>204</v>
      </c>
      <c r="CF299" t="s">
        <v>204</v>
      </c>
      <c r="CG299" t="s">
        <v>204</v>
      </c>
      <c r="CH299" t="s">
        <v>204</v>
      </c>
      <c r="CI299" t="s">
        <v>204</v>
      </c>
      <c r="CJ299" t="s">
        <v>204</v>
      </c>
      <c r="CK299" t="s">
        <v>204</v>
      </c>
      <c r="CL299" t="s">
        <v>204</v>
      </c>
      <c r="CM299" t="s">
        <v>204</v>
      </c>
      <c r="CN299" t="s">
        <v>203</v>
      </c>
      <c r="CO299" t="s">
        <v>203</v>
      </c>
      <c r="CP299" t="s">
        <v>203</v>
      </c>
      <c r="CQ299" t="s">
        <v>203</v>
      </c>
      <c r="CR299" t="s">
        <v>203</v>
      </c>
      <c r="CS299" t="s">
        <v>203</v>
      </c>
      <c r="CT299" t="s">
        <v>203</v>
      </c>
      <c r="CU299" t="s">
        <v>203</v>
      </c>
      <c r="CV299">
        <v>0</v>
      </c>
      <c r="CW299">
        <v>0</v>
      </c>
      <c r="CX299" t="s">
        <v>198</v>
      </c>
      <c r="CY299" t="s">
        <v>198</v>
      </c>
      <c r="CZ299" t="s">
        <v>198</v>
      </c>
      <c r="DA299" t="s">
        <v>198</v>
      </c>
      <c r="DB299" t="s">
        <v>198</v>
      </c>
      <c r="DC299">
        <v>0</v>
      </c>
      <c r="DD299">
        <v>0</v>
      </c>
      <c r="DE299">
        <v>0</v>
      </c>
      <c r="DF299">
        <v>0</v>
      </c>
      <c r="DG299">
        <v>-35.3631166</v>
      </c>
      <c r="DH299">
        <v>149.1639735</v>
      </c>
      <c r="DI299" t="s">
        <v>360</v>
      </c>
      <c r="DJ299">
        <v>1.2</v>
      </c>
      <c r="DK299">
        <v>2</v>
      </c>
      <c r="DL299">
        <v>159.8</v>
      </c>
      <c r="DM299">
        <v>0</v>
      </c>
      <c r="DN299">
        <v>6</v>
      </c>
      <c r="DO299">
        <v>10</v>
      </c>
      <c r="DP299">
        <v>0</v>
      </c>
      <c r="DQ299">
        <v>255</v>
      </c>
      <c r="DR299">
        <v>255</v>
      </c>
      <c r="DS299">
        <v>255</v>
      </c>
      <c r="DT299">
        <v>255</v>
      </c>
      <c r="DU299">
        <v>255</v>
      </c>
      <c r="DV299">
        <v>255</v>
      </c>
      <c r="DW299">
        <v>255</v>
      </c>
      <c r="DX299" t="s">
        <v>206</v>
      </c>
      <c r="DY299" t="s">
        <v>206</v>
      </c>
      <c r="DZ299" t="s">
        <v>207</v>
      </c>
      <c r="EA299" t="s">
        <v>198</v>
      </c>
      <c r="EB299" t="s">
        <v>198</v>
      </c>
      <c r="EC299" t="s">
        <v>198</v>
      </c>
      <c r="ED299">
        <v>0</v>
      </c>
      <c r="EE299">
        <v>0</v>
      </c>
      <c r="EF299">
        <v>0</v>
      </c>
      <c r="EG299">
        <v>0</v>
      </c>
      <c r="EH299">
        <v>255</v>
      </c>
      <c r="EI299">
        <v>255</v>
      </c>
      <c r="EJ299">
        <v>255</v>
      </c>
      <c r="EK299">
        <v>255</v>
      </c>
      <c r="EL299">
        <v>255</v>
      </c>
      <c r="EM299">
        <v>255</v>
      </c>
      <c r="EN299">
        <v>255</v>
      </c>
      <c r="EO299">
        <v>255</v>
      </c>
      <c r="EP299">
        <v>255</v>
      </c>
      <c r="EQ299">
        <v>255</v>
      </c>
      <c r="ER299" t="s">
        <v>208</v>
      </c>
      <c r="ES299" t="s">
        <v>209</v>
      </c>
      <c r="ET299" t="s">
        <v>209</v>
      </c>
      <c r="EU299">
        <v>0</v>
      </c>
      <c r="EV299">
        <v>16.2</v>
      </c>
      <c r="EW299">
        <v>-114.7</v>
      </c>
      <c r="EX299">
        <v>-0.2</v>
      </c>
      <c r="EY299">
        <v>0</v>
      </c>
      <c r="EZ299">
        <v>0</v>
      </c>
      <c r="FA299">
        <v>0</v>
      </c>
      <c r="FB299" t="s">
        <v>198</v>
      </c>
      <c r="FC299" t="s">
        <v>198</v>
      </c>
      <c r="FD299" t="s">
        <v>198</v>
      </c>
      <c r="FE299" t="s">
        <v>198</v>
      </c>
      <c r="FF299" t="s">
        <v>198</v>
      </c>
      <c r="FG299" t="s">
        <v>198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 t="s">
        <v>203</v>
      </c>
      <c r="FP299" t="s">
        <v>203</v>
      </c>
      <c r="FQ299" t="s">
        <v>203</v>
      </c>
      <c r="FR299" t="s">
        <v>203</v>
      </c>
      <c r="FS299" t="s">
        <v>203</v>
      </c>
      <c r="FT299" t="s">
        <v>203</v>
      </c>
      <c r="FU299" t="s">
        <v>198</v>
      </c>
      <c r="FV299" t="s">
        <v>198</v>
      </c>
      <c r="FW299" t="s">
        <v>198</v>
      </c>
      <c r="FX299" t="s">
        <v>198</v>
      </c>
      <c r="FY299" t="s">
        <v>198</v>
      </c>
      <c r="FZ299" t="s">
        <v>198</v>
      </c>
      <c r="GA299">
        <v>31.2</v>
      </c>
      <c r="GB299">
        <v>31.2</v>
      </c>
      <c r="GC299" t="s">
        <v>203</v>
      </c>
      <c r="GD299">
        <v>0</v>
      </c>
      <c r="GE299">
        <v>504</v>
      </c>
      <c r="GF299">
        <v>0</v>
      </c>
      <c r="GG299">
        <v>0</v>
      </c>
      <c r="GH299">
        <v>0</v>
      </c>
      <c r="GI299">
        <v>1</v>
      </c>
      <c r="GJ299">
        <v>1</v>
      </c>
      <c r="GK299">
        <v>0</v>
      </c>
      <c r="GL299" t="s">
        <v>198</v>
      </c>
      <c r="GM299" t="s">
        <v>198</v>
      </c>
      <c r="GN299" t="s">
        <v>198</v>
      </c>
    </row>
    <row r="300" spans="1:196">
      <c r="A300" s="19">
        <v>46316.90735350695</v>
      </c>
      <c r="B300">
        <v>0</v>
      </c>
      <c r="C300">
        <v>0</v>
      </c>
      <c r="D300">
        <v>277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584.2</v>
      </c>
      <c r="N300">
        <v>-0.5</v>
      </c>
      <c r="O300">
        <v>0</v>
      </c>
      <c r="P300">
        <v>0</v>
      </c>
      <c r="Q300">
        <v>0</v>
      </c>
      <c r="R300">
        <v>0</v>
      </c>
      <c r="S300">
        <v>115.6</v>
      </c>
      <c r="T300" t="s">
        <v>485</v>
      </c>
      <c r="U300">
        <v>115.7</v>
      </c>
      <c r="V300">
        <v>1762727256586.8</v>
      </c>
      <c r="W300">
        <v>1</v>
      </c>
      <c r="X300" t="s">
        <v>197</v>
      </c>
      <c r="Y300">
        <v>0</v>
      </c>
      <c r="Z300">
        <v>98</v>
      </c>
      <c r="AA300">
        <v>278</v>
      </c>
      <c r="AB300" t="s">
        <v>197</v>
      </c>
      <c r="AC300" t="s">
        <v>198</v>
      </c>
      <c r="AD300" t="s">
        <v>199</v>
      </c>
      <c r="AE300">
        <v>0</v>
      </c>
      <c r="AF300">
        <v>45</v>
      </c>
      <c r="AG300">
        <v>255</v>
      </c>
      <c r="AH300">
        <v>0</v>
      </c>
      <c r="AI300">
        <v>0</v>
      </c>
      <c r="AJ300">
        <v>0</v>
      </c>
      <c r="AK300">
        <v>12.6</v>
      </c>
      <c r="AL300">
        <v>0</v>
      </c>
      <c r="AM300">
        <v>0</v>
      </c>
      <c r="AN300" t="s">
        <v>197</v>
      </c>
      <c r="AO300">
        <v>100</v>
      </c>
      <c r="AP300" t="s">
        <v>197</v>
      </c>
      <c r="AQ300" t="s">
        <v>200</v>
      </c>
      <c r="AR300">
        <v>1</v>
      </c>
      <c r="AS300">
        <v>0</v>
      </c>
      <c r="AT300" t="s">
        <v>646</v>
      </c>
      <c r="AU300" t="s">
        <v>646</v>
      </c>
      <c r="AV300" t="s">
        <v>202</v>
      </c>
      <c r="AW300" t="s">
        <v>203</v>
      </c>
      <c r="AX300" t="s">
        <v>203</v>
      </c>
      <c r="AY300" t="s">
        <v>203</v>
      </c>
      <c r="AZ300" t="s">
        <v>203</v>
      </c>
      <c r="BA300" t="s">
        <v>203</v>
      </c>
      <c r="BB300" t="s">
        <v>203</v>
      </c>
      <c r="BC300" t="s">
        <v>203</v>
      </c>
      <c r="BD300" t="s">
        <v>203</v>
      </c>
      <c r="BE300" t="s">
        <v>203</v>
      </c>
      <c r="BF300">
        <v>0</v>
      </c>
      <c r="BG300">
        <v>0.2</v>
      </c>
      <c r="BH300">
        <v>50</v>
      </c>
      <c r="BI300">
        <v>0</v>
      </c>
      <c r="BJ300" t="s">
        <v>198</v>
      </c>
      <c r="BK300" t="s">
        <v>198</v>
      </c>
      <c r="BL300" t="s">
        <v>198</v>
      </c>
      <c r="BM300" t="s">
        <v>198</v>
      </c>
      <c r="BN300" t="s">
        <v>198</v>
      </c>
      <c r="BO300" t="s">
        <v>198</v>
      </c>
      <c r="BP300" t="s">
        <v>198</v>
      </c>
      <c r="BQ300" t="s">
        <v>198</v>
      </c>
      <c r="BR300" t="s">
        <v>198</v>
      </c>
      <c r="BS300" t="s">
        <v>198</v>
      </c>
      <c r="BT300" t="s">
        <v>198</v>
      </c>
      <c r="BU300" t="s">
        <v>198</v>
      </c>
      <c r="BV300" t="s">
        <v>198</v>
      </c>
      <c r="BW300" t="s">
        <v>198</v>
      </c>
      <c r="BX300" t="s">
        <v>198</v>
      </c>
      <c r="BY300" t="s">
        <v>198</v>
      </c>
      <c r="BZ300" t="s">
        <v>198</v>
      </c>
      <c r="CA300" t="s">
        <v>198</v>
      </c>
      <c r="CB300" t="s">
        <v>204</v>
      </c>
      <c r="CC300" t="s">
        <v>204</v>
      </c>
      <c r="CD300" t="s">
        <v>204</v>
      </c>
      <c r="CE300" t="s">
        <v>204</v>
      </c>
      <c r="CF300" t="s">
        <v>204</v>
      </c>
      <c r="CG300" t="s">
        <v>204</v>
      </c>
      <c r="CH300" t="s">
        <v>204</v>
      </c>
      <c r="CI300" t="s">
        <v>204</v>
      </c>
      <c r="CJ300" t="s">
        <v>204</v>
      </c>
      <c r="CK300" t="s">
        <v>204</v>
      </c>
      <c r="CL300" t="s">
        <v>204</v>
      </c>
      <c r="CM300" t="s">
        <v>204</v>
      </c>
      <c r="CN300" t="s">
        <v>203</v>
      </c>
      <c r="CO300" t="s">
        <v>203</v>
      </c>
      <c r="CP300" t="s">
        <v>203</v>
      </c>
      <c r="CQ300" t="s">
        <v>203</v>
      </c>
      <c r="CR300" t="s">
        <v>203</v>
      </c>
      <c r="CS300" t="s">
        <v>203</v>
      </c>
      <c r="CT300" t="s">
        <v>203</v>
      </c>
      <c r="CU300" t="s">
        <v>203</v>
      </c>
      <c r="CV300">
        <v>0</v>
      </c>
      <c r="CW300">
        <v>0</v>
      </c>
      <c r="CX300" t="s">
        <v>198</v>
      </c>
      <c r="CY300" t="s">
        <v>198</v>
      </c>
      <c r="CZ300" t="s">
        <v>198</v>
      </c>
      <c r="DA300" t="s">
        <v>198</v>
      </c>
      <c r="DB300" t="s">
        <v>198</v>
      </c>
      <c r="DC300">
        <v>0</v>
      </c>
      <c r="DD300">
        <v>0</v>
      </c>
      <c r="DE300">
        <v>0</v>
      </c>
      <c r="DF300">
        <v>0</v>
      </c>
      <c r="DG300">
        <v>-35.3631166</v>
      </c>
      <c r="DH300">
        <v>149.1639735</v>
      </c>
      <c r="DI300" t="s">
        <v>360</v>
      </c>
      <c r="DJ300">
        <v>1.2</v>
      </c>
      <c r="DK300">
        <v>2</v>
      </c>
      <c r="DL300">
        <v>159.8</v>
      </c>
      <c r="DM300">
        <v>0</v>
      </c>
      <c r="DN300">
        <v>6</v>
      </c>
      <c r="DO300">
        <v>10</v>
      </c>
      <c r="DP300">
        <v>0</v>
      </c>
      <c r="DQ300">
        <v>255</v>
      </c>
      <c r="DR300">
        <v>255</v>
      </c>
      <c r="DS300">
        <v>255</v>
      </c>
      <c r="DT300">
        <v>255</v>
      </c>
      <c r="DU300">
        <v>255</v>
      </c>
      <c r="DV300">
        <v>255</v>
      </c>
      <c r="DW300">
        <v>255</v>
      </c>
      <c r="DX300" t="s">
        <v>206</v>
      </c>
      <c r="DY300" t="s">
        <v>206</v>
      </c>
      <c r="DZ300" t="s">
        <v>207</v>
      </c>
      <c r="EA300" t="s">
        <v>198</v>
      </c>
      <c r="EB300" t="s">
        <v>198</v>
      </c>
      <c r="EC300" t="s">
        <v>198</v>
      </c>
      <c r="ED300">
        <v>0</v>
      </c>
      <c r="EE300">
        <v>0</v>
      </c>
      <c r="EF300">
        <v>0</v>
      </c>
      <c r="EG300">
        <v>0</v>
      </c>
      <c r="EH300">
        <v>255</v>
      </c>
      <c r="EI300">
        <v>255</v>
      </c>
      <c r="EJ300">
        <v>255</v>
      </c>
      <c r="EK300">
        <v>255</v>
      </c>
      <c r="EL300">
        <v>255</v>
      </c>
      <c r="EM300">
        <v>255</v>
      </c>
      <c r="EN300">
        <v>255</v>
      </c>
      <c r="EO300">
        <v>255</v>
      </c>
      <c r="EP300">
        <v>255</v>
      </c>
      <c r="EQ300">
        <v>255</v>
      </c>
      <c r="ER300" t="s">
        <v>208</v>
      </c>
      <c r="ES300" t="s">
        <v>209</v>
      </c>
      <c r="ET300" t="s">
        <v>209</v>
      </c>
      <c r="EU300">
        <v>0</v>
      </c>
      <c r="EV300">
        <v>16.2</v>
      </c>
      <c r="EW300">
        <v>-114.7</v>
      </c>
      <c r="EX300">
        <v>-0.2</v>
      </c>
      <c r="EY300">
        <v>0</v>
      </c>
      <c r="EZ300">
        <v>0</v>
      </c>
      <c r="FA300">
        <v>0</v>
      </c>
      <c r="FB300" t="s">
        <v>198</v>
      </c>
      <c r="FC300" t="s">
        <v>198</v>
      </c>
      <c r="FD300" t="s">
        <v>198</v>
      </c>
      <c r="FE300" t="s">
        <v>198</v>
      </c>
      <c r="FF300" t="s">
        <v>198</v>
      </c>
      <c r="FG300" t="s">
        <v>198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 t="s">
        <v>203</v>
      </c>
      <c r="FP300" t="s">
        <v>203</v>
      </c>
      <c r="FQ300" t="s">
        <v>203</v>
      </c>
      <c r="FR300" t="s">
        <v>203</v>
      </c>
      <c r="FS300" t="s">
        <v>203</v>
      </c>
      <c r="FT300" t="s">
        <v>203</v>
      </c>
      <c r="FU300" t="s">
        <v>198</v>
      </c>
      <c r="FV300" t="s">
        <v>198</v>
      </c>
      <c r="FW300" t="s">
        <v>198</v>
      </c>
      <c r="FX300" t="s">
        <v>198</v>
      </c>
      <c r="FY300" t="s">
        <v>198</v>
      </c>
      <c r="FZ300" t="s">
        <v>198</v>
      </c>
      <c r="GA300">
        <v>31.2</v>
      </c>
      <c r="GB300">
        <v>31.2</v>
      </c>
      <c r="GC300" t="s">
        <v>203</v>
      </c>
      <c r="GD300">
        <v>0</v>
      </c>
      <c r="GE300">
        <v>504</v>
      </c>
      <c r="GF300">
        <v>0</v>
      </c>
      <c r="GG300">
        <v>0</v>
      </c>
      <c r="GH300">
        <v>0</v>
      </c>
      <c r="GI300">
        <v>1</v>
      </c>
      <c r="GJ300">
        <v>1</v>
      </c>
      <c r="GK300">
        <v>0</v>
      </c>
      <c r="GL300" t="s">
        <v>198</v>
      </c>
      <c r="GM300" t="s">
        <v>198</v>
      </c>
      <c r="GN300" t="s">
        <v>198</v>
      </c>
    </row>
    <row r="301" spans="1:196">
      <c r="A301" s="19">
        <v>46316.90736508102</v>
      </c>
      <c r="B301">
        <v>0</v>
      </c>
      <c r="C301">
        <v>0</v>
      </c>
      <c r="D301">
        <v>277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584.2</v>
      </c>
      <c r="N301">
        <v>-0.5</v>
      </c>
      <c r="O301">
        <v>0</v>
      </c>
      <c r="P301">
        <v>0</v>
      </c>
      <c r="Q301">
        <v>0</v>
      </c>
      <c r="R301">
        <v>0</v>
      </c>
      <c r="S301">
        <v>115.6</v>
      </c>
      <c r="T301" t="s">
        <v>485</v>
      </c>
      <c r="U301">
        <v>115.7</v>
      </c>
      <c r="V301">
        <v>1762727256586.8</v>
      </c>
      <c r="W301">
        <v>1</v>
      </c>
      <c r="X301" t="s">
        <v>197</v>
      </c>
      <c r="Y301">
        <v>0</v>
      </c>
      <c r="Z301">
        <v>98</v>
      </c>
      <c r="AA301">
        <v>278</v>
      </c>
      <c r="AB301" t="s">
        <v>197</v>
      </c>
      <c r="AC301" t="s">
        <v>198</v>
      </c>
      <c r="AD301" t="s">
        <v>199</v>
      </c>
      <c r="AE301">
        <v>0</v>
      </c>
      <c r="AF301">
        <v>45</v>
      </c>
      <c r="AG301">
        <v>255</v>
      </c>
      <c r="AH301">
        <v>0</v>
      </c>
      <c r="AI301">
        <v>0</v>
      </c>
      <c r="AJ301">
        <v>0</v>
      </c>
      <c r="AK301">
        <v>12.6</v>
      </c>
      <c r="AL301">
        <v>0</v>
      </c>
      <c r="AM301">
        <v>0</v>
      </c>
      <c r="AN301" t="s">
        <v>197</v>
      </c>
      <c r="AO301">
        <v>100</v>
      </c>
      <c r="AP301" t="s">
        <v>197</v>
      </c>
      <c r="AQ301" t="s">
        <v>200</v>
      </c>
      <c r="AR301">
        <v>1</v>
      </c>
      <c r="AS301">
        <v>0</v>
      </c>
      <c r="AT301" t="s">
        <v>647</v>
      </c>
      <c r="AU301" t="s">
        <v>647</v>
      </c>
      <c r="AV301" t="s">
        <v>202</v>
      </c>
      <c r="AW301" t="s">
        <v>203</v>
      </c>
      <c r="AX301" t="s">
        <v>203</v>
      </c>
      <c r="AY301" t="s">
        <v>203</v>
      </c>
      <c r="AZ301" t="s">
        <v>203</v>
      </c>
      <c r="BA301" t="s">
        <v>203</v>
      </c>
      <c r="BB301" t="s">
        <v>203</v>
      </c>
      <c r="BC301" t="s">
        <v>203</v>
      </c>
      <c r="BD301" t="s">
        <v>203</v>
      </c>
      <c r="BE301" t="s">
        <v>203</v>
      </c>
      <c r="BF301">
        <v>0</v>
      </c>
      <c r="BG301">
        <v>0.2</v>
      </c>
      <c r="BH301">
        <v>50</v>
      </c>
      <c r="BI301">
        <v>0</v>
      </c>
      <c r="BJ301" t="s">
        <v>198</v>
      </c>
      <c r="BK301" t="s">
        <v>198</v>
      </c>
      <c r="BL301" t="s">
        <v>198</v>
      </c>
      <c r="BM301" t="s">
        <v>198</v>
      </c>
      <c r="BN301" t="s">
        <v>198</v>
      </c>
      <c r="BO301" t="s">
        <v>198</v>
      </c>
      <c r="BP301" t="s">
        <v>198</v>
      </c>
      <c r="BQ301" t="s">
        <v>198</v>
      </c>
      <c r="BR301" t="s">
        <v>198</v>
      </c>
      <c r="BS301" t="s">
        <v>198</v>
      </c>
      <c r="BT301" t="s">
        <v>198</v>
      </c>
      <c r="BU301" t="s">
        <v>198</v>
      </c>
      <c r="BV301" t="s">
        <v>198</v>
      </c>
      <c r="BW301" t="s">
        <v>198</v>
      </c>
      <c r="BX301" t="s">
        <v>198</v>
      </c>
      <c r="BY301" t="s">
        <v>198</v>
      </c>
      <c r="BZ301" t="s">
        <v>198</v>
      </c>
      <c r="CA301" t="s">
        <v>198</v>
      </c>
      <c r="CB301" t="s">
        <v>204</v>
      </c>
      <c r="CC301" t="s">
        <v>204</v>
      </c>
      <c r="CD301" t="s">
        <v>204</v>
      </c>
      <c r="CE301" t="s">
        <v>204</v>
      </c>
      <c r="CF301" t="s">
        <v>204</v>
      </c>
      <c r="CG301" t="s">
        <v>204</v>
      </c>
      <c r="CH301" t="s">
        <v>204</v>
      </c>
      <c r="CI301" t="s">
        <v>204</v>
      </c>
      <c r="CJ301" t="s">
        <v>204</v>
      </c>
      <c r="CK301" t="s">
        <v>204</v>
      </c>
      <c r="CL301" t="s">
        <v>204</v>
      </c>
      <c r="CM301" t="s">
        <v>204</v>
      </c>
      <c r="CN301" t="s">
        <v>203</v>
      </c>
      <c r="CO301" t="s">
        <v>203</v>
      </c>
      <c r="CP301" t="s">
        <v>203</v>
      </c>
      <c r="CQ301" t="s">
        <v>203</v>
      </c>
      <c r="CR301" t="s">
        <v>203</v>
      </c>
      <c r="CS301" t="s">
        <v>203</v>
      </c>
      <c r="CT301" t="s">
        <v>203</v>
      </c>
      <c r="CU301" t="s">
        <v>203</v>
      </c>
      <c r="CV301">
        <v>0</v>
      </c>
      <c r="CW301">
        <v>0</v>
      </c>
      <c r="CX301" t="s">
        <v>198</v>
      </c>
      <c r="CY301" t="s">
        <v>198</v>
      </c>
      <c r="CZ301" t="s">
        <v>198</v>
      </c>
      <c r="DA301" t="s">
        <v>198</v>
      </c>
      <c r="DB301" t="s">
        <v>198</v>
      </c>
      <c r="DC301">
        <v>0</v>
      </c>
      <c r="DD301">
        <v>0</v>
      </c>
      <c r="DE301">
        <v>0</v>
      </c>
      <c r="DF301">
        <v>0</v>
      </c>
      <c r="DG301">
        <v>-35.3631166</v>
      </c>
      <c r="DH301">
        <v>149.1639735</v>
      </c>
      <c r="DI301" t="s">
        <v>360</v>
      </c>
      <c r="DJ301">
        <v>1.2</v>
      </c>
      <c r="DK301">
        <v>2</v>
      </c>
      <c r="DL301">
        <v>159.8</v>
      </c>
      <c r="DM301">
        <v>0</v>
      </c>
      <c r="DN301">
        <v>6</v>
      </c>
      <c r="DO301">
        <v>10</v>
      </c>
      <c r="DP301">
        <v>0</v>
      </c>
      <c r="DQ301">
        <v>255</v>
      </c>
      <c r="DR301">
        <v>255</v>
      </c>
      <c r="DS301">
        <v>255</v>
      </c>
      <c r="DT301">
        <v>255</v>
      </c>
      <c r="DU301">
        <v>255</v>
      </c>
      <c r="DV301">
        <v>255</v>
      </c>
      <c r="DW301">
        <v>255</v>
      </c>
      <c r="DX301" t="s">
        <v>206</v>
      </c>
      <c r="DY301" t="s">
        <v>206</v>
      </c>
      <c r="DZ301" t="s">
        <v>207</v>
      </c>
      <c r="EA301" t="s">
        <v>198</v>
      </c>
      <c r="EB301" t="s">
        <v>198</v>
      </c>
      <c r="EC301" t="s">
        <v>198</v>
      </c>
      <c r="ED301">
        <v>0</v>
      </c>
      <c r="EE301">
        <v>0</v>
      </c>
      <c r="EF301">
        <v>0</v>
      </c>
      <c r="EG301">
        <v>0</v>
      </c>
      <c r="EH301">
        <v>255</v>
      </c>
      <c r="EI301">
        <v>255</v>
      </c>
      <c r="EJ301">
        <v>255</v>
      </c>
      <c r="EK301">
        <v>255</v>
      </c>
      <c r="EL301">
        <v>255</v>
      </c>
      <c r="EM301">
        <v>255</v>
      </c>
      <c r="EN301">
        <v>255</v>
      </c>
      <c r="EO301">
        <v>255</v>
      </c>
      <c r="EP301">
        <v>255</v>
      </c>
      <c r="EQ301">
        <v>255</v>
      </c>
      <c r="ER301" t="s">
        <v>208</v>
      </c>
      <c r="ES301" t="s">
        <v>209</v>
      </c>
      <c r="ET301" t="s">
        <v>209</v>
      </c>
      <c r="EU301">
        <v>0</v>
      </c>
      <c r="EV301">
        <v>16.2</v>
      </c>
      <c r="EW301">
        <v>-114.7</v>
      </c>
      <c r="EX301">
        <v>-0.2</v>
      </c>
      <c r="EY301">
        <v>0</v>
      </c>
      <c r="EZ301">
        <v>0</v>
      </c>
      <c r="FA301">
        <v>0</v>
      </c>
      <c r="FB301" t="s">
        <v>198</v>
      </c>
      <c r="FC301" t="s">
        <v>198</v>
      </c>
      <c r="FD301" t="s">
        <v>198</v>
      </c>
      <c r="FE301" t="s">
        <v>198</v>
      </c>
      <c r="FF301" t="s">
        <v>198</v>
      </c>
      <c r="FG301" t="s">
        <v>198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 t="s">
        <v>203</v>
      </c>
      <c r="FP301" t="s">
        <v>203</v>
      </c>
      <c r="FQ301" t="s">
        <v>203</v>
      </c>
      <c r="FR301" t="s">
        <v>203</v>
      </c>
      <c r="FS301" t="s">
        <v>203</v>
      </c>
      <c r="FT301" t="s">
        <v>203</v>
      </c>
      <c r="FU301" t="s">
        <v>198</v>
      </c>
      <c r="FV301" t="s">
        <v>198</v>
      </c>
      <c r="FW301" t="s">
        <v>198</v>
      </c>
      <c r="FX301" t="s">
        <v>198</v>
      </c>
      <c r="FY301" t="s">
        <v>198</v>
      </c>
      <c r="FZ301" t="s">
        <v>198</v>
      </c>
      <c r="GA301">
        <v>31.2</v>
      </c>
      <c r="GB301">
        <v>31.2</v>
      </c>
      <c r="GC301" t="s">
        <v>203</v>
      </c>
      <c r="GD301">
        <v>0</v>
      </c>
      <c r="GE301">
        <v>504</v>
      </c>
      <c r="GF301">
        <v>0</v>
      </c>
      <c r="GG301">
        <v>0</v>
      </c>
      <c r="GH301">
        <v>0</v>
      </c>
      <c r="GI301">
        <v>1</v>
      </c>
      <c r="GJ301">
        <v>1</v>
      </c>
      <c r="GK301">
        <v>0</v>
      </c>
      <c r="GL301" t="s">
        <v>198</v>
      </c>
      <c r="GM301" t="s">
        <v>198</v>
      </c>
      <c r="GN301" t="s">
        <v>198</v>
      </c>
    </row>
    <row r="302" spans="1:196">
      <c r="A302" s="19">
        <v>46316.90737665509</v>
      </c>
      <c r="B302">
        <v>0</v>
      </c>
      <c r="C302">
        <v>0</v>
      </c>
      <c r="D302">
        <v>277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584.2</v>
      </c>
      <c r="N302">
        <v>-0.5</v>
      </c>
      <c r="O302">
        <v>0</v>
      </c>
      <c r="P302">
        <v>0</v>
      </c>
      <c r="Q302">
        <v>0</v>
      </c>
      <c r="R302">
        <v>0</v>
      </c>
      <c r="S302">
        <v>115.6</v>
      </c>
      <c r="T302" t="s">
        <v>485</v>
      </c>
      <c r="U302">
        <v>115.7</v>
      </c>
      <c r="V302">
        <v>1762727256586.8</v>
      </c>
      <c r="W302">
        <v>1</v>
      </c>
      <c r="X302" t="s">
        <v>197</v>
      </c>
      <c r="Y302">
        <v>0</v>
      </c>
      <c r="Z302">
        <v>98</v>
      </c>
      <c r="AA302">
        <v>278</v>
      </c>
      <c r="AB302" t="s">
        <v>197</v>
      </c>
      <c r="AC302" t="s">
        <v>198</v>
      </c>
      <c r="AD302" t="s">
        <v>199</v>
      </c>
      <c r="AE302">
        <v>0</v>
      </c>
      <c r="AF302">
        <v>45</v>
      </c>
      <c r="AG302">
        <v>255</v>
      </c>
      <c r="AH302">
        <v>0</v>
      </c>
      <c r="AI302">
        <v>0</v>
      </c>
      <c r="AJ302">
        <v>0</v>
      </c>
      <c r="AK302">
        <v>12.6</v>
      </c>
      <c r="AL302">
        <v>0</v>
      </c>
      <c r="AM302">
        <v>0</v>
      </c>
      <c r="AN302" t="s">
        <v>197</v>
      </c>
      <c r="AO302">
        <v>100</v>
      </c>
      <c r="AP302" t="s">
        <v>197</v>
      </c>
      <c r="AQ302" t="s">
        <v>200</v>
      </c>
      <c r="AR302">
        <v>1</v>
      </c>
      <c r="AS302">
        <v>0</v>
      </c>
      <c r="AT302" t="s">
        <v>648</v>
      </c>
      <c r="AU302" t="s">
        <v>648</v>
      </c>
      <c r="AV302" t="s">
        <v>202</v>
      </c>
      <c r="AW302" t="s">
        <v>203</v>
      </c>
      <c r="AX302" t="s">
        <v>203</v>
      </c>
      <c r="AY302" t="s">
        <v>203</v>
      </c>
      <c r="AZ302" t="s">
        <v>203</v>
      </c>
      <c r="BA302" t="s">
        <v>203</v>
      </c>
      <c r="BB302" t="s">
        <v>203</v>
      </c>
      <c r="BC302" t="s">
        <v>203</v>
      </c>
      <c r="BD302" t="s">
        <v>203</v>
      </c>
      <c r="BE302" t="s">
        <v>203</v>
      </c>
      <c r="BF302">
        <v>0</v>
      </c>
      <c r="BG302">
        <v>0.2</v>
      </c>
      <c r="BH302">
        <v>50</v>
      </c>
      <c r="BI302">
        <v>0</v>
      </c>
      <c r="BJ302" t="s">
        <v>198</v>
      </c>
      <c r="BK302" t="s">
        <v>198</v>
      </c>
      <c r="BL302" t="s">
        <v>198</v>
      </c>
      <c r="BM302" t="s">
        <v>198</v>
      </c>
      <c r="BN302" t="s">
        <v>198</v>
      </c>
      <c r="BO302" t="s">
        <v>198</v>
      </c>
      <c r="BP302" t="s">
        <v>198</v>
      </c>
      <c r="BQ302" t="s">
        <v>198</v>
      </c>
      <c r="BR302" t="s">
        <v>198</v>
      </c>
      <c r="BS302" t="s">
        <v>198</v>
      </c>
      <c r="BT302" t="s">
        <v>198</v>
      </c>
      <c r="BU302" t="s">
        <v>198</v>
      </c>
      <c r="BV302" t="s">
        <v>198</v>
      </c>
      <c r="BW302" t="s">
        <v>198</v>
      </c>
      <c r="BX302" t="s">
        <v>198</v>
      </c>
      <c r="BY302" t="s">
        <v>198</v>
      </c>
      <c r="BZ302" t="s">
        <v>198</v>
      </c>
      <c r="CA302" t="s">
        <v>198</v>
      </c>
      <c r="CB302" t="s">
        <v>204</v>
      </c>
      <c r="CC302" t="s">
        <v>204</v>
      </c>
      <c r="CD302" t="s">
        <v>204</v>
      </c>
      <c r="CE302" t="s">
        <v>204</v>
      </c>
      <c r="CF302" t="s">
        <v>204</v>
      </c>
      <c r="CG302" t="s">
        <v>204</v>
      </c>
      <c r="CH302" t="s">
        <v>204</v>
      </c>
      <c r="CI302" t="s">
        <v>204</v>
      </c>
      <c r="CJ302" t="s">
        <v>204</v>
      </c>
      <c r="CK302" t="s">
        <v>204</v>
      </c>
      <c r="CL302" t="s">
        <v>204</v>
      </c>
      <c r="CM302" t="s">
        <v>204</v>
      </c>
      <c r="CN302" t="s">
        <v>203</v>
      </c>
      <c r="CO302" t="s">
        <v>203</v>
      </c>
      <c r="CP302" t="s">
        <v>203</v>
      </c>
      <c r="CQ302" t="s">
        <v>203</v>
      </c>
      <c r="CR302" t="s">
        <v>203</v>
      </c>
      <c r="CS302" t="s">
        <v>203</v>
      </c>
      <c r="CT302" t="s">
        <v>203</v>
      </c>
      <c r="CU302" t="s">
        <v>203</v>
      </c>
      <c r="CV302">
        <v>0</v>
      </c>
      <c r="CW302">
        <v>0</v>
      </c>
      <c r="CX302" t="s">
        <v>198</v>
      </c>
      <c r="CY302" t="s">
        <v>198</v>
      </c>
      <c r="CZ302" t="s">
        <v>198</v>
      </c>
      <c r="DA302" t="s">
        <v>198</v>
      </c>
      <c r="DB302" t="s">
        <v>198</v>
      </c>
      <c r="DC302">
        <v>0</v>
      </c>
      <c r="DD302">
        <v>0</v>
      </c>
      <c r="DE302">
        <v>0</v>
      </c>
      <c r="DF302">
        <v>0</v>
      </c>
      <c r="DG302">
        <v>-35.3631166</v>
      </c>
      <c r="DH302">
        <v>149.1639735</v>
      </c>
      <c r="DI302" t="s">
        <v>360</v>
      </c>
      <c r="DJ302">
        <v>1.2</v>
      </c>
      <c r="DK302">
        <v>2</v>
      </c>
      <c r="DL302">
        <v>159.8</v>
      </c>
      <c r="DM302">
        <v>0</v>
      </c>
      <c r="DN302">
        <v>6</v>
      </c>
      <c r="DO302">
        <v>10</v>
      </c>
      <c r="DP302">
        <v>0</v>
      </c>
      <c r="DQ302">
        <v>255</v>
      </c>
      <c r="DR302">
        <v>255</v>
      </c>
      <c r="DS302">
        <v>255</v>
      </c>
      <c r="DT302">
        <v>255</v>
      </c>
      <c r="DU302">
        <v>255</v>
      </c>
      <c r="DV302">
        <v>255</v>
      </c>
      <c r="DW302">
        <v>255</v>
      </c>
      <c r="DX302" t="s">
        <v>206</v>
      </c>
      <c r="DY302" t="s">
        <v>206</v>
      </c>
      <c r="DZ302" t="s">
        <v>207</v>
      </c>
      <c r="EA302" t="s">
        <v>198</v>
      </c>
      <c r="EB302" t="s">
        <v>198</v>
      </c>
      <c r="EC302" t="s">
        <v>198</v>
      </c>
      <c r="ED302">
        <v>0</v>
      </c>
      <c r="EE302">
        <v>0</v>
      </c>
      <c r="EF302">
        <v>0</v>
      </c>
      <c r="EG302">
        <v>0</v>
      </c>
      <c r="EH302">
        <v>255</v>
      </c>
      <c r="EI302">
        <v>255</v>
      </c>
      <c r="EJ302">
        <v>255</v>
      </c>
      <c r="EK302">
        <v>255</v>
      </c>
      <c r="EL302">
        <v>255</v>
      </c>
      <c r="EM302">
        <v>255</v>
      </c>
      <c r="EN302">
        <v>255</v>
      </c>
      <c r="EO302">
        <v>255</v>
      </c>
      <c r="EP302">
        <v>255</v>
      </c>
      <c r="EQ302">
        <v>255</v>
      </c>
      <c r="ER302" t="s">
        <v>208</v>
      </c>
      <c r="ES302" t="s">
        <v>209</v>
      </c>
      <c r="ET302" t="s">
        <v>209</v>
      </c>
      <c r="EU302">
        <v>0</v>
      </c>
      <c r="EV302">
        <v>16.2</v>
      </c>
      <c r="EW302">
        <v>-114.7</v>
      </c>
      <c r="EX302">
        <v>-0.2</v>
      </c>
      <c r="EY302">
        <v>0</v>
      </c>
      <c r="EZ302">
        <v>0</v>
      </c>
      <c r="FA302">
        <v>0</v>
      </c>
      <c r="FB302" t="s">
        <v>198</v>
      </c>
      <c r="FC302" t="s">
        <v>198</v>
      </c>
      <c r="FD302" t="s">
        <v>198</v>
      </c>
      <c r="FE302" t="s">
        <v>198</v>
      </c>
      <c r="FF302" t="s">
        <v>198</v>
      </c>
      <c r="FG302" t="s">
        <v>198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203</v>
      </c>
      <c r="FP302" t="s">
        <v>203</v>
      </c>
      <c r="FQ302" t="s">
        <v>203</v>
      </c>
      <c r="FR302" t="s">
        <v>203</v>
      </c>
      <c r="FS302" t="s">
        <v>203</v>
      </c>
      <c r="FT302" t="s">
        <v>203</v>
      </c>
      <c r="FU302" t="s">
        <v>198</v>
      </c>
      <c r="FV302" t="s">
        <v>198</v>
      </c>
      <c r="FW302" t="s">
        <v>198</v>
      </c>
      <c r="FX302" t="s">
        <v>198</v>
      </c>
      <c r="FY302" t="s">
        <v>198</v>
      </c>
      <c r="FZ302" t="s">
        <v>198</v>
      </c>
      <c r="GA302">
        <v>31.2</v>
      </c>
      <c r="GB302">
        <v>31.2</v>
      </c>
      <c r="GC302" t="s">
        <v>203</v>
      </c>
      <c r="GD302">
        <v>0</v>
      </c>
      <c r="GE302">
        <v>504</v>
      </c>
      <c r="GF302">
        <v>0</v>
      </c>
      <c r="GG302">
        <v>0</v>
      </c>
      <c r="GH302">
        <v>0</v>
      </c>
      <c r="GI302">
        <v>1</v>
      </c>
      <c r="GJ302">
        <v>1</v>
      </c>
      <c r="GK302">
        <v>0</v>
      </c>
      <c r="GL302" t="s">
        <v>198</v>
      </c>
      <c r="GM302" t="s">
        <v>198</v>
      </c>
      <c r="GN302" t="s">
        <v>198</v>
      </c>
    </row>
    <row r="303" spans="1:196">
      <c r="A303" s="19">
        <v>46316.90738822916</v>
      </c>
      <c r="B303">
        <v>0</v>
      </c>
      <c r="C303">
        <v>0</v>
      </c>
      <c r="D303">
        <v>277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584.2</v>
      </c>
      <c r="N303">
        <v>-0.5</v>
      </c>
      <c r="O303">
        <v>0</v>
      </c>
      <c r="P303">
        <v>0</v>
      </c>
      <c r="Q303">
        <v>0</v>
      </c>
      <c r="R303">
        <v>0</v>
      </c>
      <c r="S303">
        <v>115.6</v>
      </c>
      <c r="T303" t="s">
        <v>485</v>
      </c>
      <c r="U303">
        <v>115.7</v>
      </c>
      <c r="V303">
        <v>1762727256586.8</v>
      </c>
      <c r="W303">
        <v>1</v>
      </c>
      <c r="X303" t="s">
        <v>197</v>
      </c>
      <c r="Y303">
        <v>0</v>
      </c>
      <c r="Z303">
        <v>98</v>
      </c>
      <c r="AA303">
        <v>278</v>
      </c>
      <c r="AB303" t="s">
        <v>197</v>
      </c>
      <c r="AC303" t="s">
        <v>198</v>
      </c>
      <c r="AD303" t="s">
        <v>199</v>
      </c>
      <c r="AE303">
        <v>0</v>
      </c>
      <c r="AF303">
        <v>45</v>
      </c>
      <c r="AG303">
        <v>255</v>
      </c>
      <c r="AH303">
        <v>0</v>
      </c>
      <c r="AI303">
        <v>0</v>
      </c>
      <c r="AJ303">
        <v>0</v>
      </c>
      <c r="AK303">
        <v>12.6</v>
      </c>
      <c r="AL303">
        <v>0</v>
      </c>
      <c r="AM303">
        <v>0</v>
      </c>
      <c r="AN303" t="s">
        <v>197</v>
      </c>
      <c r="AO303">
        <v>100</v>
      </c>
      <c r="AP303" t="s">
        <v>197</v>
      </c>
      <c r="AQ303" t="s">
        <v>200</v>
      </c>
      <c r="AR303">
        <v>1</v>
      </c>
      <c r="AS303">
        <v>0</v>
      </c>
      <c r="AT303" t="s">
        <v>649</v>
      </c>
      <c r="AU303" t="s">
        <v>649</v>
      </c>
      <c r="AV303" t="s">
        <v>202</v>
      </c>
      <c r="AW303" t="s">
        <v>203</v>
      </c>
      <c r="AX303" t="s">
        <v>203</v>
      </c>
      <c r="AY303" t="s">
        <v>203</v>
      </c>
      <c r="AZ303" t="s">
        <v>203</v>
      </c>
      <c r="BA303" t="s">
        <v>203</v>
      </c>
      <c r="BB303" t="s">
        <v>203</v>
      </c>
      <c r="BC303" t="s">
        <v>203</v>
      </c>
      <c r="BD303" t="s">
        <v>203</v>
      </c>
      <c r="BE303" t="s">
        <v>203</v>
      </c>
      <c r="BF303">
        <v>0</v>
      </c>
      <c r="BG303">
        <v>0.2</v>
      </c>
      <c r="BH303">
        <v>50</v>
      </c>
      <c r="BI303">
        <v>0</v>
      </c>
      <c r="BJ303" t="s">
        <v>198</v>
      </c>
      <c r="BK303" t="s">
        <v>198</v>
      </c>
      <c r="BL303" t="s">
        <v>198</v>
      </c>
      <c r="BM303" t="s">
        <v>198</v>
      </c>
      <c r="BN303" t="s">
        <v>198</v>
      </c>
      <c r="BO303" t="s">
        <v>198</v>
      </c>
      <c r="BP303" t="s">
        <v>198</v>
      </c>
      <c r="BQ303" t="s">
        <v>198</v>
      </c>
      <c r="BR303" t="s">
        <v>198</v>
      </c>
      <c r="BS303" t="s">
        <v>198</v>
      </c>
      <c r="BT303" t="s">
        <v>198</v>
      </c>
      <c r="BU303" t="s">
        <v>198</v>
      </c>
      <c r="BV303" t="s">
        <v>198</v>
      </c>
      <c r="BW303" t="s">
        <v>198</v>
      </c>
      <c r="BX303" t="s">
        <v>198</v>
      </c>
      <c r="BY303" t="s">
        <v>198</v>
      </c>
      <c r="BZ303" t="s">
        <v>198</v>
      </c>
      <c r="CA303" t="s">
        <v>198</v>
      </c>
      <c r="CB303" t="s">
        <v>204</v>
      </c>
      <c r="CC303" t="s">
        <v>204</v>
      </c>
      <c r="CD303" t="s">
        <v>204</v>
      </c>
      <c r="CE303" t="s">
        <v>204</v>
      </c>
      <c r="CF303" t="s">
        <v>204</v>
      </c>
      <c r="CG303" t="s">
        <v>204</v>
      </c>
      <c r="CH303" t="s">
        <v>204</v>
      </c>
      <c r="CI303" t="s">
        <v>204</v>
      </c>
      <c r="CJ303" t="s">
        <v>204</v>
      </c>
      <c r="CK303" t="s">
        <v>204</v>
      </c>
      <c r="CL303" t="s">
        <v>204</v>
      </c>
      <c r="CM303" t="s">
        <v>204</v>
      </c>
      <c r="CN303" t="s">
        <v>203</v>
      </c>
      <c r="CO303" t="s">
        <v>203</v>
      </c>
      <c r="CP303" t="s">
        <v>203</v>
      </c>
      <c r="CQ303" t="s">
        <v>203</v>
      </c>
      <c r="CR303" t="s">
        <v>203</v>
      </c>
      <c r="CS303" t="s">
        <v>203</v>
      </c>
      <c r="CT303" t="s">
        <v>203</v>
      </c>
      <c r="CU303" t="s">
        <v>203</v>
      </c>
      <c r="CV303">
        <v>0</v>
      </c>
      <c r="CW303">
        <v>0</v>
      </c>
      <c r="CX303" t="s">
        <v>198</v>
      </c>
      <c r="CY303" t="s">
        <v>198</v>
      </c>
      <c r="CZ303" t="s">
        <v>198</v>
      </c>
      <c r="DA303" t="s">
        <v>198</v>
      </c>
      <c r="DB303" t="s">
        <v>198</v>
      </c>
      <c r="DC303">
        <v>0</v>
      </c>
      <c r="DD303">
        <v>0</v>
      </c>
      <c r="DE303">
        <v>0</v>
      </c>
      <c r="DF303">
        <v>0</v>
      </c>
      <c r="DG303">
        <v>-35.3631166</v>
      </c>
      <c r="DH303">
        <v>149.1639735</v>
      </c>
      <c r="DI303" t="s">
        <v>360</v>
      </c>
      <c r="DJ303">
        <v>1.2</v>
      </c>
      <c r="DK303">
        <v>2</v>
      </c>
      <c r="DL303">
        <v>159.8</v>
      </c>
      <c r="DM303">
        <v>0</v>
      </c>
      <c r="DN303">
        <v>6</v>
      </c>
      <c r="DO303">
        <v>10</v>
      </c>
      <c r="DP303">
        <v>0</v>
      </c>
      <c r="DQ303">
        <v>255</v>
      </c>
      <c r="DR303">
        <v>255</v>
      </c>
      <c r="DS303">
        <v>255</v>
      </c>
      <c r="DT303">
        <v>255</v>
      </c>
      <c r="DU303">
        <v>255</v>
      </c>
      <c r="DV303">
        <v>255</v>
      </c>
      <c r="DW303">
        <v>255</v>
      </c>
      <c r="DX303" t="s">
        <v>206</v>
      </c>
      <c r="DY303" t="s">
        <v>206</v>
      </c>
      <c r="DZ303" t="s">
        <v>207</v>
      </c>
      <c r="EA303" t="s">
        <v>198</v>
      </c>
      <c r="EB303" t="s">
        <v>198</v>
      </c>
      <c r="EC303" t="s">
        <v>198</v>
      </c>
      <c r="ED303">
        <v>0</v>
      </c>
      <c r="EE303">
        <v>0</v>
      </c>
      <c r="EF303">
        <v>0</v>
      </c>
      <c r="EG303">
        <v>0</v>
      </c>
      <c r="EH303">
        <v>255</v>
      </c>
      <c r="EI303">
        <v>255</v>
      </c>
      <c r="EJ303">
        <v>255</v>
      </c>
      <c r="EK303">
        <v>255</v>
      </c>
      <c r="EL303">
        <v>255</v>
      </c>
      <c r="EM303">
        <v>255</v>
      </c>
      <c r="EN303">
        <v>255</v>
      </c>
      <c r="EO303">
        <v>255</v>
      </c>
      <c r="EP303">
        <v>255</v>
      </c>
      <c r="EQ303">
        <v>255</v>
      </c>
      <c r="ER303" t="s">
        <v>208</v>
      </c>
      <c r="ES303" t="s">
        <v>209</v>
      </c>
      <c r="ET303" t="s">
        <v>209</v>
      </c>
      <c r="EU303">
        <v>0</v>
      </c>
      <c r="EV303">
        <v>16.2</v>
      </c>
      <c r="EW303">
        <v>-114.7</v>
      </c>
      <c r="EX303">
        <v>-0.2</v>
      </c>
      <c r="EY303">
        <v>0</v>
      </c>
      <c r="EZ303">
        <v>0</v>
      </c>
      <c r="FA303">
        <v>0</v>
      </c>
      <c r="FB303" t="s">
        <v>198</v>
      </c>
      <c r="FC303" t="s">
        <v>198</v>
      </c>
      <c r="FD303" t="s">
        <v>198</v>
      </c>
      <c r="FE303" t="s">
        <v>198</v>
      </c>
      <c r="FF303" t="s">
        <v>198</v>
      </c>
      <c r="FG303" t="s">
        <v>198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 t="s">
        <v>203</v>
      </c>
      <c r="FP303" t="s">
        <v>203</v>
      </c>
      <c r="FQ303" t="s">
        <v>203</v>
      </c>
      <c r="FR303" t="s">
        <v>203</v>
      </c>
      <c r="FS303" t="s">
        <v>203</v>
      </c>
      <c r="FT303" t="s">
        <v>203</v>
      </c>
      <c r="FU303" t="s">
        <v>198</v>
      </c>
      <c r="FV303" t="s">
        <v>198</v>
      </c>
      <c r="FW303" t="s">
        <v>198</v>
      </c>
      <c r="FX303" t="s">
        <v>198</v>
      </c>
      <c r="FY303" t="s">
        <v>198</v>
      </c>
      <c r="FZ303" t="s">
        <v>198</v>
      </c>
      <c r="GA303">
        <v>31.2</v>
      </c>
      <c r="GB303">
        <v>31.2</v>
      </c>
      <c r="GC303" t="s">
        <v>203</v>
      </c>
      <c r="GD303">
        <v>0</v>
      </c>
      <c r="GE303">
        <v>504</v>
      </c>
      <c r="GF303">
        <v>0</v>
      </c>
      <c r="GG303">
        <v>0</v>
      </c>
      <c r="GH303">
        <v>0</v>
      </c>
      <c r="GI303">
        <v>1</v>
      </c>
      <c r="GJ303">
        <v>1</v>
      </c>
      <c r="GK303">
        <v>0</v>
      </c>
      <c r="GL303" t="s">
        <v>198</v>
      </c>
      <c r="GM303" t="s">
        <v>198</v>
      </c>
      <c r="GN303" t="s">
        <v>198</v>
      </c>
    </row>
    <row r="304" spans="1:196">
      <c r="A304" s="19">
        <v>46316.90739980324</v>
      </c>
      <c r="B304">
        <v>0</v>
      </c>
      <c r="C304">
        <v>0</v>
      </c>
      <c r="D304">
        <v>277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584.2</v>
      </c>
      <c r="N304">
        <v>-0.5</v>
      </c>
      <c r="O304">
        <v>0</v>
      </c>
      <c r="P304">
        <v>0</v>
      </c>
      <c r="Q304">
        <v>0</v>
      </c>
      <c r="R304">
        <v>0</v>
      </c>
      <c r="S304">
        <v>115.6</v>
      </c>
      <c r="T304" t="s">
        <v>485</v>
      </c>
      <c r="U304">
        <v>115.7</v>
      </c>
      <c r="V304">
        <v>1762727256586.8</v>
      </c>
      <c r="W304">
        <v>1</v>
      </c>
      <c r="X304" t="s">
        <v>197</v>
      </c>
      <c r="Y304">
        <v>0</v>
      </c>
      <c r="Z304">
        <v>98</v>
      </c>
      <c r="AA304">
        <v>278</v>
      </c>
      <c r="AB304" t="s">
        <v>197</v>
      </c>
      <c r="AC304" t="s">
        <v>198</v>
      </c>
      <c r="AD304" t="s">
        <v>199</v>
      </c>
      <c r="AE304">
        <v>0</v>
      </c>
      <c r="AF304">
        <v>45</v>
      </c>
      <c r="AG304">
        <v>255</v>
      </c>
      <c r="AH304">
        <v>0</v>
      </c>
      <c r="AI304">
        <v>0</v>
      </c>
      <c r="AJ304">
        <v>0</v>
      </c>
      <c r="AK304">
        <v>12.6</v>
      </c>
      <c r="AL304">
        <v>0</v>
      </c>
      <c r="AM304">
        <v>0</v>
      </c>
      <c r="AN304" t="s">
        <v>197</v>
      </c>
      <c r="AO304">
        <v>100</v>
      </c>
      <c r="AP304" t="s">
        <v>197</v>
      </c>
      <c r="AQ304" t="s">
        <v>200</v>
      </c>
      <c r="AR304">
        <v>1</v>
      </c>
      <c r="AS304">
        <v>0</v>
      </c>
      <c r="AT304" t="s">
        <v>650</v>
      </c>
      <c r="AU304" t="s">
        <v>650</v>
      </c>
      <c r="AV304" t="s">
        <v>202</v>
      </c>
      <c r="AW304" t="s">
        <v>203</v>
      </c>
      <c r="AX304" t="s">
        <v>203</v>
      </c>
      <c r="AY304" t="s">
        <v>203</v>
      </c>
      <c r="AZ304" t="s">
        <v>203</v>
      </c>
      <c r="BA304" t="s">
        <v>203</v>
      </c>
      <c r="BB304" t="s">
        <v>203</v>
      </c>
      <c r="BC304" t="s">
        <v>203</v>
      </c>
      <c r="BD304" t="s">
        <v>203</v>
      </c>
      <c r="BE304" t="s">
        <v>203</v>
      </c>
      <c r="BF304">
        <v>0</v>
      </c>
      <c r="BG304">
        <v>0.2</v>
      </c>
      <c r="BH304">
        <v>50</v>
      </c>
      <c r="BI304">
        <v>0</v>
      </c>
      <c r="BJ304" t="s">
        <v>198</v>
      </c>
      <c r="BK304" t="s">
        <v>198</v>
      </c>
      <c r="BL304" t="s">
        <v>198</v>
      </c>
      <c r="BM304" t="s">
        <v>198</v>
      </c>
      <c r="BN304" t="s">
        <v>198</v>
      </c>
      <c r="BO304" t="s">
        <v>198</v>
      </c>
      <c r="BP304" t="s">
        <v>198</v>
      </c>
      <c r="BQ304" t="s">
        <v>198</v>
      </c>
      <c r="BR304" t="s">
        <v>198</v>
      </c>
      <c r="BS304" t="s">
        <v>198</v>
      </c>
      <c r="BT304" t="s">
        <v>198</v>
      </c>
      <c r="BU304" t="s">
        <v>198</v>
      </c>
      <c r="BV304" t="s">
        <v>198</v>
      </c>
      <c r="BW304" t="s">
        <v>198</v>
      </c>
      <c r="BX304" t="s">
        <v>198</v>
      </c>
      <c r="BY304" t="s">
        <v>198</v>
      </c>
      <c r="BZ304" t="s">
        <v>198</v>
      </c>
      <c r="CA304" t="s">
        <v>198</v>
      </c>
      <c r="CB304" t="s">
        <v>204</v>
      </c>
      <c r="CC304" t="s">
        <v>204</v>
      </c>
      <c r="CD304" t="s">
        <v>204</v>
      </c>
      <c r="CE304" t="s">
        <v>204</v>
      </c>
      <c r="CF304" t="s">
        <v>204</v>
      </c>
      <c r="CG304" t="s">
        <v>204</v>
      </c>
      <c r="CH304" t="s">
        <v>204</v>
      </c>
      <c r="CI304" t="s">
        <v>204</v>
      </c>
      <c r="CJ304" t="s">
        <v>204</v>
      </c>
      <c r="CK304" t="s">
        <v>204</v>
      </c>
      <c r="CL304" t="s">
        <v>204</v>
      </c>
      <c r="CM304" t="s">
        <v>204</v>
      </c>
      <c r="CN304" t="s">
        <v>203</v>
      </c>
      <c r="CO304" t="s">
        <v>203</v>
      </c>
      <c r="CP304" t="s">
        <v>203</v>
      </c>
      <c r="CQ304" t="s">
        <v>203</v>
      </c>
      <c r="CR304" t="s">
        <v>203</v>
      </c>
      <c r="CS304" t="s">
        <v>203</v>
      </c>
      <c r="CT304" t="s">
        <v>203</v>
      </c>
      <c r="CU304" t="s">
        <v>203</v>
      </c>
      <c r="CV304">
        <v>0</v>
      </c>
      <c r="CW304">
        <v>0</v>
      </c>
      <c r="CX304" t="s">
        <v>198</v>
      </c>
      <c r="CY304" t="s">
        <v>198</v>
      </c>
      <c r="CZ304" t="s">
        <v>198</v>
      </c>
      <c r="DA304" t="s">
        <v>198</v>
      </c>
      <c r="DB304" t="s">
        <v>198</v>
      </c>
      <c r="DC304">
        <v>0</v>
      </c>
      <c r="DD304">
        <v>0</v>
      </c>
      <c r="DE304">
        <v>0</v>
      </c>
      <c r="DF304">
        <v>0</v>
      </c>
      <c r="DG304">
        <v>-35.3631166</v>
      </c>
      <c r="DH304">
        <v>149.1639735</v>
      </c>
      <c r="DI304" t="s">
        <v>360</v>
      </c>
      <c r="DJ304">
        <v>1.2</v>
      </c>
      <c r="DK304">
        <v>2</v>
      </c>
      <c r="DL304">
        <v>159.8</v>
      </c>
      <c r="DM304">
        <v>0</v>
      </c>
      <c r="DN304">
        <v>6</v>
      </c>
      <c r="DO304">
        <v>10</v>
      </c>
      <c r="DP304">
        <v>0</v>
      </c>
      <c r="DQ304">
        <v>255</v>
      </c>
      <c r="DR304">
        <v>255</v>
      </c>
      <c r="DS304">
        <v>255</v>
      </c>
      <c r="DT304">
        <v>255</v>
      </c>
      <c r="DU304">
        <v>255</v>
      </c>
      <c r="DV304">
        <v>255</v>
      </c>
      <c r="DW304">
        <v>255</v>
      </c>
      <c r="DX304" t="s">
        <v>206</v>
      </c>
      <c r="DY304" t="s">
        <v>206</v>
      </c>
      <c r="DZ304" t="s">
        <v>207</v>
      </c>
      <c r="EA304" t="s">
        <v>198</v>
      </c>
      <c r="EB304" t="s">
        <v>198</v>
      </c>
      <c r="EC304" t="s">
        <v>198</v>
      </c>
      <c r="ED304">
        <v>0</v>
      </c>
      <c r="EE304">
        <v>0</v>
      </c>
      <c r="EF304">
        <v>0</v>
      </c>
      <c r="EG304">
        <v>0</v>
      </c>
      <c r="EH304">
        <v>255</v>
      </c>
      <c r="EI304">
        <v>255</v>
      </c>
      <c r="EJ304">
        <v>255</v>
      </c>
      <c r="EK304">
        <v>255</v>
      </c>
      <c r="EL304">
        <v>255</v>
      </c>
      <c r="EM304">
        <v>255</v>
      </c>
      <c r="EN304">
        <v>255</v>
      </c>
      <c r="EO304">
        <v>255</v>
      </c>
      <c r="EP304">
        <v>255</v>
      </c>
      <c r="EQ304">
        <v>255</v>
      </c>
      <c r="ER304" t="s">
        <v>208</v>
      </c>
      <c r="ES304" t="s">
        <v>209</v>
      </c>
      <c r="ET304" t="s">
        <v>209</v>
      </c>
      <c r="EU304">
        <v>0</v>
      </c>
      <c r="EV304">
        <v>16.2</v>
      </c>
      <c r="EW304">
        <v>-114.7</v>
      </c>
      <c r="EX304">
        <v>-0.2</v>
      </c>
      <c r="EY304">
        <v>0</v>
      </c>
      <c r="EZ304">
        <v>0</v>
      </c>
      <c r="FA304">
        <v>0</v>
      </c>
      <c r="FB304" t="s">
        <v>198</v>
      </c>
      <c r="FC304" t="s">
        <v>198</v>
      </c>
      <c r="FD304" t="s">
        <v>198</v>
      </c>
      <c r="FE304" t="s">
        <v>198</v>
      </c>
      <c r="FF304" t="s">
        <v>198</v>
      </c>
      <c r="FG304" t="s">
        <v>198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 t="s">
        <v>203</v>
      </c>
      <c r="FP304" t="s">
        <v>203</v>
      </c>
      <c r="FQ304" t="s">
        <v>203</v>
      </c>
      <c r="FR304" t="s">
        <v>203</v>
      </c>
      <c r="FS304" t="s">
        <v>203</v>
      </c>
      <c r="FT304" t="s">
        <v>203</v>
      </c>
      <c r="FU304" t="s">
        <v>198</v>
      </c>
      <c r="FV304" t="s">
        <v>198</v>
      </c>
      <c r="FW304" t="s">
        <v>198</v>
      </c>
      <c r="FX304" t="s">
        <v>198</v>
      </c>
      <c r="FY304" t="s">
        <v>198</v>
      </c>
      <c r="FZ304" t="s">
        <v>198</v>
      </c>
      <c r="GA304">
        <v>31.2</v>
      </c>
      <c r="GB304">
        <v>31.2</v>
      </c>
      <c r="GC304" t="s">
        <v>203</v>
      </c>
      <c r="GD304">
        <v>0</v>
      </c>
      <c r="GE304">
        <v>504</v>
      </c>
      <c r="GF304">
        <v>0</v>
      </c>
      <c r="GG304">
        <v>0</v>
      </c>
      <c r="GH304">
        <v>0</v>
      </c>
      <c r="GI304">
        <v>1</v>
      </c>
      <c r="GJ304">
        <v>1</v>
      </c>
      <c r="GK304">
        <v>0</v>
      </c>
      <c r="GL304" t="s">
        <v>198</v>
      </c>
      <c r="GM304" t="s">
        <v>198</v>
      </c>
      <c r="GN304" t="s">
        <v>198</v>
      </c>
    </row>
    <row r="305" spans="1:196">
      <c r="A305" s="19">
        <v>46316.90741137732</v>
      </c>
      <c r="B305">
        <v>0</v>
      </c>
      <c r="C305">
        <v>0</v>
      </c>
      <c r="D305">
        <v>277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584.2</v>
      </c>
      <c r="N305">
        <v>-0.5</v>
      </c>
      <c r="O305">
        <v>0</v>
      </c>
      <c r="P305">
        <v>0</v>
      </c>
      <c r="Q305">
        <v>0</v>
      </c>
      <c r="R305">
        <v>0</v>
      </c>
      <c r="S305">
        <v>115.6</v>
      </c>
      <c r="T305" t="s">
        <v>485</v>
      </c>
      <c r="U305">
        <v>115.7</v>
      </c>
      <c r="V305">
        <v>1762727256586.8</v>
      </c>
      <c r="W305">
        <v>1</v>
      </c>
      <c r="X305" t="s">
        <v>197</v>
      </c>
      <c r="Y305">
        <v>0</v>
      </c>
      <c r="Z305">
        <v>98</v>
      </c>
      <c r="AA305">
        <v>278</v>
      </c>
      <c r="AB305" t="s">
        <v>197</v>
      </c>
      <c r="AC305" t="s">
        <v>198</v>
      </c>
      <c r="AD305" t="s">
        <v>199</v>
      </c>
      <c r="AE305">
        <v>0</v>
      </c>
      <c r="AF305">
        <v>45</v>
      </c>
      <c r="AG305">
        <v>255</v>
      </c>
      <c r="AH305">
        <v>0</v>
      </c>
      <c r="AI305">
        <v>0</v>
      </c>
      <c r="AJ305">
        <v>0</v>
      </c>
      <c r="AK305">
        <v>12.6</v>
      </c>
      <c r="AL305">
        <v>0</v>
      </c>
      <c r="AM305">
        <v>0</v>
      </c>
      <c r="AN305" t="s">
        <v>197</v>
      </c>
      <c r="AO305">
        <v>100</v>
      </c>
      <c r="AP305" t="s">
        <v>197</v>
      </c>
      <c r="AQ305" t="s">
        <v>200</v>
      </c>
      <c r="AR305">
        <v>1</v>
      </c>
      <c r="AS305">
        <v>0</v>
      </c>
      <c r="AT305" t="s">
        <v>651</v>
      </c>
      <c r="AU305" t="s">
        <v>651</v>
      </c>
      <c r="AV305" t="s">
        <v>202</v>
      </c>
      <c r="AW305" t="s">
        <v>203</v>
      </c>
      <c r="AX305" t="s">
        <v>203</v>
      </c>
      <c r="AY305" t="s">
        <v>203</v>
      </c>
      <c r="AZ305" t="s">
        <v>203</v>
      </c>
      <c r="BA305" t="s">
        <v>203</v>
      </c>
      <c r="BB305" t="s">
        <v>203</v>
      </c>
      <c r="BC305" t="s">
        <v>203</v>
      </c>
      <c r="BD305" t="s">
        <v>203</v>
      </c>
      <c r="BE305" t="s">
        <v>203</v>
      </c>
      <c r="BF305">
        <v>0</v>
      </c>
      <c r="BG305">
        <v>0.2</v>
      </c>
      <c r="BH305">
        <v>50</v>
      </c>
      <c r="BI305">
        <v>0</v>
      </c>
      <c r="BJ305" t="s">
        <v>198</v>
      </c>
      <c r="BK305" t="s">
        <v>198</v>
      </c>
      <c r="BL305" t="s">
        <v>198</v>
      </c>
      <c r="BM305" t="s">
        <v>198</v>
      </c>
      <c r="BN305" t="s">
        <v>198</v>
      </c>
      <c r="BO305" t="s">
        <v>198</v>
      </c>
      <c r="BP305" t="s">
        <v>198</v>
      </c>
      <c r="BQ305" t="s">
        <v>198</v>
      </c>
      <c r="BR305" t="s">
        <v>198</v>
      </c>
      <c r="BS305" t="s">
        <v>198</v>
      </c>
      <c r="BT305" t="s">
        <v>198</v>
      </c>
      <c r="BU305" t="s">
        <v>198</v>
      </c>
      <c r="BV305" t="s">
        <v>198</v>
      </c>
      <c r="BW305" t="s">
        <v>198</v>
      </c>
      <c r="BX305" t="s">
        <v>198</v>
      </c>
      <c r="BY305" t="s">
        <v>198</v>
      </c>
      <c r="BZ305" t="s">
        <v>198</v>
      </c>
      <c r="CA305" t="s">
        <v>198</v>
      </c>
      <c r="CB305" t="s">
        <v>204</v>
      </c>
      <c r="CC305" t="s">
        <v>204</v>
      </c>
      <c r="CD305" t="s">
        <v>204</v>
      </c>
      <c r="CE305" t="s">
        <v>204</v>
      </c>
      <c r="CF305" t="s">
        <v>204</v>
      </c>
      <c r="CG305" t="s">
        <v>204</v>
      </c>
      <c r="CH305" t="s">
        <v>204</v>
      </c>
      <c r="CI305" t="s">
        <v>204</v>
      </c>
      <c r="CJ305" t="s">
        <v>204</v>
      </c>
      <c r="CK305" t="s">
        <v>204</v>
      </c>
      <c r="CL305" t="s">
        <v>204</v>
      </c>
      <c r="CM305" t="s">
        <v>204</v>
      </c>
      <c r="CN305" t="s">
        <v>203</v>
      </c>
      <c r="CO305" t="s">
        <v>203</v>
      </c>
      <c r="CP305" t="s">
        <v>203</v>
      </c>
      <c r="CQ305" t="s">
        <v>203</v>
      </c>
      <c r="CR305" t="s">
        <v>203</v>
      </c>
      <c r="CS305" t="s">
        <v>203</v>
      </c>
      <c r="CT305" t="s">
        <v>203</v>
      </c>
      <c r="CU305" t="s">
        <v>203</v>
      </c>
      <c r="CV305">
        <v>0</v>
      </c>
      <c r="CW305">
        <v>0</v>
      </c>
      <c r="CX305" t="s">
        <v>198</v>
      </c>
      <c r="CY305" t="s">
        <v>198</v>
      </c>
      <c r="CZ305" t="s">
        <v>198</v>
      </c>
      <c r="DA305" t="s">
        <v>198</v>
      </c>
      <c r="DB305" t="s">
        <v>198</v>
      </c>
      <c r="DC305">
        <v>0</v>
      </c>
      <c r="DD305">
        <v>0</v>
      </c>
      <c r="DE305">
        <v>0</v>
      </c>
      <c r="DF305">
        <v>0</v>
      </c>
      <c r="DG305">
        <v>-35.3631166</v>
      </c>
      <c r="DH305">
        <v>149.1639735</v>
      </c>
      <c r="DI305" t="s">
        <v>360</v>
      </c>
      <c r="DJ305">
        <v>1.2</v>
      </c>
      <c r="DK305">
        <v>2</v>
      </c>
      <c r="DL305">
        <v>159.8</v>
      </c>
      <c r="DM305">
        <v>0</v>
      </c>
      <c r="DN305">
        <v>6</v>
      </c>
      <c r="DO305">
        <v>10</v>
      </c>
      <c r="DP305">
        <v>0</v>
      </c>
      <c r="DQ305">
        <v>255</v>
      </c>
      <c r="DR305">
        <v>255</v>
      </c>
      <c r="DS305">
        <v>255</v>
      </c>
      <c r="DT305">
        <v>255</v>
      </c>
      <c r="DU305">
        <v>255</v>
      </c>
      <c r="DV305">
        <v>255</v>
      </c>
      <c r="DW305">
        <v>255</v>
      </c>
      <c r="DX305" t="s">
        <v>206</v>
      </c>
      <c r="DY305" t="s">
        <v>206</v>
      </c>
      <c r="DZ305" t="s">
        <v>207</v>
      </c>
      <c r="EA305" t="s">
        <v>198</v>
      </c>
      <c r="EB305" t="s">
        <v>198</v>
      </c>
      <c r="EC305" t="s">
        <v>198</v>
      </c>
      <c r="ED305">
        <v>0</v>
      </c>
      <c r="EE305">
        <v>0</v>
      </c>
      <c r="EF305">
        <v>0</v>
      </c>
      <c r="EG305">
        <v>0</v>
      </c>
      <c r="EH305">
        <v>255</v>
      </c>
      <c r="EI305">
        <v>255</v>
      </c>
      <c r="EJ305">
        <v>255</v>
      </c>
      <c r="EK305">
        <v>255</v>
      </c>
      <c r="EL305">
        <v>255</v>
      </c>
      <c r="EM305">
        <v>255</v>
      </c>
      <c r="EN305">
        <v>255</v>
      </c>
      <c r="EO305">
        <v>255</v>
      </c>
      <c r="EP305">
        <v>255</v>
      </c>
      <c r="EQ305">
        <v>255</v>
      </c>
      <c r="ER305" t="s">
        <v>208</v>
      </c>
      <c r="ES305" t="s">
        <v>209</v>
      </c>
      <c r="ET305" t="s">
        <v>209</v>
      </c>
      <c r="EU305">
        <v>0</v>
      </c>
      <c r="EV305">
        <v>16.2</v>
      </c>
      <c r="EW305">
        <v>-114.7</v>
      </c>
      <c r="EX305">
        <v>-0.2</v>
      </c>
      <c r="EY305">
        <v>0</v>
      </c>
      <c r="EZ305">
        <v>0</v>
      </c>
      <c r="FA305">
        <v>0</v>
      </c>
      <c r="FB305" t="s">
        <v>198</v>
      </c>
      <c r="FC305" t="s">
        <v>198</v>
      </c>
      <c r="FD305" t="s">
        <v>198</v>
      </c>
      <c r="FE305" t="s">
        <v>198</v>
      </c>
      <c r="FF305" t="s">
        <v>198</v>
      </c>
      <c r="FG305" t="s">
        <v>198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 t="s">
        <v>203</v>
      </c>
      <c r="FP305" t="s">
        <v>203</v>
      </c>
      <c r="FQ305" t="s">
        <v>203</v>
      </c>
      <c r="FR305" t="s">
        <v>203</v>
      </c>
      <c r="FS305" t="s">
        <v>203</v>
      </c>
      <c r="FT305" t="s">
        <v>203</v>
      </c>
      <c r="FU305" t="s">
        <v>198</v>
      </c>
      <c r="FV305" t="s">
        <v>198</v>
      </c>
      <c r="FW305" t="s">
        <v>198</v>
      </c>
      <c r="FX305" t="s">
        <v>198</v>
      </c>
      <c r="FY305" t="s">
        <v>198</v>
      </c>
      <c r="FZ305" t="s">
        <v>198</v>
      </c>
      <c r="GA305">
        <v>31.2</v>
      </c>
      <c r="GB305">
        <v>31.2</v>
      </c>
      <c r="GC305" t="s">
        <v>203</v>
      </c>
      <c r="GD305">
        <v>0</v>
      </c>
      <c r="GE305">
        <v>504</v>
      </c>
      <c r="GF305">
        <v>0</v>
      </c>
      <c r="GG305">
        <v>0</v>
      </c>
      <c r="GH305">
        <v>0</v>
      </c>
      <c r="GI305">
        <v>1</v>
      </c>
      <c r="GJ305">
        <v>1</v>
      </c>
      <c r="GK305">
        <v>0</v>
      </c>
      <c r="GL305" t="s">
        <v>198</v>
      </c>
      <c r="GM305" t="s">
        <v>198</v>
      </c>
      <c r="GN305" t="s">
        <v>198</v>
      </c>
    </row>
    <row r="306" spans="1:196">
      <c r="A306" s="19">
        <v>46316.90742295139</v>
      </c>
      <c r="B306">
        <v>0</v>
      </c>
      <c r="C306">
        <v>0</v>
      </c>
      <c r="D306">
        <v>277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584.2</v>
      </c>
      <c r="N306">
        <v>-0.5</v>
      </c>
      <c r="O306">
        <v>0</v>
      </c>
      <c r="P306">
        <v>0</v>
      </c>
      <c r="Q306">
        <v>0</v>
      </c>
      <c r="R306">
        <v>0</v>
      </c>
      <c r="S306">
        <v>115.6</v>
      </c>
      <c r="T306" t="s">
        <v>485</v>
      </c>
      <c r="U306">
        <v>115.7</v>
      </c>
      <c r="V306">
        <v>1762727256586.8</v>
      </c>
      <c r="W306">
        <v>1</v>
      </c>
      <c r="X306" t="s">
        <v>197</v>
      </c>
      <c r="Y306">
        <v>0</v>
      </c>
      <c r="Z306">
        <v>98</v>
      </c>
      <c r="AA306">
        <v>278</v>
      </c>
      <c r="AB306" t="s">
        <v>197</v>
      </c>
      <c r="AC306" t="s">
        <v>198</v>
      </c>
      <c r="AD306" t="s">
        <v>199</v>
      </c>
      <c r="AE306">
        <v>0</v>
      </c>
      <c r="AF306">
        <v>45</v>
      </c>
      <c r="AG306">
        <v>255</v>
      </c>
      <c r="AH306">
        <v>0</v>
      </c>
      <c r="AI306">
        <v>0</v>
      </c>
      <c r="AJ306">
        <v>0</v>
      </c>
      <c r="AK306">
        <v>12.6</v>
      </c>
      <c r="AL306">
        <v>0</v>
      </c>
      <c r="AM306">
        <v>0</v>
      </c>
      <c r="AN306" t="s">
        <v>197</v>
      </c>
      <c r="AO306">
        <v>100</v>
      </c>
      <c r="AP306" t="s">
        <v>197</v>
      </c>
      <c r="AQ306" t="s">
        <v>200</v>
      </c>
      <c r="AR306">
        <v>1</v>
      </c>
      <c r="AS306">
        <v>0</v>
      </c>
      <c r="AT306" t="s">
        <v>652</v>
      </c>
      <c r="AU306" t="s">
        <v>652</v>
      </c>
      <c r="AV306" t="s">
        <v>202</v>
      </c>
      <c r="AW306" t="s">
        <v>203</v>
      </c>
      <c r="AX306" t="s">
        <v>203</v>
      </c>
      <c r="AY306" t="s">
        <v>203</v>
      </c>
      <c r="AZ306" t="s">
        <v>203</v>
      </c>
      <c r="BA306" t="s">
        <v>203</v>
      </c>
      <c r="BB306" t="s">
        <v>203</v>
      </c>
      <c r="BC306" t="s">
        <v>203</v>
      </c>
      <c r="BD306" t="s">
        <v>203</v>
      </c>
      <c r="BE306" t="s">
        <v>203</v>
      </c>
      <c r="BF306">
        <v>0</v>
      </c>
      <c r="BG306">
        <v>0.2</v>
      </c>
      <c r="BH306">
        <v>50</v>
      </c>
      <c r="BI306">
        <v>0</v>
      </c>
      <c r="BJ306" t="s">
        <v>198</v>
      </c>
      <c r="BK306" t="s">
        <v>198</v>
      </c>
      <c r="BL306" t="s">
        <v>198</v>
      </c>
      <c r="BM306" t="s">
        <v>198</v>
      </c>
      <c r="BN306" t="s">
        <v>198</v>
      </c>
      <c r="BO306" t="s">
        <v>198</v>
      </c>
      <c r="BP306" t="s">
        <v>198</v>
      </c>
      <c r="BQ306" t="s">
        <v>198</v>
      </c>
      <c r="BR306" t="s">
        <v>198</v>
      </c>
      <c r="BS306" t="s">
        <v>198</v>
      </c>
      <c r="BT306" t="s">
        <v>198</v>
      </c>
      <c r="BU306" t="s">
        <v>198</v>
      </c>
      <c r="BV306" t="s">
        <v>198</v>
      </c>
      <c r="BW306" t="s">
        <v>198</v>
      </c>
      <c r="BX306" t="s">
        <v>198</v>
      </c>
      <c r="BY306" t="s">
        <v>198</v>
      </c>
      <c r="BZ306" t="s">
        <v>198</v>
      </c>
      <c r="CA306" t="s">
        <v>198</v>
      </c>
      <c r="CB306" t="s">
        <v>204</v>
      </c>
      <c r="CC306" t="s">
        <v>204</v>
      </c>
      <c r="CD306" t="s">
        <v>204</v>
      </c>
      <c r="CE306" t="s">
        <v>204</v>
      </c>
      <c r="CF306" t="s">
        <v>204</v>
      </c>
      <c r="CG306" t="s">
        <v>204</v>
      </c>
      <c r="CH306" t="s">
        <v>204</v>
      </c>
      <c r="CI306" t="s">
        <v>204</v>
      </c>
      <c r="CJ306" t="s">
        <v>204</v>
      </c>
      <c r="CK306" t="s">
        <v>204</v>
      </c>
      <c r="CL306" t="s">
        <v>204</v>
      </c>
      <c r="CM306" t="s">
        <v>204</v>
      </c>
      <c r="CN306" t="s">
        <v>203</v>
      </c>
      <c r="CO306" t="s">
        <v>203</v>
      </c>
      <c r="CP306" t="s">
        <v>203</v>
      </c>
      <c r="CQ306" t="s">
        <v>203</v>
      </c>
      <c r="CR306" t="s">
        <v>203</v>
      </c>
      <c r="CS306" t="s">
        <v>203</v>
      </c>
      <c r="CT306" t="s">
        <v>203</v>
      </c>
      <c r="CU306" t="s">
        <v>203</v>
      </c>
      <c r="CV306">
        <v>0</v>
      </c>
      <c r="CW306">
        <v>0</v>
      </c>
      <c r="CX306" t="s">
        <v>198</v>
      </c>
      <c r="CY306" t="s">
        <v>198</v>
      </c>
      <c r="CZ306" t="s">
        <v>198</v>
      </c>
      <c r="DA306" t="s">
        <v>198</v>
      </c>
      <c r="DB306" t="s">
        <v>198</v>
      </c>
      <c r="DC306">
        <v>0</v>
      </c>
      <c r="DD306">
        <v>0</v>
      </c>
      <c r="DE306">
        <v>0</v>
      </c>
      <c r="DF306">
        <v>0</v>
      </c>
      <c r="DG306">
        <v>-35.3631166</v>
      </c>
      <c r="DH306">
        <v>149.1639735</v>
      </c>
      <c r="DI306" t="s">
        <v>360</v>
      </c>
      <c r="DJ306">
        <v>1.2</v>
      </c>
      <c r="DK306">
        <v>2</v>
      </c>
      <c r="DL306">
        <v>159.8</v>
      </c>
      <c r="DM306">
        <v>0</v>
      </c>
      <c r="DN306">
        <v>6</v>
      </c>
      <c r="DO306">
        <v>10</v>
      </c>
      <c r="DP306">
        <v>0</v>
      </c>
      <c r="DQ306">
        <v>255</v>
      </c>
      <c r="DR306">
        <v>255</v>
      </c>
      <c r="DS306">
        <v>255</v>
      </c>
      <c r="DT306">
        <v>255</v>
      </c>
      <c r="DU306">
        <v>255</v>
      </c>
      <c r="DV306">
        <v>255</v>
      </c>
      <c r="DW306">
        <v>255</v>
      </c>
      <c r="DX306" t="s">
        <v>206</v>
      </c>
      <c r="DY306" t="s">
        <v>206</v>
      </c>
      <c r="DZ306" t="s">
        <v>207</v>
      </c>
      <c r="EA306" t="s">
        <v>198</v>
      </c>
      <c r="EB306" t="s">
        <v>198</v>
      </c>
      <c r="EC306" t="s">
        <v>198</v>
      </c>
      <c r="ED306">
        <v>0</v>
      </c>
      <c r="EE306">
        <v>0</v>
      </c>
      <c r="EF306">
        <v>0</v>
      </c>
      <c r="EG306">
        <v>0</v>
      </c>
      <c r="EH306">
        <v>255</v>
      </c>
      <c r="EI306">
        <v>255</v>
      </c>
      <c r="EJ306">
        <v>255</v>
      </c>
      <c r="EK306">
        <v>255</v>
      </c>
      <c r="EL306">
        <v>255</v>
      </c>
      <c r="EM306">
        <v>255</v>
      </c>
      <c r="EN306">
        <v>255</v>
      </c>
      <c r="EO306">
        <v>255</v>
      </c>
      <c r="EP306">
        <v>255</v>
      </c>
      <c r="EQ306">
        <v>255</v>
      </c>
      <c r="ER306" t="s">
        <v>208</v>
      </c>
      <c r="ES306" t="s">
        <v>209</v>
      </c>
      <c r="ET306" t="s">
        <v>209</v>
      </c>
      <c r="EU306">
        <v>0</v>
      </c>
      <c r="EV306">
        <v>16.2</v>
      </c>
      <c r="EW306">
        <v>-114.7</v>
      </c>
      <c r="EX306">
        <v>-0.2</v>
      </c>
      <c r="EY306">
        <v>0</v>
      </c>
      <c r="EZ306">
        <v>0</v>
      </c>
      <c r="FA306">
        <v>0</v>
      </c>
      <c r="FB306" t="s">
        <v>198</v>
      </c>
      <c r="FC306" t="s">
        <v>198</v>
      </c>
      <c r="FD306" t="s">
        <v>198</v>
      </c>
      <c r="FE306" t="s">
        <v>198</v>
      </c>
      <c r="FF306" t="s">
        <v>198</v>
      </c>
      <c r="FG306" t="s">
        <v>198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203</v>
      </c>
      <c r="FP306" t="s">
        <v>203</v>
      </c>
      <c r="FQ306" t="s">
        <v>203</v>
      </c>
      <c r="FR306" t="s">
        <v>203</v>
      </c>
      <c r="FS306" t="s">
        <v>203</v>
      </c>
      <c r="FT306" t="s">
        <v>203</v>
      </c>
      <c r="FU306" t="s">
        <v>198</v>
      </c>
      <c r="FV306" t="s">
        <v>198</v>
      </c>
      <c r="FW306" t="s">
        <v>198</v>
      </c>
      <c r="FX306" t="s">
        <v>198</v>
      </c>
      <c r="FY306" t="s">
        <v>198</v>
      </c>
      <c r="FZ306" t="s">
        <v>198</v>
      </c>
      <c r="GA306">
        <v>31.2</v>
      </c>
      <c r="GB306">
        <v>31.2</v>
      </c>
      <c r="GC306" t="s">
        <v>203</v>
      </c>
      <c r="GD306">
        <v>0</v>
      </c>
      <c r="GE306">
        <v>504</v>
      </c>
      <c r="GF306">
        <v>0</v>
      </c>
      <c r="GG306">
        <v>0</v>
      </c>
      <c r="GH306">
        <v>0</v>
      </c>
      <c r="GI306">
        <v>1</v>
      </c>
      <c r="GJ306">
        <v>1</v>
      </c>
      <c r="GK306">
        <v>0</v>
      </c>
      <c r="GL306" t="s">
        <v>198</v>
      </c>
      <c r="GM306" t="s">
        <v>198</v>
      </c>
      <c r="GN306" t="s">
        <v>198</v>
      </c>
    </row>
    <row r="307" spans="1:196">
      <c r="A307" s="19">
        <v>46316.90743452546</v>
      </c>
      <c r="B307">
        <v>0</v>
      </c>
      <c r="C307">
        <v>0</v>
      </c>
      <c r="D307">
        <v>277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584.2</v>
      </c>
      <c r="N307">
        <v>-0.5</v>
      </c>
      <c r="O307">
        <v>0</v>
      </c>
      <c r="P307">
        <v>0</v>
      </c>
      <c r="Q307">
        <v>0</v>
      </c>
      <c r="R307">
        <v>0</v>
      </c>
      <c r="S307">
        <v>115.6</v>
      </c>
      <c r="T307" t="s">
        <v>485</v>
      </c>
      <c r="U307">
        <v>115.7</v>
      </c>
      <c r="V307">
        <v>1762727256586.8</v>
      </c>
      <c r="W307">
        <v>1</v>
      </c>
      <c r="X307" t="s">
        <v>197</v>
      </c>
      <c r="Y307">
        <v>0</v>
      </c>
      <c r="Z307">
        <v>98</v>
      </c>
      <c r="AA307">
        <v>278</v>
      </c>
      <c r="AB307" t="s">
        <v>197</v>
      </c>
      <c r="AC307" t="s">
        <v>198</v>
      </c>
      <c r="AD307" t="s">
        <v>199</v>
      </c>
      <c r="AE307">
        <v>0</v>
      </c>
      <c r="AF307">
        <v>45</v>
      </c>
      <c r="AG307">
        <v>255</v>
      </c>
      <c r="AH307">
        <v>0</v>
      </c>
      <c r="AI307">
        <v>0</v>
      </c>
      <c r="AJ307">
        <v>0</v>
      </c>
      <c r="AK307">
        <v>12.6</v>
      </c>
      <c r="AL307">
        <v>0</v>
      </c>
      <c r="AM307">
        <v>0</v>
      </c>
      <c r="AN307" t="s">
        <v>197</v>
      </c>
      <c r="AO307">
        <v>100</v>
      </c>
      <c r="AP307" t="s">
        <v>197</v>
      </c>
      <c r="AQ307" t="s">
        <v>200</v>
      </c>
      <c r="AR307">
        <v>1</v>
      </c>
      <c r="AS307">
        <v>0</v>
      </c>
      <c r="AT307" t="s">
        <v>653</v>
      </c>
      <c r="AU307" t="s">
        <v>653</v>
      </c>
      <c r="AV307" t="s">
        <v>202</v>
      </c>
      <c r="AW307" t="s">
        <v>203</v>
      </c>
      <c r="AX307" t="s">
        <v>203</v>
      </c>
      <c r="AY307" t="s">
        <v>203</v>
      </c>
      <c r="AZ307" t="s">
        <v>203</v>
      </c>
      <c r="BA307" t="s">
        <v>203</v>
      </c>
      <c r="BB307" t="s">
        <v>203</v>
      </c>
      <c r="BC307" t="s">
        <v>203</v>
      </c>
      <c r="BD307" t="s">
        <v>203</v>
      </c>
      <c r="BE307" t="s">
        <v>203</v>
      </c>
      <c r="BF307">
        <v>0</v>
      </c>
      <c r="BG307">
        <v>0.2</v>
      </c>
      <c r="BH307">
        <v>50</v>
      </c>
      <c r="BI307">
        <v>0</v>
      </c>
      <c r="BJ307" t="s">
        <v>198</v>
      </c>
      <c r="BK307" t="s">
        <v>198</v>
      </c>
      <c r="BL307" t="s">
        <v>198</v>
      </c>
      <c r="BM307" t="s">
        <v>198</v>
      </c>
      <c r="BN307" t="s">
        <v>198</v>
      </c>
      <c r="BO307" t="s">
        <v>198</v>
      </c>
      <c r="BP307" t="s">
        <v>198</v>
      </c>
      <c r="BQ307" t="s">
        <v>198</v>
      </c>
      <c r="BR307" t="s">
        <v>198</v>
      </c>
      <c r="BS307" t="s">
        <v>198</v>
      </c>
      <c r="BT307" t="s">
        <v>198</v>
      </c>
      <c r="BU307" t="s">
        <v>198</v>
      </c>
      <c r="BV307" t="s">
        <v>198</v>
      </c>
      <c r="BW307" t="s">
        <v>198</v>
      </c>
      <c r="BX307" t="s">
        <v>198</v>
      </c>
      <c r="BY307" t="s">
        <v>198</v>
      </c>
      <c r="BZ307" t="s">
        <v>198</v>
      </c>
      <c r="CA307" t="s">
        <v>198</v>
      </c>
      <c r="CB307" t="s">
        <v>204</v>
      </c>
      <c r="CC307" t="s">
        <v>204</v>
      </c>
      <c r="CD307" t="s">
        <v>204</v>
      </c>
      <c r="CE307" t="s">
        <v>204</v>
      </c>
      <c r="CF307" t="s">
        <v>204</v>
      </c>
      <c r="CG307" t="s">
        <v>204</v>
      </c>
      <c r="CH307" t="s">
        <v>204</v>
      </c>
      <c r="CI307" t="s">
        <v>204</v>
      </c>
      <c r="CJ307" t="s">
        <v>204</v>
      </c>
      <c r="CK307" t="s">
        <v>204</v>
      </c>
      <c r="CL307" t="s">
        <v>204</v>
      </c>
      <c r="CM307" t="s">
        <v>204</v>
      </c>
      <c r="CN307" t="s">
        <v>203</v>
      </c>
      <c r="CO307" t="s">
        <v>203</v>
      </c>
      <c r="CP307" t="s">
        <v>203</v>
      </c>
      <c r="CQ307" t="s">
        <v>203</v>
      </c>
      <c r="CR307" t="s">
        <v>203</v>
      </c>
      <c r="CS307" t="s">
        <v>203</v>
      </c>
      <c r="CT307" t="s">
        <v>203</v>
      </c>
      <c r="CU307" t="s">
        <v>203</v>
      </c>
      <c r="CV307">
        <v>0</v>
      </c>
      <c r="CW307">
        <v>0</v>
      </c>
      <c r="CX307" t="s">
        <v>198</v>
      </c>
      <c r="CY307" t="s">
        <v>198</v>
      </c>
      <c r="CZ307" t="s">
        <v>198</v>
      </c>
      <c r="DA307" t="s">
        <v>198</v>
      </c>
      <c r="DB307" t="s">
        <v>198</v>
      </c>
      <c r="DC307">
        <v>0</v>
      </c>
      <c r="DD307">
        <v>0</v>
      </c>
      <c r="DE307">
        <v>0</v>
      </c>
      <c r="DF307">
        <v>0</v>
      </c>
      <c r="DG307">
        <v>-35.3631166</v>
      </c>
      <c r="DH307">
        <v>149.1639735</v>
      </c>
      <c r="DI307" t="s">
        <v>360</v>
      </c>
      <c r="DJ307">
        <v>1.2</v>
      </c>
      <c r="DK307">
        <v>2</v>
      </c>
      <c r="DL307">
        <v>159.8</v>
      </c>
      <c r="DM307">
        <v>0</v>
      </c>
      <c r="DN307">
        <v>6</v>
      </c>
      <c r="DO307">
        <v>10</v>
      </c>
      <c r="DP307">
        <v>0</v>
      </c>
      <c r="DQ307">
        <v>255</v>
      </c>
      <c r="DR307">
        <v>255</v>
      </c>
      <c r="DS307">
        <v>255</v>
      </c>
      <c r="DT307">
        <v>255</v>
      </c>
      <c r="DU307">
        <v>255</v>
      </c>
      <c r="DV307">
        <v>255</v>
      </c>
      <c r="DW307">
        <v>255</v>
      </c>
      <c r="DX307" t="s">
        <v>206</v>
      </c>
      <c r="DY307" t="s">
        <v>206</v>
      </c>
      <c r="DZ307" t="s">
        <v>207</v>
      </c>
      <c r="EA307" t="s">
        <v>198</v>
      </c>
      <c r="EB307" t="s">
        <v>198</v>
      </c>
      <c r="EC307" t="s">
        <v>198</v>
      </c>
      <c r="ED307">
        <v>0</v>
      </c>
      <c r="EE307">
        <v>0</v>
      </c>
      <c r="EF307">
        <v>0</v>
      </c>
      <c r="EG307">
        <v>0</v>
      </c>
      <c r="EH307">
        <v>255</v>
      </c>
      <c r="EI307">
        <v>255</v>
      </c>
      <c r="EJ307">
        <v>255</v>
      </c>
      <c r="EK307">
        <v>255</v>
      </c>
      <c r="EL307">
        <v>255</v>
      </c>
      <c r="EM307">
        <v>255</v>
      </c>
      <c r="EN307">
        <v>255</v>
      </c>
      <c r="EO307">
        <v>255</v>
      </c>
      <c r="EP307">
        <v>255</v>
      </c>
      <c r="EQ307">
        <v>255</v>
      </c>
      <c r="ER307" t="s">
        <v>208</v>
      </c>
      <c r="ES307" t="s">
        <v>209</v>
      </c>
      <c r="ET307" t="s">
        <v>209</v>
      </c>
      <c r="EU307">
        <v>0</v>
      </c>
      <c r="EV307">
        <v>16.2</v>
      </c>
      <c r="EW307">
        <v>-114.7</v>
      </c>
      <c r="EX307">
        <v>-0.2</v>
      </c>
      <c r="EY307">
        <v>0</v>
      </c>
      <c r="EZ307">
        <v>0</v>
      </c>
      <c r="FA307">
        <v>0</v>
      </c>
      <c r="FB307" t="s">
        <v>198</v>
      </c>
      <c r="FC307" t="s">
        <v>198</v>
      </c>
      <c r="FD307" t="s">
        <v>198</v>
      </c>
      <c r="FE307" t="s">
        <v>198</v>
      </c>
      <c r="FF307" t="s">
        <v>198</v>
      </c>
      <c r="FG307" t="s">
        <v>198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 t="s">
        <v>203</v>
      </c>
      <c r="FP307" t="s">
        <v>203</v>
      </c>
      <c r="FQ307" t="s">
        <v>203</v>
      </c>
      <c r="FR307" t="s">
        <v>203</v>
      </c>
      <c r="FS307" t="s">
        <v>203</v>
      </c>
      <c r="FT307" t="s">
        <v>203</v>
      </c>
      <c r="FU307" t="s">
        <v>198</v>
      </c>
      <c r="FV307" t="s">
        <v>198</v>
      </c>
      <c r="FW307" t="s">
        <v>198</v>
      </c>
      <c r="FX307" t="s">
        <v>198</v>
      </c>
      <c r="FY307" t="s">
        <v>198</v>
      </c>
      <c r="FZ307" t="s">
        <v>198</v>
      </c>
      <c r="GA307">
        <v>31.2</v>
      </c>
      <c r="GB307">
        <v>31.2</v>
      </c>
      <c r="GC307" t="s">
        <v>203</v>
      </c>
      <c r="GD307">
        <v>0</v>
      </c>
      <c r="GE307">
        <v>504</v>
      </c>
      <c r="GF307">
        <v>0</v>
      </c>
      <c r="GG307">
        <v>0</v>
      </c>
      <c r="GH307">
        <v>0</v>
      </c>
      <c r="GI307">
        <v>1</v>
      </c>
      <c r="GJ307">
        <v>1</v>
      </c>
      <c r="GK307">
        <v>0</v>
      </c>
      <c r="GL307" t="s">
        <v>198</v>
      </c>
      <c r="GM307" t="s">
        <v>198</v>
      </c>
      <c r="GN307" t="s">
        <v>198</v>
      </c>
    </row>
    <row r="308" spans="1:196">
      <c r="A308" s="19">
        <v>46316.90744609954</v>
      </c>
      <c r="B308">
        <v>0</v>
      </c>
      <c r="C308">
        <v>0</v>
      </c>
      <c r="D308">
        <v>277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584.2</v>
      </c>
      <c r="N308">
        <v>-0.5</v>
      </c>
      <c r="O308">
        <v>0</v>
      </c>
      <c r="P308">
        <v>0</v>
      </c>
      <c r="Q308">
        <v>0</v>
      </c>
      <c r="R308">
        <v>0</v>
      </c>
      <c r="S308">
        <v>115.6</v>
      </c>
      <c r="T308" t="s">
        <v>485</v>
      </c>
      <c r="U308">
        <v>115.7</v>
      </c>
      <c r="V308">
        <v>1762727256586.8</v>
      </c>
      <c r="W308">
        <v>1</v>
      </c>
      <c r="X308" t="s">
        <v>197</v>
      </c>
      <c r="Y308">
        <v>0</v>
      </c>
      <c r="Z308">
        <v>98</v>
      </c>
      <c r="AA308">
        <v>278</v>
      </c>
      <c r="AB308" t="s">
        <v>197</v>
      </c>
      <c r="AC308" t="s">
        <v>198</v>
      </c>
      <c r="AD308" t="s">
        <v>199</v>
      </c>
      <c r="AE308">
        <v>0</v>
      </c>
      <c r="AF308">
        <v>45</v>
      </c>
      <c r="AG308">
        <v>255</v>
      </c>
      <c r="AH308">
        <v>0</v>
      </c>
      <c r="AI308">
        <v>0</v>
      </c>
      <c r="AJ308">
        <v>0</v>
      </c>
      <c r="AK308">
        <v>12.6</v>
      </c>
      <c r="AL308">
        <v>0</v>
      </c>
      <c r="AM308">
        <v>0</v>
      </c>
      <c r="AN308" t="s">
        <v>197</v>
      </c>
      <c r="AO308">
        <v>100</v>
      </c>
      <c r="AP308" t="s">
        <v>197</v>
      </c>
      <c r="AQ308" t="s">
        <v>200</v>
      </c>
      <c r="AR308">
        <v>1</v>
      </c>
      <c r="AS308">
        <v>0</v>
      </c>
      <c r="AT308" t="s">
        <v>654</v>
      </c>
      <c r="AU308" t="s">
        <v>654</v>
      </c>
      <c r="AV308" t="s">
        <v>202</v>
      </c>
      <c r="AW308" t="s">
        <v>203</v>
      </c>
      <c r="AX308" t="s">
        <v>203</v>
      </c>
      <c r="AY308" t="s">
        <v>203</v>
      </c>
      <c r="AZ308" t="s">
        <v>203</v>
      </c>
      <c r="BA308" t="s">
        <v>203</v>
      </c>
      <c r="BB308" t="s">
        <v>203</v>
      </c>
      <c r="BC308" t="s">
        <v>203</v>
      </c>
      <c r="BD308" t="s">
        <v>203</v>
      </c>
      <c r="BE308" t="s">
        <v>203</v>
      </c>
      <c r="BF308">
        <v>0</v>
      </c>
      <c r="BG308">
        <v>0.2</v>
      </c>
      <c r="BH308">
        <v>50</v>
      </c>
      <c r="BI308">
        <v>0</v>
      </c>
      <c r="BJ308" t="s">
        <v>198</v>
      </c>
      <c r="BK308" t="s">
        <v>198</v>
      </c>
      <c r="BL308" t="s">
        <v>198</v>
      </c>
      <c r="BM308" t="s">
        <v>198</v>
      </c>
      <c r="BN308" t="s">
        <v>198</v>
      </c>
      <c r="BO308" t="s">
        <v>198</v>
      </c>
      <c r="BP308" t="s">
        <v>198</v>
      </c>
      <c r="BQ308" t="s">
        <v>198</v>
      </c>
      <c r="BR308" t="s">
        <v>198</v>
      </c>
      <c r="BS308" t="s">
        <v>198</v>
      </c>
      <c r="BT308" t="s">
        <v>198</v>
      </c>
      <c r="BU308" t="s">
        <v>198</v>
      </c>
      <c r="BV308" t="s">
        <v>198</v>
      </c>
      <c r="BW308" t="s">
        <v>198</v>
      </c>
      <c r="BX308" t="s">
        <v>198</v>
      </c>
      <c r="BY308" t="s">
        <v>198</v>
      </c>
      <c r="BZ308" t="s">
        <v>198</v>
      </c>
      <c r="CA308" t="s">
        <v>198</v>
      </c>
      <c r="CB308" t="s">
        <v>204</v>
      </c>
      <c r="CC308" t="s">
        <v>204</v>
      </c>
      <c r="CD308" t="s">
        <v>204</v>
      </c>
      <c r="CE308" t="s">
        <v>204</v>
      </c>
      <c r="CF308" t="s">
        <v>204</v>
      </c>
      <c r="CG308" t="s">
        <v>204</v>
      </c>
      <c r="CH308" t="s">
        <v>204</v>
      </c>
      <c r="CI308" t="s">
        <v>204</v>
      </c>
      <c r="CJ308" t="s">
        <v>204</v>
      </c>
      <c r="CK308" t="s">
        <v>204</v>
      </c>
      <c r="CL308" t="s">
        <v>204</v>
      </c>
      <c r="CM308" t="s">
        <v>204</v>
      </c>
      <c r="CN308" t="s">
        <v>203</v>
      </c>
      <c r="CO308" t="s">
        <v>203</v>
      </c>
      <c r="CP308" t="s">
        <v>203</v>
      </c>
      <c r="CQ308" t="s">
        <v>203</v>
      </c>
      <c r="CR308" t="s">
        <v>203</v>
      </c>
      <c r="CS308" t="s">
        <v>203</v>
      </c>
      <c r="CT308" t="s">
        <v>203</v>
      </c>
      <c r="CU308" t="s">
        <v>203</v>
      </c>
      <c r="CV308">
        <v>0</v>
      </c>
      <c r="CW308">
        <v>0</v>
      </c>
      <c r="CX308" t="s">
        <v>198</v>
      </c>
      <c r="CY308" t="s">
        <v>198</v>
      </c>
      <c r="CZ308" t="s">
        <v>198</v>
      </c>
      <c r="DA308" t="s">
        <v>198</v>
      </c>
      <c r="DB308" t="s">
        <v>198</v>
      </c>
      <c r="DC308">
        <v>0</v>
      </c>
      <c r="DD308">
        <v>0</v>
      </c>
      <c r="DE308">
        <v>0</v>
      </c>
      <c r="DF308">
        <v>0</v>
      </c>
      <c r="DG308">
        <v>-35.3631166</v>
      </c>
      <c r="DH308">
        <v>149.1639735</v>
      </c>
      <c r="DI308" t="s">
        <v>360</v>
      </c>
      <c r="DJ308">
        <v>1.2</v>
      </c>
      <c r="DK308">
        <v>2</v>
      </c>
      <c r="DL308">
        <v>159.8</v>
      </c>
      <c r="DM308">
        <v>0</v>
      </c>
      <c r="DN308">
        <v>6</v>
      </c>
      <c r="DO308">
        <v>10</v>
      </c>
      <c r="DP308">
        <v>0</v>
      </c>
      <c r="DQ308">
        <v>255</v>
      </c>
      <c r="DR308">
        <v>255</v>
      </c>
      <c r="DS308">
        <v>255</v>
      </c>
      <c r="DT308">
        <v>255</v>
      </c>
      <c r="DU308">
        <v>255</v>
      </c>
      <c r="DV308">
        <v>255</v>
      </c>
      <c r="DW308">
        <v>255</v>
      </c>
      <c r="DX308" t="s">
        <v>206</v>
      </c>
      <c r="DY308" t="s">
        <v>206</v>
      </c>
      <c r="DZ308" t="s">
        <v>207</v>
      </c>
      <c r="EA308" t="s">
        <v>198</v>
      </c>
      <c r="EB308" t="s">
        <v>198</v>
      </c>
      <c r="EC308" t="s">
        <v>198</v>
      </c>
      <c r="ED308">
        <v>0</v>
      </c>
      <c r="EE308">
        <v>0</v>
      </c>
      <c r="EF308">
        <v>0</v>
      </c>
      <c r="EG308">
        <v>0</v>
      </c>
      <c r="EH308">
        <v>255</v>
      </c>
      <c r="EI308">
        <v>255</v>
      </c>
      <c r="EJ308">
        <v>255</v>
      </c>
      <c r="EK308">
        <v>255</v>
      </c>
      <c r="EL308">
        <v>255</v>
      </c>
      <c r="EM308">
        <v>255</v>
      </c>
      <c r="EN308">
        <v>255</v>
      </c>
      <c r="EO308">
        <v>255</v>
      </c>
      <c r="EP308">
        <v>255</v>
      </c>
      <c r="EQ308">
        <v>255</v>
      </c>
      <c r="ER308" t="s">
        <v>208</v>
      </c>
      <c r="ES308" t="s">
        <v>209</v>
      </c>
      <c r="ET308" t="s">
        <v>209</v>
      </c>
      <c r="EU308">
        <v>0</v>
      </c>
      <c r="EV308">
        <v>16.2</v>
      </c>
      <c r="EW308">
        <v>-114.7</v>
      </c>
      <c r="EX308">
        <v>-0.2</v>
      </c>
      <c r="EY308">
        <v>0</v>
      </c>
      <c r="EZ308">
        <v>0</v>
      </c>
      <c r="FA308">
        <v>0</v>
      </c>
      <c r="FB308" t="s">
        <v>198</v>
      </c>
      <c r="FC308" t="s">
        <v>198</v>
      </c>
      <c r="FD308" t="s">
        <v>198</v>
      </c>
      <c r="FE308" t="s">
        <v>198</v>
      </c>
      <c r="FF308" t="s">
        <v>198</v>
      </c>
      <c r="FG308" t="s">
        <v>198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 t="s">
        <v>203</v>
      </c>
      <c r="FP308" t="s">
        <v>203</v>
      </c>
      <c r="FQ308" t="s">
        <v>203</v>
      </c>
      <c r="FR308" t="s">
        <v>203</v>
      </c>
      <c r="FS308" t="s">
        <v>203</v>
      </c>
      <c r="FT308" t="s">
        <v>203</v>
      </c>
      <c r="FU308" t="s">
        <v>198</v>
      </c>
      <c r="FV308" t="s">
        <v>198</v>
      </c>
      <c r="FW308" t="s">
        <v>198</v>
      </c>
      <c r="FX308" t="s">
        <v>198</v>
      </c>
      <c r="FY308" t="s">
        <v>198</v>
      </c>
      <c r="FZ308" t="s">
        <v>198</v>
      </c>
      <c r="GA308">
        <v>31.2</v>
      </c>
      <c r="GB308">
        <v>31.2</v>
      </c>
      <c r="GC308" t="s">
        <v>203</v>
      </c>
      <c r="GD308">
        <v>0</v>
      </c>
      <c r="GE308">
        <v>504</v>
      </c>
      <c r="GF308">
        <v>0</v>
      </c>
      <c r="GG308">
        <v>0</v>
      </c>
      <c r="GH308">
        <v>0</v>
      </c>
      <c r="GI308">
        <v>1</v>
      </c>
      <c r="GJ308">
        <v>1</v>
      </c>
      <c r="GK308">
        <v>0</v>
      </c>
      <c r="GL308" t="s">
        <v>198</v>
      </c>
      <c r="GM308" t="s">
        <v>198</v>
      </c>
      <c r="GN308" t="s">
        <v>198</v>
      </c>
    </row>
    <row r="309" spans="1:196">
      <c r="A309" s="19">
        <v>46316.90745767361</v>
      </c>
      <c r="B309">
        <v>0</v>
      </c>
      <c r="C309">
        <v>0</v>
      </c>
      <c r="D309">
        <v>277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584.2</v>
      </c>
      <c r="N309">
        <v>-0.5</v>
      </c>
      <c r="O309">
        <v>0</v>
      </c>
      <c r="P309">
        <v>0</v>
      </c>
      <c r="Q309">
        <v>0</v>
      </c>
      <c r="R309">
        <v>0</v>
      </c>
      <c r="S309">
        <v>115.6</v>
      </c>
      <c r="T309" t="s">
        <v>485</v>
      </c>
      <c r="U309">
        <v>115.7</v>
      </c>
      <c r="V309">
        <v>1762727256586.8</v>
      </c>
      <c r="W309">
        <v>1</v>
      </c>
      <c r="X309" t="s">
        <v>197</v>
      </c>
      <c r="Y309">
        <v>0</v>
      </c>
      <c r="Z309">
        <v>98</v>
      </c>
      <c r="AA309">
        <v>278</v>
      </c>
      <c r="AB309" t="s">
        <v>197</v>
      </c>
      <c r="AC309" t="s">
        <v>198</v>
      </c>
      <c r="AD309" t="s">
        <v>199</v>
      </c>
      <c r="AE309">
        <v>0</v>
      </c>
      <c r="AF309">
        <v>45</v>
      </c>
      <c r="AG309">
        <v>255</v>
      </c>
      <c r="AH309">
        <v>0</v>
      </c>
      <c r="AI309">
        <v>0</v>
      </c>
      <c r="AJ309">
        <v>0</v>
      </c>
      <c r="AK309">
        <v>12.6</v>
      </c>
      <c r="AL309">
        <v>0</v>
      </c>
      <c r="AM309">
        <v>0</v>
      </c>
      <c r="AN309" t="s">
        <v>197</v>
      </c>
      <c r="AO309">
        <v>100</v>
      </c>
      <c r="AP309" t="s">
        <v>197</v>
      </c>
      <c r="AQ309" t="s">
        <v>200</v>
      </c>
      <c r="AR309">
        <v>1</v>
      </c>
      <c r="AS309">
        <v>0</v>
      </c>
      <c r="AT309" t="s">
        <v>655</v>
      </c>
      <c r="AU309" t="s">
        <v>655</v>
      </c>
      <c r="AV309" t="s">
        <v>202</v>
      </c>
      <c r="AW309" t="s">
        <v>203</v>
      </c>
      <c r="AX309" t="s">
        <v>203</v>
      </c>
      <c r="AY309" t="s">
        <v>203</v>
      </c>
      <c r="AZ309" t="s">
        <v>203</v>
      </c>
      <c r="BA309" t="s">
        <v>203</v>
      </c>
      <c r="BB309" t="s">
        <v>203</v>
      </c>
      <c r="BC309" t="s">
        <v>203</v>
      </c>
      <c r="BD309" t="s">
        <v>203</v>
      </c>
      <c r="BE309" t="s">
        <v>203</v>
      </c>
      <c r="BF309">
        <v>0</v>
      </c>
      <c r="BG309">
        <v>0.2</v>
      </c>
      <c r="BH309">
        <v>50</v>
      </c>
      <c r="BI309">
        <v>0</v>
      </c>
      <c r="BJ309" t="s">
        <v>198</v>
      </c>
      <c r="BK309" t="s">
        <v>198</v>
      </c>
      <c r="BL309" t="s">
        <v>198</v>
      </c>
      <c r="BM309" t="s">
        <v>198</v>
      </c>
      <c r="BN309" t="s">
        <v>198</v>
      </c>
      <c r="BO309" t="s">
        <v>198</v>
      </c>
      <c r="BP309" t="s">
        <v>198</v>
      </c>
      <c r="BQ309" t="s">
        <v>198</v>
      </c>
      <c r="BR309" t="s">
        <v>198</v>
      </c>
      <c r="BS309" t="s">
        <v>198</v>
      </c>
      <c r="BT309" t="s">
        <v>198</v>
      </c>
      <c r="BU309" t="s">
        <v>198</v>
      </c>
      <c r="BV309" t="s">
        <v>198</v>
      </c>
      <c r="BW309" t="s">
        <v>198</v>
      </c>
      <c r="BX309" t="s">
        <v>198</v>
      </c>
      <c r="BY309" t="s">
        <v>198</v>
      </c>
      <c r="BZ309" t="s">
        <v>198</v>
      </c>
      <c r="CA309" t="s">
        <v>198</v>
      </c>
      <c r="CB309" t="s">
        <v>204</v>
      </c>
      <c r="CC309" t="s">
        <v>204</v>
      </c>
      <c r="CD309" t="s">
        <v>204</v>
      </c>
      <c r="CE309" t="s">
        <v>204</v>
      </c>
      <c r="CF309" t="s">
        <v>204</v>
      </c>
      <c r="CG309" t="s">
        <v>204</v>
      </c>
      <c r="CH309" t="s">
        <v>204</v>
      </c>
      <c r="CI309" t="s">
        <v>204</v>
      </c>
      <c r="CJ309" t="s">
        <v>204</v>
      </c>
      <c r="CK309" t="s">
        <v>204</v>
      </c>
      <c r="CL309" t="s">
        <v>204</v>
      </c>
      <c r="CM309" t="s">
        <v>204</v>
      </c>
      <c r="CN309" t="s">
        <v>203</v>
      </c>
      <c r="CO309" t="s">
        <v>203</v>
      </c>
      <c r="CP309" t="s">
        <v>203</v>
      </c>
      <c r="CQ309" t="s">
        <v>203</v>
      </c>
      <c r="CR309" t="s">
        <v>203</v>
      </c>
      <c r="CS309" t="s">
        <v>203</v>
      </c>
      <c r="CT309" t="s">
        <v>203</v>
      </c>
      <c r="CU309" t="s">
        <v>203</v>
      </c>
      <c r="CV309">
        <v>0</v>
      </c>
      <c r="CW309">
        <v>0</v>
      </c>
      <c r="CX309" t="s">
        <v>198</v>
      </c>
      <c r="CY309" t="s">
        <v>198</v>
      </c>
      <c r="CZ309" t="s">
        <v>198</v>
      </c>
      <c r="DA309" t="s">
        <v>198</v>
      </c>
      <c r="DB309" t="s">
        <v>198</v>
      </c>
      <c r="DC309">
        <v>0</v>
      </c>
      <c r="DD309">
        <v>0</v>
      </c>
      <c r="DE309">
        <v>0</v>
      </c>
      <c r="DF309">
        <v>0</v>
      </c>
      <c r="DG309">
        <v>-35.3631166</v>
      </c>
      <c r="DH309">
        <v>149.1639735</v>
      </c>
      <c r="DI309" t="s">
        <v>360</v>
      </c>
      <c r="DJ309">
        <v>1.2</v>
      </c>
      <c r="DK309">
        <v>2</v>
      </c>
      <c r="DL309">
        <v>159.8</v>
      </c>
      <c r="DM309">
        <v>0</v>
      </c>
      <c r="DN309">
        <v>6</v>
      </c>
      <c r="DO309">
        <v>10</v>
      </c>
      <c r="DP309">
        <v>0</v>
      </c>
      <c r="DQ309">
        <v>255</v>
      </c>
      <c r="DR309">
        <v>255</v>
      </c>
      <c r="DS309">
        <v>255</v>
      </c>
      <c r="DT309">
        <v>255</v>
      </c>
      <c r="DU309">
        <v>255</v>
      </c>
      <c r="DV309">
        <v>255</v>
      </c>
      <c r="DW309">
        <v>255</v>
      </c>
      <c r="DX309" t="s">
        <v>206</v>
      </c>
      <c r="DY309" t="s">
        <v>206</v>
      </c>
      <c r="DZ309" t="s">
        <v>207</v>
      </c>
      <c r="EA309" t="s">
        <v>198</v>
      </c>
      <c r="EB309" t="s">
        <v>198</v>
      </c>
      <c r="EC309" t="s">
        <v>198</v>
      </c>
      <c r="ED309">
        <v>0</v>
      </c>
      <c r="EE309">
        <v>0</v>
      </c>
      <c r="EF309">
        <v>0</v>
      </c>
      <c r="EG309">
        <v>0</v>
      </c>
      <c r="EH309">
        <v>255</v>
      </c>
      <c r="EI309">
        <v>255</v>
      </c>
      <c r="EJ309">
        <v>255</v>
      </c>
      <c r="EK309">
        <v>255</v>
      </c>
      <c r="EL309">
        <v>255</v>
      </c>
      <c r="EM309">
        <v>255</v>
      </c>
      <c r="EN309">
        <v>255</v>
      </c>
      <c r="EO309">
        <v>255</v>
      </c>
      <c r="EP309">
        <v>255</v>
      </c>
      <c r="EQ309">
        <v>255</v>
      </c>
      <c r="ER309" t="s">
        <v>208</v>
      </c>
      <c r="ES309" t="s">
        <v>209</v>
      </c>
      <c r="ET309" t="s">
        <v>209</v>
      </c>
      <c r="EU309">
        <v>0</v>
      </c>
      <c r="EV309">
        <v>16.2</v>
      </c>
      <c r="EW309">
        <v>-114.7</v>
      </c>
      <c r="EX309">
        <v>-0.2</v>
      </c>
      <c r="EY309">
        <v>0</v>
      </c>
      <c r="EZ309">
        <v>0</v>
      </c>
      <c r="FA309">
        <v>0</v>
      </c>
      <c r="FB309" t="s">
        <v>198</v>
      </c>
      <c r="FC309" t="s">
        <v>198</v>
      </c>
      <c r="FD309" t="s">
        <v>198</v>
      </c>
      <c r="FE309" t="s">
        <v>198</v>
      </c>
      <c r="FF309" t="s">
        <v>198</v>
      </c>
      <c r="FG309" t="s">
        <v>198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 t="s">
        <v>203</v>
      </c>
      <c r="FP309" t="s">
        <v>203</v>
      </c>
      <c r="FQ309" t="s">
        <v>203</v>
      </c>
      <c r="FR309" t="s">
        <v>203</v>
      </c>
      <c r="FS309" t="s">
        <v>203</v>
      </c>
      <c r="FT309" t="s">
        <v>203</v>
      </c>
      <c r="FU309" t="s">
        <v>198</v>
      </c>
      <c r="FV309" t="s">
        <v>198</v>
      </c>
      <c r="FW309" t="s">
        <v>198</v>
      </c>
      <c r="FX309" t="s">
        <v>198</v>
      </c>
      <c r="FY309" t="s">
        <v>198</v>
      </c>
      <c r="FZ309" t="s">
        <v>198</v>
      </c>
      <c r="GA309">
        <v>31.2</v>
      </c>
      <c r="GB309">
        <v>31.2</v>
      </c>
      <c r="GC309" t="s">
        <v>203</v>
      </c>
      <c r="GD309">
        <v>0</v>
      </c>
      <c r="GE309">
        <v>504</v>
      </c>
      <c r="GF309">
        <v>0</v>
      </c>
      <c r="GG309">
        <v>0</v>
      </c>
      <c r="GH309">
        <v>0</v>
      </c>
      <c r="GI309">
        <v>1</v>
      </c>
      <c r="GJ309">
        <v>1</v>
      </c>
      <c r="GK309">
        <v>0</v>
      </c>
      <c r="GL309" t="s">
        <v>198</v>
      </c>
      <c r="GM309" t="s">
        <v>198</v>
      </c>
      <c r="GN309" t="s">
        <v>198</v>
      </c>
    </row>
    <row r="310" spans="1:196">
      <c r="A310" s="19">
        <v>46316.90746925926</v>
      </c>
      <c r="B310">
        <v>0</v>
      </c>
      <c r="C310">
        <v>0</v>
      </c>
      <c r="D310">
        <v>277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584.2</v>
      </c>
      <c r="N310">
        <v>-0.5</v>
      </c>
      <c r="O310">
        <v>0</v>
      </c>
      <c r="P310">
        <v>0</v>
      </c>
      <c r="Q310">
        <v>0</v>
      </c>
      <c r="R310">
        <v>0</v>
      </c>
      <c r="S310">
        <v>115.6</v>
      </c>
      <c r="T310" t="s">
        <v>485</v>
      </c>
      <c r="U310">
        <v>115.7</v>
      </c>
      <c r="V310">
        <v>1762727256586.8</v>
      </c>
      <c r="W310">
        <v>1</v>
      </c>
      <c r="X310" t="s">
        <v>197</v>
      </c>
      <c r="Y310">
        <v>0</v>
      </c>
      <c r="Z310">
        <v>98</v>
      </c>
      <c r="AA310">
        <v>278</v>
      </c>
      <c r="AB310" t="s">
        <v>197</v>
      </c>
      <c r="AC310" t="s">
        <v>198</v>
      </c>
      <c r="AD310" t="s">
        <v>199</v>
      </c>
      <c r="AE310">
        <v>0</v>
      </c>
      <c r="AF310">
        <v>45</v>
      </c>
      <c r="AG310">
        <v>255</v>
      </c>
      <c r="AH310">
        <v>0</v>
      </c>
      <c r="AI310">
        <v>0</v>
      </c>
      <c r="AJ310">
        <v>0</v>
      </c>
      <c r="AK310">
        <v>12.6</v>
      </c>
      <c r="AL310">
        <v>0</v>
      </c>
      <c r="AM310">
        <v>0</v>
      </c>
      <c r="AN310" t="s">
        <v>197</v>
      </c>
      <c r="AO310">
        <v>100</v>
      </c>
      <c r="AP310" t="s">
        <v>197</v>
      </c>
      <c r="AQ310" t="s">
        <v>200</v>
      </c>
      <c r="AR310">
        <v>1</v>
      </c>
      <c r="AS310">
        <v>0</v>
      </c>
      <c r="AT310" t="s">
        <v>656</v>
      </c>
      <c r="AU310" t="s">
        <v>656</v>
      </c>
      <c r="AV310" t="s">
        <v>202</v>
      </c>
      <c r="AW310" t="s">
        <v>203</v>
      </c>
      <c r="AX310" t="s">
        <v>203</v>
      </c>
      <c r="AY310" t="s">
        <v>203</v>
      </c>
      <c r="AZ310" t="s">
        <v>203</v>
      </c>
      <c r="BA310" t="s">
        <v>203</v>
      </c>
      <c r="BB310" t="s">
        <v>203</v>
      </c>
      <c r="BC310" t="s">
        <v>203</v>
      </c>
      <c r="BD310" t="s">
        <v>203</v>
      </c>
      <c r="BE310" t="s">
        <v>203</v>
      </c>
      <c r="BF310">
        <v>0</v>
      </c>
      <c r="BG310">
        <v>0.2</v>
      </c>
      <c r="BH310">
        <v>50</v>
      </c>
      <c r="BI310">
        <v>0</v>
      </c>
      <c r="BJ310" t="s">
        <v>198</v>
      </c>
      <c r="BK310" t="s">
        <v>198</v>
      </c>
      <c r="BL310" t="s">
        <v>198</v>
      </c>
      <c r="BM310" t="s">
        <v>198</v>
      </c>
      <c r="BN310" t="s">
        <v>198</v>
      </c>
      <c r="BO310" t="s">
        <v>198</v>
      </c>
      <c r="BP310" t="s">
        <v>198</v>
      </c>
      <c r="BQ310" t="s">
        <v>198</v>
      </c>
      <c r="BR310" t="s">
        <v>198</v>
      </c>
      <c r="BS310" t="s">
        <v>198</v>
      </c>
      <c r="BT310" t="s">
        <v>198</v>
      </c>
      <c r="BU310" t="s">
        <v>198</v>
      </c>
      <c r="BV310" t="s">
        <v>198</v>
      </c>
      <c r="BW310" t="s">
        <v>198</v>
      </c>
      <c r="BX310" t="s">
        <v>198</v>
      </c>
      <c r="BY310" t="s">
        <v>198</v>
      </c>
      <c r="BZ310" t="s">
        <v>198</v>
      </c>
      <c r="CA310" t="s">
        <v>198</v>
      </c>
      <c r="CB310" t="s">
        <v>204</v>
      </c>
      <c r="CC310" t="s">
        <v>204</v>
      </c>
      <c r="CD310" t="s">
        <v>204</v>
      </c>
      <c r="CE310" t="s">
        <v>204</v>
      </c>
      <c r="CF310" t="s">
        <v>204</v>
      </c>
      <c r="CG310" t="s">
        <v>204</v>
      </c>
      <c r="CH310" t="s">
        <v>204</v>
      </c>
      <c r="CI310" t="s">
        <v>204</v>
      </c>
      <c r="CJ310" t="s">
        <v>204</v>
      </c>
      <c r="CK310" t="s">
        <v>204</v>
      </c>
      <c r="CL310" t="s">
        <v>204</v>
      </c>
      <c r="CM310" t="s">
        <v>204</v>
      </c>
      <c r="CN310" t="s">
        <v>203</v>
      </c>
      <c r="CO310" t="s">
        <v>203</v>
      </c>
      <c r="CP310" t="s">
        <v>203</v>
      </c>
      <c r="CQ310" t="s">
        <v>203</v>
      </c>
      <c r="CR310" t="s">
        <v>203</v>
      </c>
      <c r="CS310" t="s">
        <v>203</v>
      </c>
      <c r="CT310" t="s">
        <v>203</v>
      </c>
      <c r="CU310" t="s">
        <v>203</v>
      </c>
      <c r="CV310">
        <v>0</v>
      </c>
      <c r="CW310">
        <v>0</v>
      </c>
      <c r="CX310" t="s">
        <v>198</v>
      </c>
      <c r="CY310" t="s">
        <v>198</v>
      </c>
      <c r="CZ310" t="s">
        <v>198</v>
      </c>
      <c r="DA310" t="s">
        <v>198</v>
      </c>
      <c r="DB310" t="s">
        <v>198</v>
      </c>
      <c r="DC310">
        <v>0</v>
      </c>
      <c r="DD310">
        <v>0</v>
      </c>
      <c r="DE310">
        <v>0</v>
      </c>
      <c r="DF310">
        <v>0</v>
      </c>
      <c r="DG310">
        <v>-35.3631166</v>
      </c>
      <c r="DH310">
        <v>149.1639735</v>
      </c>
      <c r="DI310" t="s">
        <v>360</v>
      </c>
      <c r="DJ310">
        <v>1.2</v>
      </c>
      <c r="DK310">
        <v>2</v>
      </c>
      <c r="DL310">
        <v>159.8</v>
      </c>
      <c r="DM310">
        <v>0</v>
      </c>
      <c r="DN310">
        <v>6</v>
      </c>
      <c r="DO310">
        <v>10</v>
      </c>
      <c r="DP310">
        <v>0</v>
      </c>
      <c r="DQ310">
        <v>255</v>
      </c>
      <c r="DR310">
        <v>255</v>
      </c>
      <c r="DS310">
        <v>255</v>
      </c>
      <c r="DT310">
        <v>255</v>
      </c>
      <c r="DU310">
        <v>255</v>
      </c>
      <c r="DV310">
        <v>255</v>
      </c>
      <c r="DW310">
        <v>255</v>
      </c>
      <c r="DX310" t="s">
        <v>206</v>
      </c>
      <c r="DY310" t="s">
        <v>206</v>
      </c>
      <c r="DZ310" t="s">
        <v>207</v>
      </c>
      <c r="EA310" t="s">
        <v>198</v>
      </c>
      <c r="EB310" t="s">
        <v>198</v>
      </c>
      <c r="EC310" t="s">
        <v>198</v>
      </c>
      <c r="ED310">
        <v>0</v>
      </c>
      <c r="EE310">
        <v>0</v>
      </c>
      <c r="EF310">
        <v>0</v>
      </c>
      <c r="EG310">
        <v>0</v>
      </c>
      <c r="EH310">
        <v>255</v>
      </c>
      <c r="EI310">
        <v>255</v>
      </c>
      <c r="EJ310">
        <v>255</v>
      </c>
      <c r="EK310">
        <v>255</v>
      </c>
      <c r="EL310">
        <v>255</v>
      </c>
      <c r="EM310">
        <v>255</v>
      </c>
      <c r="EN310">
        <v>255</v>
      </c>
      <c r="EO310">
        <v>255</v>
      </c>
      <c r="EP310">
        <v>255</v>
      </c>
      <c r="EQ310">
        <v>255</v>
      </c>
      <c r="ER310" t="s">
        <v>208</v>
      </c>
      <c r="ES310" t="s">
        <v>209</v>
      </c>
      <c r="ET310" t="s">
        <v>209</v>
      </c>
      <c r="EU310">
        <v>0</v>
      </c>
      <c r="EV310">
        <v>16.2</v>
      </c>
      <c r="EW310">
        <v>-114.7</v>
      </c>
      <c r="EX310">
        <v>-0.2</v>
      </c>
      <c r="EY310">
        <v>0</v>
      </c>
      <c r="EZ310">
        <v>0</v>
      </c>
      <c r="FA310">
        <v>0</v>
      </c>
      <c r="FB310" t="s">
        <v>198</v>
      </c>
      <c r="FC310" t="s">
        <v>198</v>
      </c>
      <c r="FD310" t="s">
        <v>198</v>
      </c>
      <c r="FE310" t="s">
        <v>198</v>
      </c>
      <c r="FF310" t="s">
        <v>198</v>
      </c>
      <c r="FG310" t="s">
        <v>198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203</v>
      </c>
      <c r="FP310" t="s">
        <v>203</v>
      </c>
      <c r="FQ310" t="s">
        <v>203</v>
      </c>
      <c r="FR310" t="s">
        <v>203</v>
      </c>
      <c r="FS310" t="s">
        <v>203</v>
      </c>
      <c r="FT310" t="s">
        <v>203</v>
      </c>
      <c r="FU310" t="s">
        <v>198</v>
      </c>
      <c r="FV310" t="s">
        <v>198</v>
      </c>
      <c r="FW310" t="s">
        <v>198</v>
      </c>
      <c r="FX310" t="s">
        <v>198</v>
      </c>
      <c r="FY310" t="s">
        <v>198</v>
      </c>
      <c r="FZ310" t="s">
        <v>198</v>
      </c>
      <c r="GA310">
        <v>31.2</v>
      </c>
      <c r="GB310">
        <v>31.2</v>
      </c>
      <c r="GC310" t="s">
        <v>203</v>
      </c>
      <c r="GD310">
        <v>0</v>
      </c>
      <c r="GE310">
        <v>504</v>
      </c>
      <c r="GF310">
        <v>0</v>
      </c>
      <c r="GG310">
        <v>0</v>
      </c>
      <c r="GH310">
        <v>0</v>
      </c>
      <c r="GI310">
        <v>1</v>
      </c>
      <c r="GJ310">
        <v>1</v>
      </c>
      <c r="GK310">
        <v>0</v>
      </c>
      <c r="GL310" t="s">
        <v>198</v>
      </c>
      <c r="GM310" t="s">
        <v>198</v>
      </c>
      <c r="GN310" t="s">
        <v>198</v>
      </c>
    </row>
    <row r="311" spans="1:196">
      <c r="A311" s="19">
        <v>46316.90748082176</v>
      </c>
      <c r="B311">
        <v>0</v>
      </c>
      <c r="C311">
        <v>0</v>
      </c>
      <c r="D311">
        <v>277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584.2</v>
      </c>
      <c r="N311">
        <v>-0.5</v>
      </c>
      <c r="O311">
        <v>0</v>
      </c>
      <c r="P311">
        <v>0</v>
      </c>
      <c r="Q311">
        <v>0</v>
      </c>
      <c r="R311">
        <v>0</v>
      </c>
      <c r="S311">
        <v>115.6</v>
      </c>
      <c r="T311" t="s">
        <v>485</v>
      </c>
      <c r="U311">
        <v>115.7</v>
      </c>
      <c r="V311">
        <v>1762727256586.8</v>
      </c>
      <c r="W311">
        <v>1</v>
      </c>
      <c r="X311" t="s">
        <v>197</v>
      </c>
      <c r="Y311">
        <v>0</v>
      </c>
      <c r="Z311">
        <v>98</v>
      </c>
      <c r="AA311">
        <v>278</v>
      </c>
      <c r="AB311" t="s">
        <v>197</v>
      </c>
      <c r="AC311" t="s">
        <v>198</v>
      </c>
      <c r="AD311" t="s">
        <v>199</v>
      </c>
      <c r="AE311">
        <v>0</v>
      </c>
      <c r="AF311">
        <v>45</v>
      </c>
      <c r="AG311">
        <v>255</v>
      </c>
      <c r="AH311">
        <v>0</v>
      </c>
      <c r="AI311">
        <v>0</v>
      </c>
      <c r="AJ311">
        <v>0</v>
      </c>
      <c r="AK311">
        <v>12.6</v>
      </c>
      <c r="AL311">
        <v>0</v>
      </c>
      <c r="AM311">
        <v>0</v>
      </c>
      <c r="AN311" t="s">
        <v>197</v>
      </c>
      <c r="AO311">
        <v>100</v>
      </c>
      <c r="AP311" t="s">
        <v>197</v>
      </c>
      <c r="AQ311" t="s">
        <v>200</v>
      </c>
      <c r="AR311">
        <v>1</v>
      </c>
      <c r="AS311">
        <v>0</v>
      </c>
      <c r="AT311" t="s">
        <v>657</v>
      </c>
      <c r="AU311" t="s">
        <v>657</v>
      </c>
      <c r="AV311" t="s">
        <v>202</v>
      </c>
      <c r="AW311" t="s">
        <v>203</v>
      </c>
      <c r="AX311" t="s">
        <v>203</v>
      </c>
      <c r="AY311" t="s">
        <v>203</v>
      </c>
      <c r="AZ311" t="s">
        <v>203</v>
      </c>
      <c r="BA311" t="s">
        <v>203</v>
      </c>
      <c r="BB311" t="s">
        <v>203</v>
      </c>
      <c r="BC311" t="s">
        <v>203</v>
      </c>
      <c r="BD311" t="s">
        <v>203</v>
      </c>
      <c r="BE311" t="s">
        <v>203</v>
      </c>
      <c r="BF311">
        <v>0</v>
      </c>
      <c r="BG311">
        <v>0.2</v>
      </c>
      <c r="BH311">
        <v>50</v>
      </c>
      <c r="BI311">
        <v>0</v>
      </c>
      <c r="BJ311" t="s">
        <v>198</v>
      </c>
      <c r="BK311" t="s">
        <v>198</v>
      </c>
      <c r="BL311" t="s">
        <v>198</v>
      </c>
      <c r="BM311" t="s">
        <v>198</v>
      </c>
      <c r="BN311" t="s">
        <v>198</v>
      </c>
      <c r="BO311" t="s">
        <v>198</v>
      </c>
      <c r="BP311" t="s">
        <v>198</v>
      </c>
      <c r="BQ311" t="s">
        <v>198</v>
      </c>
      <c r="BR311" t="s">
        <v>198</v>
      </c>
      <c r="BS311" t="s">
        <v>198</v>
      </c>
      <c r="BT311" t="s">
        <v>198</v>
      </c>
      <c r="BU311" t="s">
        <v>198</v>
      </c>
      <c r="BV311" t="s">
        <v>198</v>
      </c>
      <c r="BW311" t="s">
        <v>198</v>
      </c>
      <c r="BX311" t="s">
        <v>198</v>
      </c>
      <c r="BY311" t="s">
        <v>198</v>
      </c>
      <c r="BZ311" t="s">
        <v>198</v>
      </c>
      <c r="CA311" t="s">
        <v>198</v>
      </c>
      <c r="CB311" t="s">
        <v>204</v>
      </c>
      <c r="CC311" t="s">
        <v>204</v>
      </c>
      <c r="CD311" t="s">
        <v>204</v>
      </c>
      <c r="CE311" t="s">
        <v>204</v>
      </c>
      <c r="CF311" t="s">
        <v>204</v>
      </c>
      <c r="CG311" t="s">
        <v>204</v>
      </c>
      <c r="CH311" t="s">
        <v>204</v>
      </c>
      <c r="CI311" t="s">
        <v>204</v>
      </c>
      <c r="CJ311" t="s">
        <v>204</v>
      </c>
      <c r="CK311" t="s">
        <v>204</v>
      </c>
      <c r="CL311" t="s">
        <v>204</v>
      </c>
      <c r="CM311" t="s">
        <v>204</v>
      </c>
      <c r="CN311" t="s">
        <v>203</v>
      </c>
      <c r="CO311" t="s">
        <v>203</v>
      </c>
      <c r="CP311" t="s">
        <v>203</v>
      </c>
      <c r="CQ311" t="s">
        <v>203</v>
      </c>
      <c r="CR311" t="s">
        <v>203</v>
      </c>
      <c r="CS311" t="s">
        <v>203</v>
      </c>
      <c r="CT311" t="s">
        <v>203</v>
      </c>
      <c r="CU311" t="s">
        <v>203</v>
      </c>
      <c r="CV311">
        <v>0</v>
      </c>
      <c r="CW311">
        <v>0</v>
      </c>
      <c r="CX311" t="s">
        <v>198</v>
      </c>
      <c r="CY311" t="s">
        <v>198</v>
      </c>
      <c r="CZ311" t="s">
        <v>198</v>
      </c>
      <c r="DA311" t="s">
        <v>198</v>
      </c>
      <c r="DB311" t="s">
        <v>198</v>
      </c>
      <c r="DC311">
        <v>0</v>
      </c>
      <c r="DD311">
        <v>0</v>
      </c>
      <c r="DE311">
        <v>0</v>
      </c>
      <c r="DF311">
        <v>0</v>
      </c>
      <c r="DG311">
        <v>-35.3631166</v>
      </c>
      <c r="DH311">
        <v>149.1639735</v>
      </c>
      <c r="DI311" t="s">
        <v>360</v>
      </c>
      <c r="DJ311">
        <v>1.2</v>
      </c>
      <c r="DK311">
        <v>2</v>
      </c>
      <c r="DL311">
        <v>159.8</v>
      </c>
      <c r="DM311">
        <v>0</v>
      </c>
      <c r="DN311">
        <v>6</v>
      </c>
      <c r="DO311">
        <v>10</v>
      </c>
      <c r="DP311">
        <v>0</v>
      </c>
      <c r="DQ311">
        <v>255</v>
      </c>
      <c r="DR311">
        <v>255</v>
      </c>
      <c r="DS311">
        <v>255</v>
      </c>
      <c r="DT311">
        <v>255</v>
      </c>
      <c r="DU311">
        <v>255</v>
      </c>
      <c r="DV311">
        <v>255</v>
      </c>
      <c r="DW311">
        <v>255</v>
      </c>
      <c r="DX311" t="s">
        <v>206</v>
      </c>
      <c r="DY311" t="s">
        <v>206</v>
      </c>
      <c r="DZ311" t="s">
        <v>207</v>
      </c>
      <c r="EA311" t="s">
        <v>198</v>
      </c>
      <c r="EB311" t="s">
        <v>198</v>
      </c>
      <c r="EC311" t="s">
        <v>198</v>
      </c>
      <c r="ED311">
        <v>0</v>
      </c>
      <c r="EE311">
        <v>0</v>
      </c>
      <c r="EF311">
        <v>0</v>
      </c>
      <c r="EG311">
        <v>0</v>
      </c>
      <c r="EH311">
        <v>255</v>
      </c>
      <c r="EI311">
        <v>255</v>
      </c>
      <c r="EJ311">
        <v>255</v>
      </c>
      <c r="EK311">
        <v>255</v>
      </c>
      <c r="EL311">
        <v>255</v>
      </c>
      <c r="EM311">
        <v>255</v>
      </c>
      <c r="EN311">
        <v>255</v>
      </c>
      <c r="EO311">
        <v>255</v>
      </c>
      <c r="EP311">
        <v>255</v>
      </c>
      <c r="EQ311">
        <v>255</v>
      </c>
      <c r="ER311" t="s">
        <v>208</v>
      </c>
      <c r="ES311" t="s">
        <v>209</v>
      </c>
      <c r="ET311" t="s">
        <v>209</v>
      </c>
      <c r="EU311">
        <v>0</v>
      </c>
      <c r="EV311">
        <v>16.2</v>
      </c>
      <c r="EW311">
        <v>-114.7</v>
      </c>
      <c r="EX311">
        <v>-0.2</v>
      </c>
      <c r="EY311">
        <v>0</v>
      </c>
      <c r="EZ311">
        <v>0</v>
      </c>
      <c r="FA311">
        <v>0</v>
      </c>
      <c r="FB311" t="s">
        <v>198</v>
      </c>
      <c r="FC311" t="s">
        <v>198</v>
      </c>
      <c r="FD311" t="s">
        <v>198</v>
      </c>
      <c r="FE311" t="s">
        <v>198</v>
      </c>
      <c r="FF311" t="s">
        <v>198</v>
      </c>
      <c r="FG311" t="s">
        <v>198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203</v>
      </c>
      <c r="FP311" t="s">
        <v>203</v>
      </c>
      <c r="FQ311" t="s">
        <v>203</v>
      </c>
      <c r="FR311" t="s">
        <v>203</v>
      </c>
      <c r="FS311" t="s">
        <v>203</v>
      </c>
      <c r="FT311" t="s">
        <v>203</v>
      </c>
      <c r="FU311" t="s">
        <v>198</v>
      </c>
      <c r="FV311" t="s">
        <v>198</v>
      </c>
      <c r="FW311" t="s">
        <v>198</v>
      </c>
      <c r="FX311" t="s">
        <v>198</v>
      </c>
      <c r="FY311" t="s">
        <v>198</v>
      </c>
      <c r="FZ311" t="s">
        <v>198</v>
      </c>
      <c r="GA311">
        <v>31.2</v>
      </c>
      <c r="GB311">
        <v>31.2</v>
      </c>
      <c r="GC311" t="s">
        <v>203</v>
      </c>
      <c r="GD311">
        <v>0</v>
      </c>
      <c r="GE311">
        <v>504</v>
      </c>
      <c r="GF311">
        <v>0</v>
      </c>
      <c r="GG311">
        <v>0</v>
      </c>
      <c r="GH311">
        <v>0</v>
      </c>
      <c r="GI311">
        <v>1</v>
      </c>
      <c r="GJ311">
        <v>1</v>
      </c>
      <c r="GK311">
        <v>0</v>
      </c>
      <c r="GL311" t="s">
        <v>198</v>
      </c>
      <c r="GM311" t="s">
        <v>198</v>
      </c>
      <c r="GN311" t="s">
        <v>198</v>
      </c>
    </row>
    <row r="312" spans="1:196">
      <c r="A312" s="19">
        <v>46316.90749239583</v>
      </c>
      <c r="B312">
        <v>0</v>
      </c>
      <c r="C312">
        <v>0</v>
      </c>
      <c r="D312">
        <v>277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584.2</v>
      </c>
      <c r="N312">
        <v>-0.5</v>
      </c>
      <c r="O312">
        <v>0</v>
      </c>
      <c r="P312">
        <v>0</v>
      </c>
      <c r="Q312">
        <v>0</v>
      </c>
      <c r="R312">
        <v>0</v>
      </c>
      <c r="S312">
        <v>115.6</v>
      </c>
      <c r="T312" t="s">
        <v>485</v>
      </c>
      <c r="U312">
        <v>115.7</v>
      </c>
      <c r="V312">
        <v>1762727256586.8</v>
      </c>
      <c r="W312">
        <v>1</v>
      </c>
      <c r="X312" t="s">
        <v>197</v>
      </c>
      <c r="Y312">
        <v>0</v>
      </c>
      <c r="Z312">
        <v>98</v>
      </c>
      <c r="AA312">
        <v>278</v>
      </c>
      <c r="AB312" t="s">
        <v>197</v>
      </c>
      <c r="AC312" t="s">
        <v>198</v>
      </c>
      <c r="AD312" t="s">
        <v>199</v>
      </c>
      <c r="AE312">
        <v>0</v>
      </c>
      <c r="AF312">
        <v>45</v>
      </c>
      <c r="AG312">
        <v>255</v>
      </c>
      <c r="AH312">
        <v>0</v>
      </c>
      <c r="AI312">
        <v>0</v>
      </c>
      <c r="AJ312">
        <v>0</v>
      </c>
      <c r="AK312">
        <v>12.6</v>
      </c>
      <c r="AL312">
        <v>0</v>
      </c>
      <c r="AM312">
        <v>0</v>
      </c>
      <c r="AN312" t="s">
        <v>197</v>
      </c>
      <c r="AO312">
        <v>100</v>
      </c>
      <c r="AP312" t="s">
        <v>197</v>
      </c>
      <c r="AQ312" t="s">
        <v>200</v>
      </c>
      <c r="AR312">
        <v>1</v>
      </c>
      <c r="AS312">
        <v>0</v>
      </c>
      <c r="AT312" t="s">
        <v>658</v>
      </c>
      <c r="AU312" t="s">
        <v>658</v>
      </c>
      <c r="AV312" t="s">
        <v>202</v>
      </c>
      <c r="AW312" t="s">
        <v>203</v>
      </c>
      <c r="AX312" t="s">
        <v>203</v>
      </c>
      <c r="AY312" t="s">
        <v>203</v>
      </c>
      <c r="AZ312" t="s">
        <v>203</v>
      </c>
      <c r="BA312" t="s">
        <v>203</v>
      </c>
      <c r="BB312" t="s">
        <v>203</v>
      </c>
      <c r="BC312" t="s">
        <v>203</v>
      </c>
      <c r="BD312" t="s">
        <v>203</v>
      </c>
      <c r="BE312" t="s">
        <v>203</v>
      </c>
      <c r="BF312">
        <v>0</v>
      </c>
      <c r="BG312">
        <v>0.2</v>
      </c>
      <c r="BH312">
        <v>50</v>
      </c>
      <c r="BI312">
        <v>0</v>
      </c>
      <c r="BJ312" t="s">
        <v>198</v>
      </c>
      <c r="BK312" t="s">
        <v>198</v>
      </c>
      <c r="BL312" t="s">
        <v>198</v>
      </c>
      <c r="BM312" t="s">
        <v>198</v>
      </c>
      <c r="BN312" t="s">
        <v>198</v>
      </c>
      <c r="BO312" t="s">
        <v>198</v>
      </c>
      <c r="BP312" t="s">
        <v>198</v>
      </c>
      <c r="BQ312" t="s">
        <v>198</v>
      </c>
      <c r="BR312" t="s">
        <v>198</v>
      </c>
      <c r="BS312" t="s">
        <v>198</v>
      </c>
      <c r="BT312" t="s">
        <v>198</v>
      </c>
      <c r="BU312" t="s">
        <v>198</v>
      </c>
      <c r="BV312" t="s">
        <v>198</v>
      </c>
      <c r="BW312" t="s">
        <v>198</v>
      </c>
      <c r="BX312" t="s">
        <v>198</v>
      </c>
      <c r="BY312" t="s">
        <v>198</v>
      </c>
      <c r="BZ312" t="s">
        <v>198</v>
      </c>
      <c r="CA312" t="s">
        <v>198</v>
      </c>
      <c r="CB312" t="s">
        <v>204</v>
      </c>
      <c r="CC312" t="s">
        <v>204</v>
      </c>
      <c r="CD312" t="s">
        <v>204</v>
      </c>
      <c r="CE312" t="s">
        <v>204</v>
      </c>
      <c r="CF312" t="s">
        <v>204</v>
      </c>
      <c r="CG312" t="s">
        <v>204</v>
      </c>
      <c r="CH312" t="s">
        <v>204</v>
      </c>
      <c r="CI312" t="s">
        <v>204</v>
      </c>
      <c r="CJ312" t="s">
        <v>204</v>
      </c>
      <c r="CK312" t="s">
        <v>204</v>
      </c>
      <c r="CL312" t="s">
        <v>204</v>
      </c>
      <c r="CM312" t="s">
        <v>204</v>
      </c>
      <c r="CN312" t="s">
        <v>203</v>
      </c>
      <c r="CO312" t="s">
        <v>203</v>
      </c>
      <c r="CP312" t="s">
        <v>203</v>
      </c>
      <c r="CQ312" t="s">
        <v>203</v>
      </c>
      <c r="CR312" t="s">
        <v>203</v>
      </c>
      <c r="CS312" t="s">
        <v>203</v>
      </c>
      <c r="CT312" t="s">
        <v>203</v>
      </c>
      <c r="CU312" t="s">
        <v>203</v>
      </c>
      <c r="CV312">
        <v>0</v>
      </c>
      <c r="CW312">
        <v>0</v>
      </c>
      <c r="CX312" t="s">
        <v>198</v>
      </c>
      <c r="CY312" t="s">
        <v>198</v>
      </c>
      <c r="CZ312" t="s">
        <v>198</v>
      </c>
      <c r="DA312" t="s">
        <v>198</v>
      </c>
      <c r="DB312" t="s">
        <v>198</v>
      </c>
      <c r="DC312">
        <v>0</v>
      </c>
      <c r="DD312">
        <v>0</v>
      </c>
      <c r="DE312">
        <v>0</v>
      </c>
      <c r="DF312">
        <v>0</v>
      </c>
      <c r="DG312">
        <v>-35.3631166</v>
      </c>
      <c r="DH312">
        <v>149.1639735</v>
      </c>
      <c r="DI312" t="s">
        <v>360</v>
      </c>
      <c r="DJ312">
        <v>1.2</v>
      </c>
      <c r="DK312">
        <v>2</v>
      </c>
      <c r="DL312">
        <v>159.8</v>
      </c>
      <c r="DM312">
        <v>0</v>
      </c>
      <c r="DN312">
        <v>6</v>
      </c>
      <c r="DO312">
        <v>10</v>
      </c>
      <c r="DP312">
        <v>0</v>
      </c>
      <c r="DQ312">
        <v>255</v>
      </c>
      <c r="DR312">
        <v>255</v>
      </c>
      <c r="DS312">
        <v>255</v>
      </c>
      <c r="DT312">
        <v>255</v>
      </c>
      <c r="DU312">
        <v>255</v>
      </c>
      <c r="DV312">
        <v>255</v>
      </c>
      <c r="DW312">
        <v>255</v>
      </c>
      <c r="DX312" t="s">
        <v>206</v>
      </c>
      <c r="DY312" t="s">
        <v>206</v>
      </c>
      <c r="DZ312" t="s">
        <v>207</v>
      </c>
      <c r="EA312" t="s">
        <v>198</v>
      </c>
      <c r="EB312" t="s">
        <v>198</v>
      </c>
      <c r="EC312" t="s">
        <v>198</v>
      </c>
      <c r="ED312">
        <v>0</v>
      </c>
      <c r="EE312">
        <v>0</v>
      </c>
      <c r="EF312">
        <v>0</v>
      </c>
      <c r="EG312">
        <v>0</v>
      </c>
      <c r="EH312">
        <v>255</v>
      </c>
      <c r="EI312">
        <v>255</v>
      </c>
      <c r="EJ312">
        <v>255</v>
      </c>
      <c r="EK312">
        <v>255</v>
      </c>
      <c r="EL312">
        <v>255</v>
      </c>
      <c r="EM312">
        <v>255</v>
      </c>
      <c r="EN312">
        <v>255</v>
      </c>
      <c r="EO312">
        <v>255</v>
      </c>
      <c r="EP312">
        <v>255</v>
      </c>
      <c r="EQ312">
        <v>255</v>
      </c>
      <c r="ER312" t="s">
        <v>208</v>
      </c>
      <c r="ES312" t="s">
        <v>209</v>
      </c>
      <c r="ET312" t="s">
        <v>209</v>
      </c>
      <c r="EU312">
        <v>0</v>
      </c>
      <c r="EV312">
        <v>16.2</v>
      </c>
      <c r="EW312">
        <v>-114.7</v>
      </c>
      <c r="EX312">
        <v>-0.2</v>
      </c>
      <c r="EY312">
        <v>0</v>
      </c>
      <c r="EZ312">
        <v>0</v>
      </c>
      <c r="FA312">
        <v>0</v>
      </c>
      <c r="FB312" t="s">
        <v>198</v>
      </c>
      <c r="FC312" t="s">
        <v>198</v>
      </c>
      <c r="FD312" t="s">
        <v>198</v>
      </c>
      <c r="FE312" t="s">
        <v>198</v>
      </c>
      <c r="FF312" t="s">
        <v>198</v>
      </c>
      <c r="FG312" t="s">
        <v>198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203</v>
      </c>
      <c r="FP312" t="s">
        <v>203</v>
      </c>
      <c r="FQ312" t="s">
        <v>203</v>
      </c>
      <c r="FR312" t="s">
        <v>203</v>
      </c>
      <c r="FS312" t="s">
        <v>203</v>
      </c>
      <c r="FT312" t="s">
        <v>203</v>
      </c>
      <c r="FU312" t="s">
        <v>198</v>
      </c>
      <c r="FV312" t="s">
        <v>198</v>
      </c>
      <c r="FW312" t="s">
        <v>198</v>
      </c>
      <c r="FX312" t="s">
        <v>198</v>
      </c>
      <c r="FY312" t="s">
        <v>198</v>
      </c>
      <c r="FZ312" t="s">
        <v>198</v>
      </c>
      <c r="GA312">
        <v>31.2</v>
      </c>
      <c r="GB312">
        <v>31.2</v>
      </c>
      <c r="GC312" t="s">
        <v>203</v>
      </c>
      <c r="GD312">
        <v>0</v>
      </c>
      <c r="GE312">
        <v>504</v>
      </c>
      <c r="GF312">
        <v>0</v>
      </c>
      <c r="GG312">
        <v>0</v>
      </c>
      <c r="GH312">
        <v>0</v>
      </c>
      <c r="GI312">
        <v>1</v>
      </c>
      <c r="GJ312">
        <v>1</v>
      </c>
      <c r="GK312">
        <v>0</v>
      </c>
      <c r="GL312" t="s">
        <v>198</v>
      </c>
      <c r="GM312" t="s">
        <v>198</v>
      </c>
      <c r="GN312" t="s">
        <v>198</v>
      </c>
    </row>
    <row r="313" spans="1:196">
      <c r="A313" s="19">
        <v>46316.90750399305</v>
      </c>
      <c r="B313">
        <v>0</v>
      </c>
      <c r="C313">
        <v>0</v>
      </c>
      <c r="D313">
        <v>277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584.2</v>
      </c>
      <c r="N313">
        <v>-0.5</v>
      </c>
      <c r="O313">
        <v>0</v>
      </c>
      <c r="P313">
        <v>0</v>
      </c>
      <c r="Q313">
        <v>0</v>
      </c>
      <c r="R313">
        <v>0</v>
      </c>
      <c r="S313">
        <v>115.6</v>
      </c>
      <c r="T313" t="s">
        <v>485</v>
      </c>
      <c r="U313">
        <v>115.7</v>
      </c>
      <c r="V313">
        <v>1762727256586.8</v>
      </c>
      <c r="W313">
        <v>1</v>
      </c>
      <c r="X313" t="s">
        <v>197</v>
      </c>
      <c r="Y313">
        <v>0</v>
      </c>
      <c r="Z313">
        <v>98</v>
      </c>
      <c r="AA313">
        <v>278</v>
      </c>
      <c r="AB313" t="s">
        <v>197</v>
      </c>
      <c r="AC313" t="s">
        <v>198</v>
      </c>
      <c r="AD313" t="s">
        <v>199</v>
      </c>
      <c r="AE313">
        <v>0</v>
      </c>
      <c r="AF313">
        <v>45</v>
      </c>
      <c r="AG313">
        <v>255</v>
      </c>
      <c r="AH313">
        <v>0</v>
      </c>
      <c r="AI313">
        <v>0</v>
      </c>
      <c r="AJ313">
        <v>0</v>
      </c>
      <c r="AK313">
        <v>12.6</v>
      </c>
      <c r="AL313">
        <v>0</v>
      </c>
      <c r="AM313">
        <v>0</v>
      </c>
      <c r="AN313" t="s">
        <v>197</v>
      </c>
      <c r="AO313">
        <v>100</v>
      </c>
      <c r="AP313" t="s">
        <v>197</v>
      </c>
      <c r="AQ313" t="s">
        <v>200</v>
      </c>
      <c r="AR313">
        <v>1</v>
      </c>
      <c r="AS313">
        <v>0</v>
      </c>
      <c r="AT313" t="s">
        <v>659</v>
      </c>
      <c r="AU313" t="s">
        <v>659</v>
      </c>
      <c r="AV313" t="s">
        <v>202</v>
      </c>
      <c r="AW313" t="s">
        <v>203</v>
      </c>
      <c r="AX313" t="s">
        <v>203</v>
      </c>
      <c r="AY313" t="s">
        <v>203</v>
      </c>
      <c r="AZ313" t="s">
        <v>203</v>
      </c>
      <c r="BA313" t="s">
        <v>203</v>
      </c>
      <c r="BB313" t="s">
        <v>203</v>
      </c>
      <c r="BC313" t="s">
        <v>203</v>
      </c>
      <c r="BD313" t="s">
        <v>203</v>
      </c>
      <c r="BE313" t="s">
        <v>203</v>
      </c>
      <c r="BF313">
        <v>0</v>
      </c>
      <c r="BG313">
        <v>0.2</v>
      </c>
      <c r="BH313">
        <v>50</v>
      </c>
      <c r="BI313">
        <v>0</v>
      </c>
      <c r="BJ313" t="s">
        <v>198</v>
      </c>
      <c r="BK313" t="s">
        <v>198</v>
      </c>
      <c r="BL313" t="s">
        <v>198</v>
      </c>
      <c r="BM313" t="s">
        <v>198</v>
      </c>
      <c r="BN313" t="s">
        <v>198</v>
      </c>
      <c r="BO313" t="s">
        <v>198</v>
      </c>
      <c r="BP313" t="s">
        <v>198</v>
      </c>
      <c r="BQ313" t="s">
        <v>198</v>
      </c>
      <c r="BR313" t="s">
        <v>198</v>
      </c>
      <c r="BS313" t="s">
        <v>198</v>
      </c>
      <c r="BT313" t="s">
        <v>198</v>
      </c>
      <c r="BU313" t="s">
        <v>198</v>
      </c>
      <c r="BV313" t="s">
        <v>198</v>
      </c>
      <c r="BW313" t="s">
        <v>198</v>
      </c>
      <c r="BX313" t="s">
        <v>198</v>
      </c>
      <c r="BY313" t="s">
        <v>198</v>
      </c>
      <c r="BZ313" t="s">
        <v>198</v>
      </c>
      <c r="CA313" t="s">
        <v>198</v>
      </c>
      <c r="CB313" t="s">
        <v>204</v>
      </c>
      <c r="CC313" t="s">
        <v>204</v>
      </c>
      <c r="CD313" t="s">
        <v>204</v>
      </c>
      <c r="CE313" t="s">
        <v>204</v>
      </c>
      <c r="CF313" t="s">
        <v>204</v>
      </c>
      <c r="CG313" t="s">
        <v>204</v>
      </c>
      <c r="CH313" t="s">
        <v>204</v>
      </c>
      <c r="CI313" t="s">
        <v>204</v>
      </c>
      <c r="CJ313" t="s">
        <v>204</v>
      </c>
      <c r="CK313" t="s">
        <v>204</v>
      </c>
      <c r="CL313" t="s">
        <v>204</v>
      </c>
      <c r="CM313" t="s">
        <v>204</v>
      </c>
      <c r="CN313" t="s">
        <v>203</v>
      </c>
      <c r="CO313" t="s">
        <v>203</v>
      </c>
      <c r="CP313" t="s">
        <v>203</v>
      </c>
      <c r="CQ313" t="s">
        <v>203</v>
      </c>
      <c r="CR313" t="s">
        <v>203</v>
      </c>
      <c r="CS313" t="s">
        <v>203</v>
      </c>
      <c r="CT313" t="s">
        <v>203</v>
      </c>
      <c r="CU313" t="s">
        <v>203</v>
      </c>
      <c r="CV313">
        <v>0</v>
      </c>
      <c r="CW313">
        <v>0</v>
      </c>
      <c r="CX313" t="s">
        <v>198</v>
      </c>
      <c r="CY313" t="s">
        <v>198</v>
      </c>
      <c r="CZ313" t="s">
        <v>198</v>
      </c>
      <c r="DA313" t="s">
        <v>198</v>
      </c>
      <c r="DB313" t="s">
        <v>198</v>
      </c>
      <c r="DC313">
        <v>0</v>
      </c>
      <c r="DD313">
        <v>0</v>
      </c>
      <c r="DE313">
        <v>0</v>
      </c>
      <c r="DF313">
        <v>0</v>
      </c>
      <c r="DG313">
        <v>-35.3631166</v>
      </c>
      <c r="DH313">
        <v>149.1639735</v>
      </c>
      <c r="DI313" t="s">
        <v>360</v>
      </c>
      <c r="DJ313">
        <v>1.2</v>
      </c>
      <c r="DK313">
        <v>2</v>
      </c>
      <c r="DL313">
        <v>159.8</v>
      </c>
      <c r="DM313">
        <v>0</v>
      </c>
      <c r="DN313">
        <v>6</v>
      </c>
      <c r="DO313">
        <v>10</v>
      </c>
      <c r="DP313">
        <v>0</v>
      </c>
      <c r="DQ313">
        <v>255</v>
      </c>
      <c r="DR313">
        <v>255</v>
      </c>
      <c r="DS313">
        <v>255</v>
      </c>
      <c r="DT313">
        <v>255</v>
      </c>
      <c r="DU313">
        <v>255</v>
      </c>
      <c r="DV313">
        <v>255</v>
      </c>
      <c r="DW313">
        <v>255</v>
      </c>
      <c r="DX313" t="s">
        <v>206</v>
      </c>
      <c r="DY313" t="s">
        <v>206</v>
      </c>
      <c r="DZ313" t="s">
        <v>207</v>
      </c>
      <c r="EA313" t="s">
        <v>198</v>
      </c>
      <c r="EB313" t="s">
        <v>198</v>
      </c>
      <c r="EC313" t="s">
        <v>198</v>
      </c>
      <c r="ED313">
        <v>0</v>
      </c>
      <c r="EE313">
        <v>0</v>
      </c>
      <c r="EF313">
        <v>0</v>
      </c>
      <c r="EG313">
        <v>0</v>
      </c>
      <c r="EH313">
        <v>255</v>
      </c>
      <c r="EI313">
        <v>255</v>
      </c>
      <c r="EJ313">
        <v>255</v>
      </c>
      <c r="EK313">
        <v>255</v>
      </c>
      <c r="EL313">
        <v>255</v>
      </c>
      <c r="EM313">
        <v>255</v>
      </c>
      <c r="EN313">
        <v>255</v>
      </c>
      <c r="EO313">
        <v>255</v>
      </c>
      <c r="EP313">
        <v>255</v>
      </c>
      <c r="EQ313">
        <v>255</v>
      </c>
      <c r="ER313" t="s">
        <v>208</v>
      </c>
      <c r="ES313" t="s">
        <v>209</v>
      </c>
      <c r="ET313" t="s">
        <v>209</v>
      </c>
      <c r="EU313">
        <v>0</v>
      </c>
      <c r="EV313">
        <v>16.2</v>
      </c>
      <c r="EW313">
        <v>-114.7</v>
      </c>
      <c r="EX313">
        <v>-0.2</v>
      </c>
      <c r="EY313">
        <v>0</v>
      </c>
      <c r="EZ313">
        <v>0</v>
      </c>
      <c r="FA313">
        <v>0</v>
      </c>
      <c r="FB313" t="s">
        <v>198</v>
      </c>
      <c r="FC313" t="s">
        <v>198</v>
      </c>
      <c r="FD313" t="s">
        <v>198</v>
      </c>
      <c r="FE313" t="s">
        <v>198</v>
      </c>
      <c r="FF313" t="s">
        <v>198</v>
      </c>
      <c r="FG313" t="s">
        <v>198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203</v>
      </c>
      <c r="FP313" t="s">
        <v>203</v>
      </c>
      <c r="FQ313" t="s">
        <v>203</v>
      </c>
      <c r="FR313" t="s">
        <v>203</v>
      </c>
      <c r="FS313" t="s">
        <v>203</v>
      </c>
      <c r="FT313" t="s">
        <v>203</v>
      </c>
      <c r="FU313" t="s">
        <v>198</v>
      </c>
      <c r="FV313" t="s">
        <v>198</v>
      </c>
      <c r="FW313" t="s">
        <v>198</v>
      </c>
      <c r="FX313" t="s">
        <v>198</v>
      </c>
      <c r="FY313" t="s">
        <v>198</v>
      </c>
      <c r="FZ313" t="s">
        <v>198</v>
      </c>
      <c r="GA313">
        <v>31.2</v>
      </c>
      <c r="GB313">
        <v>31.2</v>
      </c>
      <c r="GC313" t="s">
        <v>203</v>
      </c>
      <c r="GD313">
        <v>0</v>
      </c>
      <c r="GE313">
        <v>504</v>
      </c>
      <c r="GF313">
        <v>0</v>
      </c>
      <c r="GG313">
        <v>0</v>
      </c>
      <c r="GH313">
        <v>0</v>
      </c>
      <c r="GI313">
        <v>1</v>
      </c>
      <c r="GJ313">
        <v>1</v>
      </c>
      <c r="GK313">
        <v>0</v>
      </c>
      <c r="GL313" t="s">
        <v>198</v>
      </c>
      <c r="GM313" t="s">
        <v>198</v>
      </c>
      <c r="GN313" t="s">
        <v>198</v>
      </c>
    </row>
    <row r="314" spans="1:196">
      <c r="A314" s="19">
        <v>46316.90751554398</v>
      </c>
      <c r="B314">
        <v>0</v>
      </c>
      <c r="C314">
        <v>0</v>
      </c>
      <c r="D314">
        <v>277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584.2</v>
      </c>
      <c r="N314">
        <v>-0.5</v>
      </c>
      <c r="O314">
        <v>0</v>
      </c>
      <c r="P314">
        <v>0</v>
      </c>
      <c r="Q314">
        <v>0</v>
      </c>
      <c r="R314">
        <v>0</v>
      </c>
      <c r="S314">
        <v>115.6</v>
      </c>
      <c r="T314" t="s">
        <v>485</v>
      </c>
      <c r="U314">
        <v>115.7</v>
      </c>
      <c r="V314">
        <v>1762727256586.8</v>
      </c>
      <c r="W314">
        <v>1</v>
      </c>
      <c r="X314" t="s">
        <v>197</v>
      </c>
      <c r="Y314">
        <v>0</v>
      </c>
      <c r="Z314">
        <v>98</v>
      </c>
      <c r="AA314">
        <v>278</v>
      </c>
      <c r="AB314" t="s">
        <v>197</v>
      </c>
      <c r="AC314" t="s">
        <v>198</v>
      </c>
      <c r="AD314" t="s">
        <v>199</v>
      </c>
      <c r="AE314">
        <v>0</v>
      </c>
      <c r="AF314">
        <v>45</v>
      </c>
      <c r="AG314">
        <v>255</v>
      </c>
      <c r="AH314">
        <v>0</v>
      </c>
      <c r="AI314">
        <v>0</v>
      </c>
      <c r="AJ314">
        <v>0</v>
      </c>
      <c r="AK314">
        <v>12.6</v>
      </c>
      <c r="AL314">
        <v>0</v>
      </c>
      <c r="AM314">
        <v>0</v>
      </c>
      <c r="AN314" t="s">
        <v>197</v>
      </c>
      <c r="AO314">
        <v>100</v>
      </c>
      <c r="AP314" t="s">
        <v>197</v>
      </c>
      <c r="AQ314" t="s">
        <v>200</v>
      </c>
      <c r="AR314">
        <v>1</v>
      </c>
      <c r="AS314">
        <v>0</v>
      </c>
      <c r="AT314" t="s">
        <v>660</v>
      </c>
      <c r="AU314" t="s">
        <v>660</v>
      </c>
      <c r="AV314" t="s">
        <v>202</v>
      </c>
      <c r="AW314" t="s">
        <v>203</v>
      </c>
      <c r="AX314" t="s">
        <v>203</v>
      </c>
      <c r="AY314" t="s">
        <v>203</v>
      </c>
      <c r="AZ314" t="s">
        <v>203</v>
      </c>
      <c r="BA314" t="s">
        <v>203</v>
      </c>
      <c r="BB314" t="s">
        <v>203</v>
      </c>
      <c r="BC314" t="s">
        <v>203</v>
      </c>
      <c r="BD314" t="s">
        <v>203</v>
      </c>
      <c r="BE314" t="s">
        <v>203</v>
      </c>
      <c r="BF314">
        <v>0</v>
      </c>
      <c r="BG314">
        <v>0.2</v>
      </c>
      <c r="BH314">
        <v>50</v>
      </c>
      <c r="BI314">
        <v>0</v>
      </c>
      <c r="BJ314" t="s">
        <v>198</v>
      </c>
      <c r="BK314" t="s">
        <v>198</v>
      </c>
      <c r="BL314" t="s">
        <v>198</v>
      </c>
      <c r="BM314" t="s">
        <v>198</v>
      </c>
      <c r="BN314" t="s">
        <v>198</v>
      </c>
      <c r="BO314" t="s">
        <v>198</v>
      </c>
      <c r="BP314" t="s">
        <v>198</v>
      </c>
      <c r="BQ314" t="s">
        <v>198</v>
      </c>
      <c r="BR314" t="s">
        <v>198</v>
      </c>
      <c r="BS314" t="s">
        <v>198</v>
      </c>
      <c r="BT314" t="s">
        <v>198</v>
      </c>
      <c r="BU314" t="s">
        <v>198</v>
      </c>
      <c r="BV314" t="s">
        <v>198</v>
      </c>
      <c r="BW314" t="s">
        <v>198</v>
      </c>
      <c r="BX314" t="s">
        <v>198</v>
      </c>
      <c r="BY314" t="s">
        <v>198</v>
      </c>
      <c r="BZ314" t="s">
        <v>198</v>
      </c>
      <c r="CA314" t="s">
        <v>198</v>
      </c>
      <c r="CB314" t="s">
        <v>204</v>
      </c>
      <c r="CC314" t="s">
        <v>204</v>
      </c>
      <c r="CD314" t="s">
        <v>204</v>
      </c>
      <c r="CE314" t="s">
        <v>204</v>
      </c>
      <c r="CF314" t="s">
        <v>204</v>
      </c>
      <c r="CG314" t="s">
        <v>204</v>
      </c>
      <c r="CH314" t="s">
        <v>204</v>
      </c>
      <c r="CI314" t="s">
        <v>204</v>
      </c>
      <c r="CJ314" t="s">
        <v>204</v>
      </c>
      <c r="CK314" t="s">
        <v>204</v>
      </c>
      <c r="CL314" t="s">
        <v>204</v>
      </c>
      <c r="CM314" t="s">
        <v>204</v>
      </c>
      <c r="CN314" t="s">
        <v>203</v>
      </c>
      <c r="CO314" t="s">
        <v>203</v>
      </c>
      <c r="CP314" t="s">
        <v>203</v>
      </c>
      <c r="CQ314" t="s">
        <v>203</v>
      </c>
      <c r="CR314" t="s">
        <v>203</v>
      </c>
      <c r="CS314" t="s">
        <v>203</v>
      </c>
      <c r="CT314" t="s">
        <v>203</v>
      </c>
      <c r="CU314" t="s">
        <v>203</v>
      </c>
      <c r="CV314">
        <v>0</v>
      </c>
      <c r="CW314">
        <v>0</v>
      </c>
      <c r="CX314" t="s">
        <v>198</v>
      </c>
      <c r="CY314" t="s">
        <v>198</v>
      </c>
      <c r="CZ314" t="s">
        <v>198</v>
      </c>
      <c r="DA314" t="s">
        <v>198</v>
      </c>
      <c r="DB314" t="s">
        <v>198</v>
      </c>
      <c r="DC314">
        <v>0</v>
      </c>
      <c r="DD314">
        <v>0</v>
      </c>
      <c r="DE314">
        <v>0</v>
      </c>
      <c r="DF314">
        <v>0</v>
      </c>
      <c r="DG314">
        <v>-35.3631166</v>
      </c>
      <c r="DH314">
        <v>149.1639735</v>
      </c>
      <c r="DI314" t="s">
        <v>360</v>
      </c>
      <c r="DJ314">
        <v>1.2</v>
      </c>
      <c r="DK314">
        <v>2</v>
      </c>
      <c r="DL314">
        <v>159.8</v>
      </c>
      <c r="DM314">
        <v>0</v>
      </c>
      <c r="DN314">
        <v>6</v>
      </c>
      <c r="DO314">
        <v>10</v>
      </c>
      <c r="DP314">
        <v>0</v>
      </c>
      <c r="DQ314">
        <v>255</v>
      </c>
      <c r="DR314">
        <v>255</v>
      </c>
      <c r="DS314">
        <v>255</v>
      </c>
      <c r="DT314">
        <v>255</v>
      </c>
      <c r="DU314">
        <v>255</v>
      </c>
      <c r="DV314">
        <v>255</v>
      </c>
      <c r="DW314">
        <v>255</v>
      </c>
      <c r="DX314" t="s">
        <v>206</v>
      </c>
      <c r="DY314" t="s">
        <v>206</v>
      </c>
      <c r="DZ314" t="s">
        <v>207</v>
      </c>
      <c r="EA314" t="s">
        <v>198</v>
      </c>
      <c r="EB314" t="s">
        <v>198</v>
      </c>
      <c r="EC314" t="s">
        <v>198</v>
      </c>
      <c r="ED314">
        <v>0</v>
      </c>
      <c r="EE314">
        <v>0</v>
      </c>
      <c r="EF314">
        <v>0</v>
      </c>
      <c r="EG314">
        <v>0</v>
      </c>
      <c r="EH314">
        <v>255</v>
      </c>
      <c r="EI314">
        <v>255</v>
      </c>
      <c r="EJ314">
        <v>255</v>
      </c>
      <c r="EK314">
        <v>255</v>
      </c>
      <c r="EL314">
        <v>255</v>
      </c>
      <c r="EM314">
        <v>255</v>
      </c>
      <c r="EN314">
        <v>255</v>
      </c>
      <c r="EO314">
        <v>255</v>
      </c>
      <c r="EP314">
        <v>255</v>
      </c>
      <c r="EQ314">
        <v>255</v>
      </c>
      <c r="ER314" t="s">
        <v>208</v>
      </c>
      <c r="ES314" t="s">
        <v>209</v>
      </c>
      <c r="ET314" t="s">
        <v>209</v>
      </c>
      <c r="EU314">
        <v>0</v>
      </c>
      <c r="EV314">
        <v>16.2</v>
      </c>
      <c r="EW314">
        <v>-114.7</v>
      </c>
      <c r="EX314">
        <v>-0.2</v>
      </c>
      <c r="EY314">
        <v>0</v>
      </c>
      <c r="EZ314">
        <v>0</v>
      </c>
      <c r="FA314">
        <v>0</v>
      </c>
      <c r="FB314" t="s">
        <v>198</v>
      </c>
      <c r="FC314" t="s">
        <v>198</v>
      </c>
      <c r="FD314" t="s">
        <v>198</v>
      </c>
      <c r="FE314" t="s">
        <v>198</v>
      </c>
      <c r="FF314" t="s">
        <v>198</v>
      </c>
      <c r="FG314" t="s">
        <v>198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203</v>
      </c>
      <c r="FP314" t="s">
        <v>203</v>
      </c>
      <c r="FQ314" t="s">
        <v>203</v>
      </c>
      <c r="FR314" t="s">
        <v>203</v>
      </c>
      <c r="FS314" t="s">
        <v>203</v>
      </c>
      <c r="FT314" t="s">
        <v>203</v>
      </c>
      <c r="FU314" t="s">
        <v>198</v>
      </c>
      <c r="FV314" t="s">
        <v>198</v>
      </c>
      <c r="FW314" t="s">
        <v>198</v>
      </c>
      <c r="FX314" t="s">
        <v>198</v>
      </c>
      <c r="FY314" t="s">
        <v>198</v>
      </c>
      <c r="FZ314" t="s">
        <v>198</v>
      </c>
      <c r="GA314">
        <v>31.2</v>
      </c>
      <c r="GB314">
        <v>31.2</v>
      </c>
      <c r="GC314" t="s">
        <v>203</v>
      </c>
      <c r="GD314">
        <v>0</v>
      </c>
      <c r="GE314">
        <v>504</v>
      </c>
      <c r="GF314">
        <v>0</v>
      </c>
      <c r="GG314">
        <v>0</v>
      </c>
      <c r="GH314">
        <v>0</v>
      </c>
      <c r="GI314">
        <v>1</v>
      </c>
      <c r="GJ314">
        <v>1</v>
      </c>
      <c r="GK314">
        <v>0</v>
      </c>
      <c r="GL314" t="s">
        <v>198</v>
      </c>
      <c r="GM314" t="s">
        <v>198</v>
      </c>
      <c r="GN314" t="s">
        <v>198</v>
      </c>
    </row>
    <row r="315" spans="1:196">
      <c r="A315" s="19">
        <v>46316.90752711806</v>
      </c>
      <c r="B315">
        <v>0</v>
      </c>
      <c r="C315">
        <v>0</v>
      </c>
      <c r="D315">
        <v>277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584.2</v>
      </c>
      <c r="N315">
        <v>-0.5</v>
      </c>
      <c r="O315">
        <v>0</v>
      </c>
      <c r="P315">
        <v>0</v>
      </c>
      <c r="Q315">
        <v>0</v>
      </c>
      <c r="R315">
        <v>0</v>
      </c>
      <c r="S315">
        <v>115.6</v>
      </c>
      <c r="T315" t="s">
        <v>485</v>
      </c>
      <c r="U315">
        <v>115.7</v>
      </c>
      <c r="V315">
        <v>1762727256586.8</v>
      </c>
      <c r="W315">
        <v>1</v>
      </c>
      <c r="X315" t="s">
        <v>197</v>
      </c>
      <c r="Y315">
        <v>0</v>
      </c>
      <c r="Z315">
        <v>98</v>
      </c>
      <c r="AA315">
        <v>278</v>
      </c>
      <c r="AB315" t="s">
        <v>197</v>
      </c>
      <c r="AC315" t="s">
        <v>198</v>
      </c>
      <c r="AD315" t="s">
        <v>199</v>
      </c>
      <c r="AE315">
        <v>0</v>
      </c>
      <c r="AF315">
        <v>45</v>
      </c>
      <c r="AG315">
        <v>255</v>
      </c>
      <c r="AH315">
        <v>0</v>
      </c>
      <c r="AI315">
        <v>0</v>
      </c>
      <c r="AJ315">
        <v>0</v>
      </c>
      <c r="AK315">
        <v>12.6</v>
      </c>
      <c r="AL315">
        <v>0</v>
      </c>
      <c r="AM315">
        <v>0</v>
      </c>
      <c r="AN315" t="s">
        <v>197</v>
      </c>
      <c r="AO315">
        <v>100</v>
      </c>
      <c r="AP315" t="s">
        <v>197</v>
      </c>
      <c r="AQ315" t="s">
        <v>200</v>
      </c>
      <c r="AR315">
        <v>1</v>
      </c>
      <c r="AS315">
        <v>0</v>
      </c>
      <c r="AT315" t="s">
        <v>661</v>
      </c>
      <c r="AU315" t="s">
        <v>661</v>
      </c>
      <c r="AV315" t="s">
        <v>202</v>
      </c>
      <c r="AW315" t="s">
        <v>203</v>
      </c>
      <c r="AX315" t="s">
        <v>203</v>
      </c>
      <c r="AY315" t="s">
        <v>203</v>
      </c>
      <c r="AZ315" t="s">
        <v>203</v>
      </c>
      <c r="BA315" t="s">
        <v>203</v>
      </c>
      <c r="BB315" t="s">
        <v>203</v>
      </c>
      <c r="BC315" t="s">
        <v>203</v>
      </c>
      <c r="BD315" t="s">
        <v>203</v>
      </c>
      <c r="BE315" t="s">
        <v>203</v>
      </c>
      <c r="BF315">
        <v>0</v>
      </c>
      <c r="BG315">
        <v>0.2</v>
      </c>
      <c r="BH315">
        <v>50</v>
      </c>
      <c r="BI315">
        <v>0</v>
      </c>
      <c r="BJ315" t="s">
        <v>198</v>
      </c>
      <c r="BK315" t="s">
        <v>198</v>
      </c>
      <c r="BL315" t="s">
        <v>198</v>
      </c>
      <c r="BM315" t="s">
        <v>198</v>
      </c>
      <c r="BN315" t="s">
        <v>198</v>
      </c>
      <c r="BO315" t="s">
        <v>198</v>
      </c>
      <c r="BP315" t="s">
        <v>198</v>
      </c>
      <c r="BQ315" t="s">
        <v>198</v>
      </c>
      <c r="BR315" t="s">
        <v>198</v>
      </c>
      <c r="BS315" t="s">
        <v>198</v>
      </c>
      <c r="BT315" t="s">
        <v>198</v>
      </c>
      <c r="BU315" t="s">
        <v>198</v>
      </c>
      <c r="BV315" t="s">
        <v>198</v>
      </c>
      <c r="BW315" t="s">
        <v>198</v>
      </c>
      <c r="BX315" t="s">
        <v>198</v>
      </c>
      <c r="BY315" t="s">
        <v>198</v>
      </c>
      <c r="BZ315" t="s">
        <v>198</v>
      </c>
      <c r="CA315" t="s">
        <v>198</v>
      </c>
      <c r="CB315" t="s">
        <v>204</v>
      </c>
      <c r="CC315" t="s">
        <v>204</v>
      </c>
      <c r="CD315" t="s">
        <v>204</v>
      </c>
      <c r="CE315" t="s">
        <v>204</v>
      </c>
      <c r="CF315" t="s">
        <v>204</v>
      </c>
      <c r="CG315" t="s">
        <v>204</v>
      </c>
      <c r="CH315" t="s">
        <v>204</v>
      </c>
      <c r="CI315" t="s">
        <v>204</v>
      </c>
      <c r="CJ315" t="s">
        <v>204</v>
      </c>
      <c r="CK315" t="s">
        <v>204</v>
      </c>
      <c r="CL315" t="s">
        <v>204</v>
      </c>
      <c r="CM315" t="s">
        <v>204</v>
      </c>
      <c r="CN315" t="s">
        <v>203</v>
      </c>
      <c r="CO315" t="s">
        <v>203</v>
      </c>
      <c r="CP315" t="s">
        <v>203</v>
      </c>
      <c r="CQ315" t="s">
        <v>203</v>
      </c>
      <c r="CR315" t="s">
        <v>203</v>
      </c>
      <c r="CS315" t="s">
        <v>203</v>
      </c>
      <c r="CT315" t="s">
        <v>203</v>
      </c>
      <c r="CU315" t="s">
        <v>203</v>
      </c>
      <c r="CV315">
        <v>0</v>
      </c>
      <c r="CW315">
        <v>0</v>
      </c>
      <c r="CX315" t="s">
        <v>198</v>
      </c>
      <c r="CY315" t="s">
        <v>198</v>
      </c>
      <c r="CZ315" t="s">
        <v>198</v>
      </c>
      <c r="DA315" t="s">
        <v>198</v>
      </c>
      <c r="DB315" t="s">
        <v>198</v>
      </c>
      <c r="DC315">
        <v>0</v>
      </c>
      <c r="DD315">
        <v>0</v>
      </c>
      <c r="DE315">
        <v>0</v>
      </c>
      <c r="DF315">
        <v>0</v>
      </c>
      <c r="DG315">
        <v>-35.3631166</v>
      </c>
      <c r="DH315">
        <v>149.1639735</v>
      </c>
      <c r="DI315" t="s">
        <v>360</v>
      </c>
      <c r="DJ315">
        <v>1.2</v>
      </c>
      <c r="DK315">
        <v>2</v>
      </c>
      <c r="DL315">
        <v>159.8</v>
      </c>
      <c r="DM315">
        <v>0</v>
      </c>
      <c r="DN315">
        <v>6</v>
      </c>
      <c r="DO315">
        <v>10</v>
      </c>
      <c r="DP315">
        <v>0</v>
      </c>
      <c r="DQ315">
        <v>255</v>
      </c>
      <c r="DR315">
        <v>255</v>
      </c>
      <c r="DS315">
        <v>255</v>
      </c>
      <c r="DT315">
        <v>255</v>
      </c>
      <c r="DU315">
        <v>255</v>
      </c>
      <c r="DV315">
        <v>255</v>
      </c>
      <c r="DW315">
        <v>255</v>
      </c>
      <c r="DX315" t="s">
        <v>206</v>
      </c>
      <c r="DY315" t="s">
        <v>206</v>
      </c>
      <c r="DZ315" t="s">
        <v>207</v>
      </c>
      <c r="EA315" t="s">
        <v>198</v>
      </c>
      <c r="EB315" t="s">
        <v>198</v>
      </c>
      <c r="EC315" t="s">
        <v>198</v>
      </c>
      <c r="ED315">
        <v>0</v>
      </c>
      <c r="EE315">
        <v>0</v>
      </c>
      <c r="EF315">
        <v>0</v>
      </c>
      <c r="EG315">
        <v>0</v>
      </c>
      <c r="EH315">
        <v>255</v>
      </c>
      <c r="EI315">
        <v>255</v>
      </c>
      <c r="EJ315">
        <v>255</v>
      </c>
      <c r="EK315">
        <v>255</v>
      </c>
      <c r="EL315">
        <v>255</v>
      </c>
      <c r="EM315">
        <v>255</v>
      </c>
      <c r="EN315">
        <v>255</v>
      </c>
      <c r="EO315">
        <v>255</v>
      </c>
      <c r="EP315">
        <v>255</v>
      </c>
      <c r="EQ315">
        <v>255</v>
      </c>
      <c r="ER315" t="s">
        <v>208</v>
      </c>
      <c r="ES315" t="s">
        <v>209</v>
      </c>
      <c r="ET315" t="s">
        <v>209</v>
      </c>
      <c r="EU315">
        <v>0</v>
      </c>
      <c r="EV315">
        <v>16.2</v>
      </c>
      <c r="EW315">
        <v>-114.7</v>
      </c>
      <c r="EX315">
        <v>-0.2</v>
      </c>
      <c r="EY315">
        <v>0</v>
      </c>
      <c r="EZ315">
        <v>0</v>
      </c>
      <c r="FA315">
        <v>0</v>
      </c>
      <c r="FB315" t="s">
        <v>198</v>
      </c>
      <c r="FC315" t="s">
        <v>198</v>
      </c>
      <c r="FD315" t="s">
        <v>198</v>
      </c>
      <c r="FE315" t="s">
        <v>198</v>
      </c>
      <c r="FF315" t="s">
        <v>198</v>
      </c>
      <c r="FG315" t="s">
        <v>198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203</v>
      </c>
      <c r="FP315" t="s">
        <v>203</v>
      </c>
      <c r="FQ315" t="s">
        <v>203</v>
      </c>
      <c r="FR315" t="s">
        <v>203</v>
      </c>
      <c r="FS315" t="s">
        <v>203</v>
      </c>
      <c r="FT315" t="s">
        <v>203</v>
      </c>
      <c r="FU315" t="s">
        <v>198</v>
      </c>
      <c r="FV315" t="s">
        <v>198</v>
      </c>
      <c r="FW315" t="s">
        <v>198</v>
      </c>
      <c r="FX315" t="s">
        <v>198</v>
      </c>
      <c r="FY315" t="s">
        <v>198</v>
      </c>
      <c r="FZ315" t="s">
        <v>198</v>
      </c>
      <c r="GA315">
        <v>31.2</v>
      </c>
      <c r="GB315">
        <v>31.2</v>
      </c>
      <c r="GC315" t="s">
        <v>203</v>
      </c>
      <c r="GD315">
        <v>0</v>
      </c>
      <c r="GE315">
        <v>504</v>
      </c>
      <c r="GF315">
        <v>0</v>
      </c>
      <c r="GG315">
        <v>0</v>
      </c>
      <c r="GH315">
        <v>0</v>
      </c>
      <c r="GI315">
        <v>1</v>
      </c>
      <c r="GJ315">
        <v>1</v>
      </c>
      <c r="GK315">
        <v>0</v>
      </c>
      <c r="GL315" t="s">
        <v>198</v>
      </c>
      <c r="GM315" t="s">
        <v>198</v>
      </c>
      <c r="GN315" t="s">
        <v>198</v>
      </c>
    </row>
    <row r="316" spans="1:196">
      <c r="A316" s="19">
        <v>46316.90753869213</v>
      </c>
      <c r="B316">
        <v>0</v>
      </c>
      <c r="C316">
        <v>0</v>
      </c>
      <c r="D316">
        <v>277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584.2</v>
      </c>
      <c r="N316">
        <v>-0.5</v>
      </c>
      <c r="O316">
        <v>0</v>
      </c>
      <c r="P316">
        <v>0</v>
      </c>
      <c r="Q316">
        <v>0</v>
      </c>
      <c r="R316">
        <v>0</v>
      </c>
      <c r="S316">
        <v>115.6</v>
      </c>
      <c r="T316" t="s">
        <v>485</v>
      </c>
      <c r="U316">
        <v>115.7</v>
      </c>
      <c r="V316">
        <v>1762727256586.8</v>
      </c>
      <c r="W316">
        <v>1</v>
      </c>
      <c r="X316" t="s">
        <v>197</v>
      </c>
      <c r="Y316">
        <v>0</v>
      </c>
      <c r="Z316">
        <v>98</v>
      </c>
      <c r="AA316">
        <v>278</v>
      </c>
      <c r="AB316" t="s">
        <v>197</v>
      </c>
      <c r="AC316" t="s">
        <v>198</v>
      </c>
      <c r="AD316" t="s">
        <v>199</v>
      </c>
      <c r="AE316">
        <v>0</v>
      </c>
      <c r="AF316">
        <v>45</v>
      </c>
      <c r="AG316">
        <v>255</v>
      </c>
      <c r="AH316">
        <v>0</v>
      </c>
      <c r="AI316">
        <v>0</v>
      </c>
      <c r="AJ316">
        <v>0</v>
      </c>
      <c r="AK316">
        <v>12.6</v>
      </c>
      <c r="AL316">
        <v>0</v>
      </c>
      <c r="AM316">
        <v>0</v>
      </c>
      <c r="AN316" t="s">
        <v>197</v>
      </c>
      <c r="AO316">
        <v>100</v>
      </c>
      <c r="AP316" t="s">
        <v>197</v>
      </c>
      <c r="AQ316" t="s">
        <v>200</v>
      </c>
      <c r="AR316">
        <v>1</v>
      </c>
      <c r="AS316">
        <v>0</v>
      </c>
      <c r="AT316" t="s">
        <v>662</v>
      </c>
      <c r="AU316" t="s">
        <v>662</v>
      </c>
      <c r="AV316" t="s">
        <v>202</v>
      </c>
      <c r="AW316" t="s">
        <v>203</v>
      </c>
      <c r="AX316" t="s">
        <v>203</v>
      </c>
      <c r="AY316" t="s">
        <v>203</v>
      </c>
      <c r="AZ316" t="s">
        <v>203</v>
      </c>
      <c r="BA316" t="s">
        <v>203</v>
      </c>
      <c r="BB316" t="s">
        <v>203</v>
      </c>
      <c r="BC316" t="s">
        <v>203</v>
      </c>
      <c r="BD316" t="s">
        <v>203</v>
      </c>
      <c r="BE316" t="s">
        <v>203</v>
      </c>
      <c r="BF316">
        <v>0</v>
      </c>
      <c r="BG316">
        <v>0.2</v>
      </c>
      <c r="BH316">
        <v>50</v>
      </c>
      <c r="BI316">
        <v>0</v>
      </c>
      <c r="BJ316" t="s">
        <v>198</v>
      </c>
      <c r="BK316" t="s">
        <v>198</v>
      </c>
      <c r="BL316" t="s">
        <v>198</v>
      </c>
      <c r="BM316" t="s">
        <v>198</v>
      </c>
      <c r="BN316" t="s">
        <v>198</v>
      </c>
      <c r="BO316" t="s">
        <v>198</v>
      </c>
      <c r="BP316" t="s">
        <v>198</v>
      </c>
      <c r="BQ316" t="s">
        <v>198</v>
      </c>
      <c r="BR316" t="s">
        <v>198</v>
      </c>
      <c r="BS316" t="s">
        <v>198</v>
      </c>
      <c r="BT316" t="s">
        <v>198</v>
      </c>
      <c r="BU316" t="s">
        <v>198</v>
      </c>
      <c r="BV316" t="s">
        <v>198</v>
      </c>
      <c r="BW316" t="s">
        <v>198</v>
      </c>
      <c r="BX316" t="s">
        <v>198</v>
      </c>
      <c r="BY316" t="s">
        <v>198</v>
      </c>
      <c r="BZ316" t="s">
        <v>198</v>
      </c>
      <c r="CA316" t="s">
        <v>198</v>
      </c>
      <c r="CB316" t="s">
        <v>204</v>
      </c>
      <c r="CC316" t="s">
        <v>204</v>
      </c>
      <c r="CD316" t="s">
        <v>204</v>
      </c>
      <c r="CE316" t="s">
        <v>204</v>
      </c>
      <c r="CF316" t="s">
        <v>204</v>
      </c>
      <c r="CG316" t="s">
        <v>204</v>
      </c>
      <c r="CH316" t="s">
        <v>204</v>
      </c>
      <c r="CI316" t="s">
        <v>204</v>
      </c>
      <c r="CJ316" t="s">
        <v>204</v>
      </c>
      <c r="CK316" t="s">
        <v>204</v>
      </c>
      <c r="CL316" t="s">
        <v>204</v>
      </c>
      <c r="CM316" t="s">
        <v>204</v>
      </c>
      <c r="CN316" t="s">
        <v>203</v>
      </c>
      <c r="CO316" t="s">
        <v>203</v>
      </c>
      <c r="CP316" t="s">
        <v>203</v>
      </c>
      <c r="CQ316" t="s">
        <v>203</v>
      </c>
      <c r="CR316" t="s">
        <v>203</v>
      </c>
      <c r="CS316" t="s">
        <v>203</v>
      </c>
      <c r="CT316" t="s">
        <v>203</v>
      </c>
      <c r="CU316" t="s">
        <v>203</v>
      </c>
      <c r="CV316">
        <v>0</v>
      </c>
      <c r="CW316">
        <v>0</v>
      </c>
      <c r="CX316" t="s">
        <v>198</v>
      </c>
      <c r="CY316" t="s">
        <v>198</v>
      </c>
      <c r="CZ316" t="s">
        <v>198</v>
      </c>
      <c r="DA316" t="s">
        <v>198</v>
      </c>
      <c r="DB316" t="s">
        <v>198</v>
      </c>
      <c r="DC316">
        <v>0</v>
      </c>
      <c r="DD316">
        <v>0</v>
      </c>
      <c r="DE316">
        <v>0</v>
      </c>
      <c r="DF316">
        <v>0</v>
      </c>
      <c r="DG316">
        <v>-35.3631166</v>
      </c>
      <c r="DH316">
        <v>149.1639735</v>
      </c>
      <c r="DI316" t="s">
        <v>360</v>
      </c>
      <c r="DJ316">
        <v>1.2</v>
      </c>
      <c r="DK316">
        <v>2</v>
      </c>
      <c r="DL316">
        <v>159.8</v>
      </c>
      <c r="DM316">
        <v>0</v>
      </c>
      <c r="DN316">
        <v>6</v>
      </c>
      <c r="DO316">
        <v>10</v>
      </c>
      <c r="DP316">
        <v>0</v>
      </c>
      <c r="DQ316">
        <v>255</v>
      </c>
      <c r="DR316">
        <v>255</v>
      </c>
      <c r="DS316">
        <v>255</v>
      </c>
      <c r="DT316">
        <v>255</v>
      </c>
      <c r="DU316">
        <v>255</v>
      </c>
      <c r="DV316">
        <v>255</v>
      </c>
      <c r="DW316">
        <v>255</v>
      </c>
      <c r="DX316" t="s">
        <v>206</v>
      </c>
      <c r="DY316" t="s">
        <v>206</v>
      </c>
      <c r="DZ316" t="s">
        <v>207</v>
      </c>
      <c r="EA316" t="s">
        <v>198</v>
      </c>
      <c r="EB316" t="s">
        <v>198</v>
      </c>
      <c r="EC316" t="s">
        <v>198</v>
      </c>
      <c r="ED316">
        <v>0</v>
      </c>
      <c r="EE316">
        <v>0</v>
      </c>
      <c r="EF316">
        <v>0</v>
      </c>
      <c r="EG316">
        <v>0</v>
      </c>
      <c r="EH316">
        <v>255</v>
      </c>
      <c r="EI316">
        <v>255</v>
      </c>
      <c r="EJ316">
        <v>255</v>
      </c>
      <c r="EK316">
        <v>255</v>
      </c>
      <c r="EL316">
        <v>255</v>
      </c>
      <c r="EM316">
        <v>255</v>
      </c>
      <c r="EN316">
        <v>255</v>
      </c>
      <c r="EO316">
        <v>255</v>
      </c>
      <c r="EP316">
        <v>255</v>
      </c>
      <c r="EQ316">
        <v>255</v>
      </c>
      <c r="ER316" t="s">
        <v>208</v>
      </c>
      <c r="ES316" t="s">
        <v>209</v>
      </c>
      <c r="ET316" t="s">
        <v>209</v>
      </c>
      <c r="EU316">
        <v>0</v>
      </c>
      <c r="EV316">
        <v>16.2</v>
      </c>
      <c r="EW316">
        <v>-114.7</v>
      </c>
      <c r="EX316">
        <v>-0.2</v>
      </c>
      <c r="EY316">
        <v>0</v>
      </c>
      <c r="EZ316">
        <v>0</v>
      </c>
      <c r="FA316">
        <v>0</v>
      </c>
      <c r="FB316" t="s">
        <v>198</v>
      </c>
      <c r="FC316" t="s">
        <v>198</v>
      </c>
      <c r="FD316" t="s">
        <v>198</v>
      </c>
      <c r="FE316" t="s">
        <v>198</v>
      </c>
      <c r="FF316" t="s">
        <v>198</v>
      </c>
      <c r="FG316" t="s">
        <v>198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203</v>
      </c>
      <c r="FP316" t="s">
        <v>203</v>
      </c>
      <c r="FQ316" t="s">
        <v>203</v>
      </c>
      <c r="FR316" t="s">
        <v>203</v>
      </c>
      <c r="FS316" t="s">
        <v>203</v>
      </c>
      <c r="FT316" t="s">
        <v>203</v>
      </c>
      <c r="FU316" t="s">
        <v>198</v>
      </c>
      <c r="FV316" t="s">
        <v>198</v>
      </c>
      <c r="FW316" t="s">
        <v>198</v>
      </c>
      <c r="FX316" t="s">
        <v>198</v>
      </c>
      <c r="FY316" t="s">
        <v>198</v>
      </c>
      <c r="FZ316" t="s">
        <v>198</v>
      </c>
      <c r="GA316">
        <v>31.2</v>
      </c>
      <c r="GB316">
        <v>31.2</v>
      </c>
      <c r="GC316" t="s">
        <v>203</v>
      </c>
      <c r="GD316">
        <v>0</v>
      </c>
      <c r="GE316">
        <v>504</v>
      </c>
      <c r="GF316">
        <v>0</v>
      </c>
      <c r="GG316">
        <v>0</v>
      </c>
      <c r="GH316">
        <v>0</v>
      </c>
      <c r="GI316">
        <v>1</v>
      </c>
      <c r="GJ316">
        <v>1</v>
      </c>
      <c r="GK316">
        <v>0</v>
      </c>
      <c r="GL316" t="s">
        <v>198</v>
      </c>
      <c r="GM316" t="s">
        <v>198</v>
      </c>
      <c r="GN316" t="s">
        <v>198</v>
      </c>
    </row>
    <row r="317" spans="1:196">
      <c r="A317" s="19">
        <v>46316.9075502662</v>
      </c>
      <c r="B317">
        <v>0</v>
      </c>
      <c r="C317">
        <v>0</v>
      </c>
      <c r="D317">
        <v>277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584.2</v>
      </c>
      <c r="N317">
        <v>-0.5</v>
      </c>
      <c r="O317">
        <v>0</v>
      </c>
      <c r="P317">
        <v>0</v>
      </c>
      <c r="Q317">
        <v>0</v>
      </c>
      <c r="R317">
        <v>0</v>
      </c>
      <c r="S317">
        <v>115.6</v>
      </c>
      <c r="T317" t="s">
        <v>485</v>
      </c>
      <c r="U317">
        <v>115.7</v>
      </c>
      <c r="V317">
        <v>1762727256586.8</v>
      </c>
      <c r="W317">
        <v>1</v>
      </c>
      <c r="X317" t="s">
        <v>197</v>
      </c>
      <c r="Y317">
        <v>0</v>
      </c>
      <c r="Z317">
        <v>98</v>
      </c>
      <c r="AA317">
        <v>278</v>
      </c>
      <c r="AB317" t="s">
        <v>197</v>
      </c>
      <c r="AC317" t="s">
        <v>198</v>
      </c>
      <c r="AD317" t="s">
        <v>199</v>
      </c>
      <c r="AE317">
        <v>0</v>
      </c>
      <c r="AF317">
        <v>45</v>
      </c>
      <c r="AG317">
        <v>255</v>
      </c>
      <c r="AH317">
        <v>0</v>
      </c>
      <c r="AI317">
        <v>0</v>
      </c>
      <c r="AJ317">
        <v>0</v>
      </c>
      <c r="AK317">
        <v>12.6</v>
      </c>
      <c r="AL317">
        <v>0</v>
      </c>
      <c r="AM317">
        <v>0</v>
      </c>
      <c r="AN317" t="s">
        <v>197</v>
      </c>
      <c r="AO317">
        <v>100</v>
      </c>
      <c r="AP317" t="s">
        <v>197</v>
      </c>
      <c r="AQ317" t="s">
        <v>200</v>
      </c>
      <c r="AR317">
        <v>1</v>
      </c>
      <c r="AS317">
        <v>0</v>
      </c>
      <c r="AT317" t="s">
        <v>663</v>
      </c>
      <c r="AU317" t="s">
        <v>663</v>
      </c>
      <c r="AV317" t="s">
        <v>202</v>
      </c>
      <c r="AW317" t="s">
        <v>203</v>
      </c>
      <c r="AX317" t="s">
        <v>203</v>
      </c>
      <c r="AY317" t="s">
        <v>203</v>
      </c>
      <c r="AZ317" t="s">
        <v>203</v>
      </c>
      <c r="BA317" t="s">
        <v>203</v>
      </c>
      <c r="BB317" t="s">
        <v>203</v>
      </c>
      <c r="BC317" t="s">
        <v>203</v>
      </c>
      <c r="BD317" t="s">
        <v>203</v>
      </c>
      <c r="BE317" t="s">
        <v>203</v>
      </c>
      <c r="BF317">
        <v>0</v>
      </c>
      <c r="BG317">
        <v>0.2</v>
      </c>
      <c r="BH317">
        <v>50</v>
      </c>
      <c r="BI317">
        <v>0</v>
      </c>
      <c r="BJ317" t="s">
        <v>198</v>
      </c>
      <c r="BK317" t="s">
        <v>198</v>
      </c>
      <c r="BL317" t="s">
        <v>198</v>
      </c>
      <c r="BM317" t="s">
        <v>198</v>
      </c>
      <c r="BN317" t="s">
        <v>198</v>
      </c>
      <c r="BO317" t="s">
        <v>198</v>
      </c>
      <c r="BP317" t="s">
        <v>198</v>
      </c>
      <c r="BQ317" t="s">
        <v>198</v>
      </c>
      <c r="BR317" t="s">
        <v>198</v>
      </c>
      <c r="BS317" t="s">
        <v>198</v>
      </c>
      <c r="BT317" t="s">
        <v>198</v>
      </c>
      <c r="BU317" t="s">
        <v>198</v>
      </c>
      <c r="BV317" t="s">
        <v>198</v>
      </c>
      <c r="BW317" t="s">
        <v>198</v>
      </c>
      <c r="BX317" t="s">
        <v>198</v>
      </c>
      <c r="BY317" t="s">
        <v>198</v>
      </c>
      <c r="BZ317" t="s">
        <v>198</v>
      </c>
      <c r="CA317" t="s">
        <v>198</v>
      </c>
      <c r="CB317" t="s">
        <v>204</v>
      </c>
      <c r="CC317" t="s">
        <v>204</v>
      </c>
      <c r="CD317" t="s">
        <v>204</v>
      </c>
      <c r="CE317" t="s">
        <v>204</v>
      </c>
      <c r="CF317" t="s">
        <v>204</v>
      </c>
      <c r="CG317" t="s">
        <v>204</v>
      </c>
      <c r="CH317" t="s">
        <v>204</v>
      </c>
      <c r="CI317" t="s">
        <v>204</v>
      </c>
      <c r="CJ317" t="s">
        <v>204</v>
      </c>
      <c r="CK317" t="s">
        <v>204</v>
      </c>
      <c r="CL317" t="s">
        <v>204</v>
      </c>
      <c r="CM317" t="s">
        <v>204</v>
      </c>
      <c r="CN317" t="s">
        <v>203</v>
      </c>
      <c r="CO317" t="s">
        <v>203</v>
      </c>
      <c r="CP317" t="s">
        <v>203</v>
      </c>
      <c r="CQ317" t="s">
        <v>203</v>
      </c>
      <c r="CR317" t="s">
        <v>203</v>
      </c>
      <c r="CS317" t="s">
        <v>203</v>
      </c>
      <c r="CT317" t="s">
        <v>203</v>
      </c>
      <c r="CU317" t="s">
        <v>203</v>
      </c>
      <c r="CV317">
        <v>0</v>
      </c>
      <c r="CW317">
        <v>0</v>
      </c>
      <c r="CX317" t="s">
        <v>198</v>
      </c>
      <c r="CY317" t="s">
        <v>198</v>
      </c>
      <c r="CZ317" t="s">
        <v>198</v>
      </c>
      <c r="DA317" t="s">
        <v>198</v>
      </c>
      <c r="DB317" t="s">
        <v>198</v>
      </c>
      <c r="DC317">
        <v>0</v>
      </c>
      <c r="DD317">
        <v>0</v>
      </c>
      <c r="DE317">
        <v>0</v>
      </c>
      <c r="DF317">
        <v>0</v>
      </c>
      <c r="DG317">
        <v>-35.3631166</v>
      </c>
      <c r="DH317">
        <v>149.1639735</v>
      </c>
      <c r="DI317" t="s">
        <v>360</v>
      </c>
      <c r="DJ317">
        <v>1.2</v>
      </c>
      <c r="DK317">
        <v>2</v>
      </c>
      <c r="DL317">
        <v>159.8</v>
      </c>
      <c r="DM317">
        <v>0</v>
      </c>
      <c r="DN317">
        <v>6</v>
      </c>
      <c r="DO317">
        <v>10</v>
      </c>
      <c r="DP317">
        <v>0</v>
      </c>
      <c r="DQ317">
        <v>255</v>
      </c>
      <c r="DR317">
        <v>255</v>
      </c>
      <c r="DS317">
        <v>255</v>
      </c>
      <c r="DT317">
        <v>255</v>
      </c>
      <c r="DU317">
        <v>255</v>
      </c>
      <c r="DV317">
        <v>255</v>
      </c>
      <c r="DW317">
        <v>255</v>
      </c>
      <c r="DX317" t="s">
        <v>206</v>
      </c>
      <c r="DY317" t="s">
        <v>206</v>
      </c>
      <c r="DZ317" t="s">
        <v>207</v>
      </c>
      <c r="EA317" t="s">
        <v>198</v>
      </c>
      <c r="EB317" t="s">
        <v>198</v>
      </c>
      <c r="EC317" t="s">
        <v>198</v>
      </c>
      <c r="ED317">
        <v>0</v>
      </c>
      <c r="EE317">
        <v>0</v>
      </c>
      <c r="EF317">
        <v>0</v>
      </c>
      <c r="EG317">
        <v>0</v>
      </c>
      <c r="EH317">
        <v>255</v>
      </c>
      <c r="EI317">
        <v>255</v>
      </c>
      <c r="EJ317">
        <v>255</v>
      </c>
      <c r="EK317">
        <v>255</v>
      </c>
      <c r="EL317">
        <v>255</v>
      </c>
      <c r="EM317">
        <v>255</v>
      </c>
      <c r="EN317">
        <v>255</v>
      </c>
      <c r="EO317">
        <v>255</v>
      </c>
      <c r="EP317">
        <v>255</v>
      </c>
      <c r="EQ317">
        <v>255</v>
      </c>
      <c r="ER317" t="s">
        <v>208</v>
      </c>
      <c r="ES317" t="s">
        <v>209</v>
      </c>
      <c r="ET317" t="s">
        <v>209</v>
      </c>
      <c r="EU317">
        <v>0</v>
      </c>
      <c r="EV317">
        <v>16.2</v>
      </c>
      <c r="EW317">
        <v>-114.7</v>
      </c>
      <c r="EX317">
        <v>-0.2</v>
      </c>
      <c r="EY317">
        <v>0</v>
      </c>
      <c r="EZ317">
        <v>0</v>
      </c>
      <c r="FA317">
        <v>0</v>
      </c>
      <c r="FB317" t="s">
        <v>198</v>
      </c>
      <c r="FC317" t="s">
        <v>198</v>
      </c>
      <c r="FD317" t="s">
        <v>198</v>
      </c>
      <c r="FE317" t="s">
        <v>198</v>
      </c>
      <c r="FF317" t="s">
        <v>198</v>
      </c>
      <c r="FG317" t="s">
        <v>198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203</v>
      </c>
      <c r="FP317" t="s">
        <v>203</v>
      </c>
      <c r="FQ317" t="s">
        <v>203</v>
      </c>
      <c r="FR317" t="s">
        <v>203</v>
      </c>
      <c r="FS317" t="s">
        <v>203</v>
      </c>
      <c r="FT317" t="s">
        <v>203</v>
      </c>
      <c r="FU317" t="s">
        <v>198</v>
      </c>
      <c r="FV317" t="s">
        <v>198</v>
      </c>
      <c r="FW317" t="s">
        <v>198</v>
      </c>
      <c r="FX317" t="s">
        <v>198</v>
      </c>
      <c r="FY317" t="s">
        <v>198</v>
      </c>
      <c r="FZ317" t="s">
        <v>198</v>
      </c>
      <c r="GA317">
        <v>31.2</v>
      </c>
      <c r="GB317">
        <v>31.2</v>
      </c>
      <c r="GC317" t="s">
        <v>203</v>
      </c>
      <c r="GD317">
        <v>0</v>
      </c>
      <c r="GE317">
        <v>504</v>
      </c>
      <c r="GF317">
        <v>0</v>
      </c>
      <c r="GG317">
        <v>0</v>
      </c>
      <c r="GH317">
        <v>0</v>
      </c>
      <c r="GI317">
        <v>1</v>
      </c>
      <c r="GJ317">
        <v>1</v>
      </c>
      <c r="GK317">
        <v>0</v>
      </c>
      <c r="GL317" t="s">
        <v>198</v>
      </c>
      <c r="GM317" t="s">
        <v>198</v>
      </c>
      <c r="GN317" t="s">
        <v>198</v>
      </c>
    </row>
    <row r="318" spans="1:196">
      <c r="A318" s="19">
        <v>46316.90756184028</v>
      </c>
      <c r="B318">
        <v>0</v>
      </c>
      <c r="C318">
        <v>0</v>
      </c>
      <c r="D318">
        <v>277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584.2</v>
      </c>
      <c r="N318">
        <v>-0.5</v>
      </c>
      <c r="O318">
        <v>0</v>
      </c>
      <c r="P318">
        <v>0</v>
      </c>
      <c r="Q318">
        <v>0</v>
      </c>
      <c r="R318">
        <v>0</v>
      </c>
      <c r="S318">
        <v>115.6</v>
      </c>
      <c r="T318" t="s">
        <v>485</v>
      </c>
      <c r="U318">
        <v>115.7</v>
      </c>
      <c r="V318">
        <v>1762727256586.8</v>
      </c>
      <c r="W318">
        <v>1</v>
      </c>
      <c r="X318" t="s">
        <v>197</v>
      </c>
      <c r="Y318">
        <v>0</v>
      </c>
      <c r="Z318">
        <v>98</v>
      </c>
      <c r="AA318">
        <v>278</v>
      </c>
      <c r="AB318" t="s">
        <v>197</v>
      </c>
      <c r="AC318" t="s">
        <v>198</v>
      </c>
      <c r="AD318" t="s">
        <v>199</v>
      </c>
      <c r="AE318">
        <v>0</v>
      </c>
      <c r="AF318">
        <v>45</v>
      </c>
      <c r="AG318">
        <v>255</v>
      </c>
      <c r="AH318">
        <v>0</v>
      </c>
      <c r="AI318">
        <v>0</v>
      </c>
      <c r="AJ318">
        <v>0</v>
      </c>
      <c r="AK318">
        <v>12.6</v>
      </c>
      <c r="AL318">
        <v>0</v>
      </c>
      <c r="AM318">
        <v>0</v>
      </c>
      <c r="AN318" t="s">
        <v>197</v>
      </c>
      <c r="AO318">
        <v>100</v>
      </c>
      <c r="AP318" t="s">
        <v>197</v>
      </c>
      <c r="AQ318" t="s">
        <v>200</v>
      </c>
      <c r="AR318">
        <v>1</v>
      </c>
      <c r="AS318">
        <v>0</v>
      </c>
      <c r="AT318" t="s">
        <v>664</v>
      </c>
      <c r="AU318" t="s">
        <v>664</v>
      </c>
      <c r="AV318" t="s">
        <v>202</v>
      </c>
      <c r="AW318" t="s">
        <v>203</v>
      </c>
      <c r="AX318" t="s">
        <v>203</v>
      </c>
      <c r="AY318" t="s">
        <v>203</v>
      </c>
      <c r="AZ318" t="s">
        <v>203</v>
      </c>
      <c r="BA318" t="s">
        <v>203</v>
      </c>
      <c r="BB318" t="s">
        <v>203</v>
      </c>
      <c r="BC318" t="s">
        <v>203</v>
      </c>
      <c r="BD318" t="s">
        <v>203</v>
      </c>
      <c r="BE318" t="s">
        <v>203</v>
      </c>
      <c r="BF318">
        <v>0</v>
      </c>
      <c r="BG318">
        <v>0.2</v>
      </c>
      <c r="BH318">
        <v>50</v>
      </c>
      <c r="BI318">
        <v>0</v>
      </c>
      <c r="BJ318" t="s">
        <v>198</v>
      </c>
      <c r="BK318" t="s">
        <v>198</v>
      </c>
      <c r="BL318" t="s">
        <v>198</v>
      </c>
      <c r="BM318" t="s">
        <v>198</v>
      </c>
      <c r="BN318" t="s">
        <v>198</v>
      </c>
      <c r="BO318" t="s">
        <v>198</v>
      </c>
      <c r="BP318" t="s">
        <v>198</v>
      </c>
      <c r="BQ318" t="s">
        <v>198</v>
      </c>
      <c r="BR318" t="s">
        <v>198</v>
      </c>
      <c r="BS318" t="s">
        <v>198</v>
      </c>
      <c r="BT318" t="s">
        <v>198</v>
      </c>
      <c r="BU318" t="s">
        <v>198</v>
      </c>
      <c r="BV318" t="s">
        <v>198</v>
      </c>
      <c r="BW318" t="s">
        <v>198</v>
      </c>
      <c r="BX318" t="s">
        <v>198</v>
      </c>
      <c r="BY318" t="s">
        <v>198</v>
      </c>
      <c r="BZ318" t="s">
        <v>198</v>
      </c>
      <c r="CA318" t="s">
        <v>198</v>
      </c>
      <c r="CB318" t="s">
        <v>204</v>
      </c>
      <c r="CC318" t="s">
        <v>204</v>
      </c>
      <c r="CD318" t="s">
        <v>204</v>
      </c>
      <c r="CE318" t="s">
        <v>204</v>
      </c>
      <c r="CF318" t="s">
        <v>204</v>
      </c>
      <c r="CG318" t="s">
        <v>204</v>
      </c>
      <c r="CH318" t="s">
        <v>204</v>
      </c>
      <c r="CI318" t="s">
        <v>204</v>
      </c>
      <c r="CJ318" t="s">
        <v>204</v>
      </c>
      <c r="CK318" t="s">
        <v>204</v>
      </c>
      <c r="CL318" t="s">
        <v>204</v>
      </c>
      <c r="CM318" t="s">
        <v>204</v>
      </c>
      <c r="CN318" t="s">
        <v>203</v>
      </c>
      <c r="CO318" t="s">
        <v>203</v>
      </c>
      <c r="CP318" t="s">
        <v>203</v>
      </c>
      <c r="CQ318" t="s">
        <v>203</v>
      </c>
      <c r="CR318" t="s">
        <v>203</v>
      </c>
      <c r="CS318" t="s">
        <v>203</v>
      </c>
      <c r="CT318" t="s">
        <v>203</v>
      </c>
      <c r="CU318" t="s">
        <v>203</v>
      </c>
      <c r="CV318">
        <v>0</v>
      </c>
      <c r="CW318">
        <v>0</v>
      </c>
      <c r="CX318" t="s">
        <v>198</v>
      </c>
      <c r="CY318" t="s">
        <v>198</v>
      </c>
      <c r="CZ318" t="s">
        <v>198</v>
      </c>
      <c r="DA318" t="s">
        <v>198</v>
      </c>
      <c r="DB318" t="s">
        <v>198</v>
      </c>
      <c r="DC318">
        <v>0</v>
      </c>
      <c r="DD318">
        <v>0</v>
      </c>
      <c r="DE318">
        <v>0</v>
      </c>
      <c r="DF318">
        <v>0</v>
      </c>
      <c r="DG318">
        <v>-35.3631166</v>
      </c>
      <c r="DH318">
        <v>149.1639735</v>
      </c>
      <c r="DI318" t="s">
        <v>360</v>
      </c>
      <c r="DJ318">
        <v>1.2</v>
      </c>
      <c r="DK318">
        <v>2</v>
      </c>
      <c r="DL318">
        <v>159.8</v>
      </c>
      <c r="DM318">
        <v>0</v>
      </c>
      <c r="DN318">
        <v>6</v>
      </c>
      <c r="DO318">
        <v>10</v>
      </c>
      <c r="DP318">
        <v>0</v>
      </c>
      <c r="DQ318">
        <v>255</v>
      </c>
      <c r="DR318">
        <v>255</v>
      </c>
      <c r="DS318">
        <v>255</v>
      </c>
      <c r="DT318">
        <v>255</v>
      </c>
      <c r="DU318">
        <v>255</v>
      </c>
      <c r="DV318">
        <v>255</v>
      </c>
      <c r="DW318">
        <v>255</v>
      </c>
      <c r="DX318" t="s">
        <v>206</v>
      </c>
      <c r="DY318" t="s">
        <v>206</v>
      </c>
      <c r="DZ318" t="s">
        <v>207</v>
      </c>
      <c r="EA318" t="s">
        <v>198</v>
      </c>
      <c r="EB318" t="s">
        <v>198</v>
      </c>
      <c r="EC318" t="s">
        <v>198</v>
      </c>
      <c r="ED318">
        <v>0</v>
      </c>
      <c r="EE318">
        <v>0</v>
      </c>
      <c r="EF318">
        <v>0</v>
      </c>
      <c r="EG318">
        <v>0</v>
      </c>
      <c r="EH318">
        <v>255</v>
      </c>
      <c r="EI318">
        <v>255</v>
      </c>
      <c r="EJ318">
        <v>255</v>
      </c>
      <c r="EK318">
        <v>255</v>
      </c>
      <c r="EL318">
        <v>255</v>
      </c>
      <c r="EM318">
        <v>255</v>
      </c>
      <c r="EN318">
        <v>255</v>
      </c>
      <c r="EO318">
        <v>255</v>
      </c>
      <c r="EP318">
        <v>255</v>
      </c>
      <c r="EQ318">
        <v>255</v>
      </c>
      <c r="ER318" t="s">
        <v>208</v>
      </c>
      <c r="ES318" t="s">
        <v>209</v>
      </c>
      <c r="ET318" t="s">
        <v>209</v>
      </c>
      <c r="EU318">
        <v>0</v>
      </c>
      <c r="EV318">
        <v>16.2</v>
      </c>
      <c r="EW318">
        <v>-114.7</v>
      </c>
      <c r="EX318">
        <v>-0.2</v>
      </c>
      <c r="EY318">
        <v>0</v>
      </c>
      <c r="EZ318">
        <v>0</v>
      </c>
      <c r="FA318">
        <v>0</v>
      </c>
      <c r="FB318" t="s">
        <v>198</v>
      </c>
      <c r="FC318" t="s">
        <v>198</v>
      </c>
      <c r="FD318" t="s">
        <v>198</v>
      </c>
      <c r="FE318" t="s">
        <v>198</v>
      </c>
      <c r="FF318" t="s">
        <v>198</v>
      </c>
      <c r="FG318" t="s">
        <v>198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 t="s">
        <v>203</v>
      </c>
      <c r="FP318" t="s">
        <v>203</v>
      </c>
      <c r="FQ318" t="s">
        <v>203</v>
      </c>
      <c r="FR318" t="s">
        <v>203</v>
      </c>
      <c r="FS318" t="s">
        <v>203</v>
      </c>
      <c r="FT318" t="s">
        <v>203</v>
      </c>
      <c r="FU318" t="s">
        <v>198</v>
      </c>
      <c r="FV318" t="s">
        <v>198</v>
      </c>
      <c r="FW318" t="s">
        <v>198</v>
      </c>
      <c r="FX318" t="s">
        <v>198</v>
      </c>
      <c r="FY318" t="s">
        <v>198</v>
      </c>
      <c r="FZ318" t="s">
        <v>198</v>
      </c>
      <c r="GA318">
        <v>31.2</v>
      </c>
      <c r="GB318">
        <v>31.2</v>
      </c>
      <c r="GC318" t="s">
        <v>203</v>
      </c>
      <c r="GD318">
        <v>0</v>
      </c>
      <c r="GE318">
        <v>504</v>
      </c>
      <c r="GF318">
        <v>0</v>
      </c>
      <c r="GG318">
        <v>0</v>
      </c>
      <c r="GH318">
        <v>0</v>
      </c>
      <c r="GI318">
        <v>1</v>
      </c>
      <c r="GJ318">
        <v>1</v>
      </c>
      <c r="GK318">
        <v>0</v>
      </c>
      <c r="GL318" t="s">
        <v>198</v>
      </c>
      <c r="GM318" t="s">
        <v>198</v>
      </c>
      <c r="GN318" t="s">
        <v>198</v>
      </c>
    </row>
    <row r="319" spans="1:196">
      <c r="A319" s="19">
        <v>46316.90757341436</v>
      </c>
      <c r="B319">
        <v>0</v>
      </c>
      <c r="C319">
        <v>0</v>
      </c>
      <c r="D319">
        <v>277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584.2</v>
      </c>
      <c r="N319">
        <v>-0.5</v>
      </c>
      <c r="O319">
        <v>0</v>
      </c>
      <c r="P319">
        <v>0</v>
      </c>
      <c r="Q319">
        <v>0</v>
      </c>
      <c r="R319">
        <v>0</v>
      </c>
      <c r="S319">
        <v>115.6</v>
      </c>
      <c r="T319" t="s">
        <v>485</v>
      </c>
      <c r="U319">
        <v>115.7</v>
      </c>
      <c r="V319">
        <v>1762727256586.8</v>
      </c>
      <c r="W319">
        <v>1</v>
      </c>
      <c r="X319" t="s">
        <v>197</v>
      </c>
      <c r="Y319">
        <v>0</v>
      </c>
      <c r="Z319">
        <v>98</v>
      </c>
      <c r="AA319">
        <v>278</v>
      </c>
      <c r="AB319" t="s">
        <v>197</v>
      </c>
      <c r="AC319" t="s">
        <v>198</v>
      </c>
      <c r="AD319" t="s">
        <v>199</v>
      </c>
      <c r="AE319">
        <v>0</v>
      </c>
      <c r="AF319">
        <v>45</v>
      </c>
      <c r="AG319">
        <v>255</v>
      </c>
      <c r="AH319">
        <v>0</v>
      </c>
      <c r="AI319">
        <v>0</v>
      </c>
      <c r="AJ319">
        <v>0</v>
      </c>
      <c r="AK319">
        <v>12.6</v>
      </c>
      <c r="AL319">
        <v>0</v>
      </c>
      <c r="AM319">
        <v>0</v>
      </c>
      <c r="AN319" t="s">
        <v>197</v>
      </c>
      <c r="AO319">
        <v>100</v>
      </c>
      <c r="AP319" t="s">
        <v>197</v>
      </c>
      <c r="AQ319" t="s">
        <v>200</v>
      </c>
      <c r="AR319">
        <v>1</v>
      </c>
      <c r="AS319">
        <v>0</v>
      </c>
      <c r="AT319" t="s">
        <v>665</v>
      </c>
      <c r="AU319" t="s">
        <v>665</v>
      </c>
      <c r="AV319" t="s">
        <v>202</v>
      </c>
      <c r="AW319" t="s">
        <v>203</v>
      </c>
      <c r="AX319" t="s">
        <v>203</v>
      </c>
      <c r="AY319" t="s">
        <v>203</v>
      </c>
      <c r="AZ319" t="s">
        <v>203</v>
      </c>
      <c r="BA319" t="s">
        <v>203</v>
      </c>
      <c r="BB319" t="s">
        <v>203</v>
      </c>
      <c r="BC319" t="s">
        <v>203</v>
      </c>
      <c r="BD319" t="s">
        <v>203</v>
      </c>
      <c r="BE319" t="s">
        <v>203</v>
      </c>
      <c r="BF319">
        <v>0</v>
      </c>
      <c r="BG319">
        <v>0.2</v>
      </c>
      <c r="BH319">
        <v>50</v>
      </c>
      <c r="BI319">
        <v>0</v>
      </c>
      <c r="BJ319" t="s">
        <v>198</v>
      </c>
      <c r="BK319" t="s">
        <v>198</v>
      </c>
      <c r="BL319" t="s">
        <v>198</v>
      </c>
      <c r="BM319" t="s">
        <v>198</v>
      </c>
      <c r="BN319" t="s">
        <v>198</v>
      </c>
      <c r="BO319" t="s">
        <v>198</v>
      </c>
      <c r="BP319" t="s">
        <v>198</v>
      </c>
      <c r="BQ319" t="s">
        <v>198</v>
      </c>
      <c r="BR319" t="s">
        <v>198</v>
      </c>
      <c r="BS319" t="s">
        <v>198</v>
      </c>
      <c r="BT319" t="s">
        <v>198</v>
      </c>
      <c r="BU319" t="s">
        <v>198</v>
      </c>
      <c r="BV319" t="s">
        <v>198</v>
      </c>
      <c r="BW319" t="s">
        <v>198</v>
      </c>
      <c r="BX319" t="s">
        <v>198</v>
      </c>
      <c r="BY319" t="s">
        <v>198</v>
      </c>
      <c r="BZ319" t="s">
        <v>198</v>
      </c>
      <c r="CA319" t="s">
        <v>198</v>
      </c>
      <c r="CB319" t="s">
        <v>204</v>
      </c>
      <c r="CC319" t="s">
        <v>204</v>
      </c>
      <c r="CD319" t="s">
        <v>204</v>
      </c>
      <c r="CE319" t="s">
        <v>204</v>
      </c>
      <c r="CF319" t="s">
        <v>204</v>
      </c>
      <c r="CG319" t="s">
        <v>204</v>
      </c>
      <c r="CH319" t="s">
        <v>204</v>
      </c>
      <c r="CI319" t="s">
        <v>204</v>
      </c>
      <c r="CJ319" t="s">
        <v>204</v>
      </c>
      <c r="CK319" t="s">
        <v>204</v>
      </c>
      <c r="CL319" t="s">
        <v>204</v>
      </c>
      <c r="CM319" t="s">
        <v>204</v>
      </c>
      <c r="CN319" t="s">
        <v>203</v>
      </c>
      <c r="CO319" t="s">
        <v>203</v>
      </c>
      <c r="CP319" t="s">
        <v>203</v>
      </c>
      <c r="CQ319" t="s">
        <v>203</v>
      </c>
      <c r="CR319" t="s">
        <v>203</v>
      </c>
      <c r="CS319" t="s">
        <v>203</v>
      </c>
      <c r="CT319" t="s">
        <v>203</v>
      </c>
      <c r="CU319" t="s">
        <v>203</v>
      </c>
      <c r="CV319">
        <v>0</v>
      </c>
      <c r="CW319">
        <v>0</v>
      </c>
      <c r="CX319" t="s">
        <v>198</v>
      </c>
      <c r="CY319" t="s">
        <v>198</v>
      </c>
      <c r="CZ319" t="s">
        <v>198</v>
      </c>
      <c r="DA319" t="s">
        <v>198</v>
      </c>
      <c r="DB319" t="s">
        <v>198</v>
      </c>
      <c r="DC319">
        <v>0</v>
      </c>
      <c r="DD319">
        <v>0</v>
      </c>
      <c r="DE319">
        <v>0</v>
      </c>
      <c r="DF319">
        <v>0</v>
      </c>
      <c r="DG319">
        <v>-35.3631166</v>
      </c>
      <c r="DH319">
        <v>149.1639735</v>
      </c>
      <c r="DI319" t="s">
        <v>360</v>
      </c>
      <c r="DJ319">
        <v>1.2</v>
      </c>
      <c r="DK319">
        <v>2</v>
      </c>
      <c r="DL319">
        <v>159.8</v>
      </c>
      <c r="DM319">
        <v>0</v>
      </c>
      <c r="DN319">
        <v>6</v>
      </c>
      <c r="DO319">
        <v>10</v>
      </c>
      <c r="DP319">
        <v>0</v>
      </c>
      <c r="DQ319">
        <v>255</v>
      </c>
      <c r="DR319">
        <v>255</v>
      </c>
      <c r="DS319">
        <v>255</v>
      </c>
      <c r="DT319">
        <v>255</v>
      </c>
      <c r="DU319">
        <v>255</v>
      </c>
      <c r="DV319">
        <v>255</v>
      </c>
      <c r="DW319">
        <v>255</v>
      </c>
      <c r="DX319" t="s">
        <v>206</v>
      </c>
      <c r="DY319" t="s">
        <v>206</v>
      </c>
      <c r="DZ319" t="s">
        <v>207</v>
      </c>
      <c r="EA319" t="s">
        <v>198</v>
      </c>
      <c r="EB319" t="s">
        <v>198</v>
      </c>
      <c r="EC319" t="s">
        <v>198</v>
      </c>
      <c r="ED319">
        <v>0</v>
      </c>
      <c r="EE319">
        <v>0</v>
      </c>
      <c r="EF319">
        <v>0</v>
      </c>
      <c r="EG319">
        <v>0</v>
      </c>
      <c r="EH319">
        <v>255</v>
      </c>
      <c r="EI319">
        <v>255</v>
      </c>
      <c r="EJ319">
        <v>255</v>
      </c>
      <c r="EK319">
        <v>255</v>
      </c>
      <c r="EL319">
        <v>255</v>
      </c>
      <c r="EM319">
        <v>255</v>
      </c>
      <c r="EN319">
        <v>255</v>
      </c>
      <c r="EO319">
        <v>255</v>
      </c>
      <c r="EP319">
        <v>255</v>
      </c>
      <c r="EQ319">
        <v>255</v>
      </c>
      <c r="ER319" t="s">
        <v>208</v>
      </c>
      <c r="ES319" t="s">
        <v>209</v>
      </c>
      <c r="ET319" t="s">
        <v>209</v>
      </c>
      <c r="EU319">
        <v>0</v>
      </c>
      <c r="EV319">
        <v>16.2</v>
      </c>
      <c r="EW319">
        <v>-114.7</v>
      </c>
      <c r="EX319">
        <v>-0.2</v>
      </c>
      <c r="EY319">
        <v>0</v>
      </c>
      <c r="EZ319">
        <v>0</v>
      </c>
      <c r="FA319">
        <v>0</v>
      </c>
      <c r="FB319" t="s">
        <v>198</v>
      </c>
      <c r="FC319" t="s">
        <v>198</v>
      </c>
      <c r="FD319" t="s">
        <v>198</v>
      </c>
      <c r="FE319" t="s">
        <v>198</v>
      </c>
      <c r="FF319" t="s">
        <v>198</v>
      </c>
      <c r="FG319" t="s">
        <v>198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 t="s">
        <v>203</v>
      </c>
      <c r="FP319" t="s">
        <v>203</v>
      </c>
      <c r="FQ319" t="s">
        <v>203</v>
      </c>
      <c r="FR319" t="s">
        <v>203</v>
      </c>
      <c r="FS319" t="s">
        <v>203</v>
      </c>
      <c r="FT319" t="s">
        <v>203</v>
      </c>
      <c r="FU319" t="s">
        <v>198</v>
      </c>
      <c r="FV319" t="s">
        <v>198</v>
      </c>
      <c r="FW319" t="s">
        <v>198</v>
      </c>
      <c r="FX319" t="s">
        <v>198</v>
      </c>
      <c r="FY319" t="s">
        <v>198</v>
      </c>
      <c r="FZ319" t="s">
        <v>198</v>
      </c>
      <c r="GA319">
        <v>31.2</v>
      </c>
      <c r="GB319">
        <v>31.2</v>
      </c>
      <c r="GC319" t="s">
        <v>203</v>
      </c>
      <c r="GD319">
        <v>0</v>
      </c>
      <c r="GE319">
        <v>504</v>
      </c>
      <c r="GF319">
        <v>0</v>
      </c>
      <c r="GG319">
        <v>0</v>
      </c>
      <c r="GH319">
        <v>0</v>
      </c>
      <c r="GI319">
        <v>1</v>
      </c>
      <c r="GJ319">
        <v>1</v>
      </c>
      <c r="GK319">
        <v>0</v>
      </c>
      <c r="GL319" t="s">
        <v>198</v>
      </c>
      <c r="GM319" t="s">
        <v>198</v>
      </c>
      <c r="GN319" t="s">
        <v>198</v>
      </c>
    </row>
    <row r="320" spans="1:196">
      <c r="A320" s="19">
        <v>46316.90758498842</v>
      </c>
      <c r="B320">
        <v>0</v>
      </c>
      <c r="C320">
        <v>0</v>
      </c>
      <c r="D320">
        <v>277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584.2</v>
      </c>
      <c r="N320">
        <v>-0.5</v>
      </c>
      <c r="O320">
        <v>0</v>
      </c>
      <c r="P320">
        <v>0</v>
      </c>
      <c r="Q320">
        <v>0</v>
      </c>
      <c r="R320">
        <v>0</v>
      </c>
      <c r="S320">
        <v>115.6</v>
      </c>
      <c r="T320" t="s">
        <v>485</v>
      </c>
      <c r="U320">
        <v>115.7</v>
      </c>
      <c r="V320">
        <v>1762727256586.8</v>
      </c>
      <c r="W320">
        <v>1</v>
      </c>
      <c r="X320" t="s">
        <v>197</v>
      </c>
      <c r="Y320">
        <v>0</v>
      </c>
      <c r="Z320">
        <v>98</v>
      </c>
      <c r="AA320">
        <v>278</v>
      </c>
      <c r="AB320" t="s">
        <v>197</v>
      </c>
      <c r="AC320" t="s">
        <v>198</v>
      </c>
      <c r="AD320" t="s">
        <v>199</v>
      </c>
      <c r="AE320">
        <v>0</v>
      </c>
      <c r="AF320">
        <v>45</v>
      </c>
      <c r="AG320">
        <v>255</v>
      </c>
      <c r="AH320">
        <v>0</v>
      </c>
      <c r="AI320">
        <v>0</v>
      </c>
      <c r="AJ320">
        <v>0</v>
      </c>
      <c r="AK320">
        <v>12.6</v>
      </c>
      <c r="AL320">
        <v>0</v>
      </c>
      <c r="AM320">
        <v>0</v>
      </c>
      <c r="AN320" t="s">
        <v>197</v>
      </c>
      <c r="AO320">
        <v>100</v>
      </c>
      <c r="AP320" t="s">
        <v>197</v>
      </c>
      <c r="AQ320" t="s">
        <v>200</v>
      </c>
      <c r="AR320">
        <v>1</v>
      </c>
      <c r="AS320">
        <v>0</v>
      </c>
      <c r="AT320" t="s">
        <v>666</v>
      </c>
      <c r="AU320" t="s">
        <v>666</v>
      </c>
      <c r="AV320" t="s">
        <v>202</v>
      </c>
      <c r="AW320" t="s">
        <v>203</v>
      </c>
      <c r="AX320" t="s">
        <v>203</v>
      </c>
      <c r="AY320" t="s">
        <v>203</v>
      </c>
      <c r="AZ320" t="s">
        <v>203</v>
      </c>
      <c r="BA320" t="s">
        <v>203</v>
      </c>
      <c r="BB320" t="s">
        <v>203</v>
      </c>
      <c r="BC320" t="s">
        <v>203</v>
      </c>
      <c r="BD320" t="s">
        <v>203</v>
      </c>
      <c r="BE320" t="s">
        <v>203</v>
      </c>
      <c r="BF320">
        <v>0</v>
      </c>
      <c r="BG320">
        <v>0.2</v>
      </c>
      <c r="BH320">
        <v>50</v>
      </c>
      <c r="BI320">
        <v>0</v>
      </c>
      <c r="BJ320" t="s">
        <v>198</v>
      </c>
      <c r="BK320" t="s">
        <v>198</v>
      </c>
      <c r="BL320" t="s">
        <v>198</v>
      </c>
      <c r="BM320" t="s">
        <v>198</v>
      </c>
      <c r="BN320" t="s">
        <v>198</v>
      </c>
      <c r="BO320" t="s">
        <v>198</v>
      </c>
      <c r="BP320" t="s">
        <v>198</v>
      </c>
      <c r="BQ320" t="s">
        <v>198</v>
      </c>
      <c r="BR320" t="s">
        <v>198</v>
      </c>
      <c r="BS320" t="s">
        <v>198</v>
      </c>
      <c r="BT320" t="s">
        <v>198</v>
      </c>
      <c r="BU320" t="s">
        <v>198</v>
      </c>
      <c r="BV320" t="s">
        <v>198</v>
      </c>
      <c r="BW320" t="s">
        <v>198</v>
      </c>
      <c r="BX320" t="s">
        <v>198</v>
      </c>
      <c r="BY320" t="s">
        <v>198</v>
      </c>
      <c r="BZ320" t="s">
        <v>198</v>
      </c>
      <c r="CA320" t="s">
        <v>198</v>
      </c>
      <c r="CB320" t="s">
        <v>204</v>
      </c>
      <c r="CC320" t="s">
        <v>204</v>
      </c>
      <c r="CD320" t="s">
        <v>204</v>
      </c>
      <c r="CE320" t="s">
        <v>204</v>
      </c>
      <c r="CF320" t="s">
        <v>204</v>
      </c>
      <c r="CG320" t="s">
        <v>204</v>
      </c>
      <c r="CH320" t="s">
        <v>204</v>
      </c>
      <c r="CI320" t="s">
        <v>204</v>
      </c>
      <c r="CJ320" t="s">
        <v>204</v>
      </c>
      <c r="CK320" t="s">
        <v>204</v>
      </c>
      <c r="CL320" t="s">
        <v>204</v>
      </c>
      <c r="CM320" t="s">
        <v>204</v>
      </c>
      <c r="CN320" t="s">
        <v>203</v>
      </c>
      <c r="CO320" t="s">
        <v>203</v>
      </c>
      <c r="CP320" t="s">
        <v>203</v>
      </c>
      <c r="CQ320" t="s">
        <v>203</v>
      </c>
      <c r="CR320" t="s">
        <v>203</v>
      </c>
      <c r="CS320" t="s">
        <v>203</v>
      </c>
      <c r="CT320" t="s">
        <v>203</v>
      </c>
      <c r="CU320" t="s">
        <v>203</v>
      </c>
      <c r="CV320">
        <v>0</v>
      </c>
      <c r="CW320">
        <v>0</v>
      </c>
      <c r="CX320" t="s">
        <v>198</v>
      </c>
      <c r="CY320" t="s">
        <v>198</v>
      </c>
      <c r="CZ320" t="s">
        <v>198</v>
      </c>
      <c r="DA320" t="s">
        <v>198</v>
      </c>
      <c r="DB320" t="s">
        <v>198</v>
      </c>
      <c r="DC320">
        <v>0</v>
      </c>
      <c r="DD320">
        <v>0</v>
      </c>
      <c r="DE320">
        <v>0</v>
      </c>
      <c r="DF320">
        <v>0</v>
      </c>
      <c r="DG320">
        <v>-35.3631166</v>
      </c>
      <c r="DH320">
        <v>149.1639735</v>
      </c>
      <c r="DI320" t="s">
        <v>360</v>
      </c>
      <c r="DJ320">
        <v>1.2</v>
      </c>
      <c r="DK320">
        <v>2</v>
      </c>
      <c r="DL320">
        <v>159.8</v>
      </c>
      <c r="DM320">
        <v>0</v>
      </c>
      <c r="DN320">
        <v>6</v>
      </c>
      <c r="DO320">
        <v>10</v>
      </c>
      <c r="DP320">
        <v>0</v>
      </c>
      <c r="DQ320">
        <v>255</v>
      </c>
      <c r="DR320">
        <v>255</v>
      </c>
      <c r="DS320">
        <v>255</v>
      </c>
      <c r="DT320">
        <v>255</v>
      </c>
      <c r="DU320">
        <v>255</v>
      </c>
      <c r="DV320">
        <v>255</v>
      </c>
      <c r="DW320">
        <v>255</v>
      </c>
      <c r="DX320" t="s">
        <v>206</v>
      </c>
      <c r="DY320" t="s">
        <v>206</v>
      </c>
      <c r="DZ320" t="s">
        <v>207</v>
      </c>
      <c r="EA320" t="s">
        <v>198</v>
      </c>
      <c r="EB320" t="s">
        <v>198</v>
      </c>
      <c r="EC320" t="s">
        <v>198</v>
      </c>
      <c r="ED320">
        <v>0</v>
      </c>
      <c r="EE320">
        <v>0</v>
      </c>
      <c r="EF320">
        <v>0</v>
      </c>
      <c r="EG320">
        <v>0</v>
      </c>
      <c r="EH320">
        <v>255</v>
      </c>
      <c r="EI320">
        <v>255</v>
      </c>
      <c r="EJ320">
        <v>255</v>
      </c>
      <c r="EK320">
        <v>255</v>
      </c>
      <c r="EL320">
        <v>255</v>
      </c>
      <c r="EM320">
        <v>255</v>
      </c>
      <c r="EN320">
        <v>255</v>
      </c>
      <c r="EO320">
        <v>255</v>
      </c>
      <c r="EP320">
        <v>255</v>
      </c>
      <c r="EQ320">
        <v>255</v>
      </c>
      <c r="ER320" t="s">
        <v>208</v>
      </c>
      <c r="ES320" t="s">
        <v>209</v>
      </c>
      <c r="ET320" t="s">
        <v>209</v>
      </c>
      <c r="EU320">
        <v>0</v>
      </c>
      <c r="EV320">
        <v>16.2</v>
      </c>
      <c r="EW320">
        <v>-114.7</v>
      </c>
      <c r="EX320">
        <v>-0.2</v>
      </c>
      <c r="EY320">
        <v>0</v>
      </c>
      <c r="EZ320">
        <v>0</v>
      </c>
      <c r="FA320">
        <v>0</v>
      </c>
      <c r="FB320" t="s">
        <v>198</v>
      </c>
      <c r="FC320" t="s">
        <v>198</v>
      </c>
      <c r="FD320" t="s">
        <v>198</v>
      </c>
      <c r="FE320" t="s">
        <v>198</v>
      </c>
      <c r="FF320" t="s">
        <v>198</v>
      </c>
      <c r="FG320" t="s">
        <v>198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 t="s">
        <v>203</v>
      </c>
      <c r="FP320" t="s">
        <v>203</v>
      </c>
      <c r="FQ320" t="s">
        <v>203</v>
      </c>
      <c r="FR320" t="s">
        <v>203</v>
      </c>
      <c r="FS320" t="s">
        <v>203</v>
      </c>
      <c r="FT320" t="s">
        <v>203</v>
      </c>
      <c r="FU320" t="s">
        <v>198</v>
      </c>
      <c r="FV320" t="s">
        <v>198</v>
      </c>
      <c r="FW320" t="s">
        <v>198</v>
      </c>
      <c r="FX320" t="s">
        <v>198</v>
      </c>
      <c r="FY320" t="s">
        <v>198</v>
      </c>
      <c r="FZ320" t="s">
        <v>198</v>
      </c>
      <c r="GA320">
        <v>31.2</v>
      </c>
      <c r="GB320">
        <v>31.2</v>
      </c>
      <c r="GC320" t="s">
        <v>203</v>
      </c>
      <c r="GD320">
        <v>0</v>
      </c>
      <c r="GE320">
        <v>504</v>
      </c>
      <c r="GF320">
        <v>0</v>
      </c>
      <c r="GG320">
        <v>0</v>
      </c>
      <c r="GH320">
        <v>0</v>
      </c>
      <c r="GI320">
        <v>1</v>
      </c>
      <c r="GJ320">
        <v>1</v>
      </c>
      <c r="GK320">
        <v>0</v>
      </c>
      <c r="GL320" t="s">
        <v>198</v>
      </c>
      <c r="GM320" t="s">
        <v>198</v>
      </c>
      <c r="GN320" t="s">
        <v>198</v>
      </c>
    </row>
    <row r="321" spans="1:196">
      <c r="A321" s="19">
        <v>46316.90759655093</v>
      </c>
      <c r="B321">
        <v>0</v>
      </c>
      <c r="C321">
        <v>0</v>
      </c>
      <c r="D321">
        <v>277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584.2</v>
      </c>
      <c r="N321">
        <v>-0.5</v>
      </c>
      <c r="O321">
        <v>0</v>
      </c>
      <c r="P321">
        <v>0</v>
      </c>
      <c r="Q321">
        <v>0</v>
      </c>
      <c r="R321">
        <v>0</v>
      </c>
      <c r="S321">
        <v>115.6</v>
      </c>
      <c r="T321" t="s">
        <v>485</v>
      </c>
      <c r="U321">
        <v>115.7</v>
      </c>
      <c r="V321">
        <v>1762727256586.8</v>
      </c>
      <c r="W321">
        <v>1</v>
      </c>
      <c r="X321" t="s">
        <v>197</v>
      </c>
      <c r="Y321">
        <v>0</v>
      </c>
      <c r="Z321">
        <v>98</v>
      </c>
      <c r="AA321">
        <v>278</v>
      </c>
      <c r="AB321" t="s">
        <v>197</v>
      </c>
      <c r="AC321" t="s">
        <v>198</v>
      </c>
      <c r="AD321" t="s">
        <v>199</v>
      </c>
      <c r="AE321">
        <v>0</v>
      </c>
      <c r="AF321">
        <v>45</v>
      </c>
      <c r="AG321">
        <v>255</v>
      </c>
      <c r="AH321">
        <v>0</v>
      </c>
      <c r="AI321">
        <v>0</v>
      </c>
      <c r="AJ321">
        <v>0</v>
      </c>
      <c r="AK321">
        <v>12.6</v>
      </c>
      <c r="AL321">
        <v>0</v>
      </c>
      <c r="AM321">
        <v>0</v>
      </c>
      <c r="AN321" t="s">
        <v>197</v>
      </c>
      <c r="AO321">
        <v>100</v>
      </c>
      <c r="AP321" t="s">
        <v>197</v>
      </c>
      <c r="AQ321" t="s">
        <v>200</v>
      </c>
      <c r="AR321">
        <v>1</v>
      </c>
      <c r="AS321">
        <v>0</v>
      </c>
      <c r="AT321" t="s">
        <v>667</v>
      </c>
      <c r="AU321" t="s">
        <v>667</v>
      </c>
      <c r="AV321" t="s">
        <v>202</v>
      </c>
      <c r="AW321" t="s">
        <v>203</v>
      </c>
      <c r="AX321" t="s">
        <v>203</v>
      </c>
      <c r="AY321" t="s">
        <v>203</v>
      </c>
      <c r="AZ321" t="s">
        <v>203</v>
      </c>
      <c r="BA321" t="s">
        <v>203</v>
      </c>
      <c r="BB321" t="s">
        <v>203</v>
      </c>
      <c r="BC321" t="s">
        <v>203</v>
      </c>
      <c r="BD321" t="s">
        <v>203</v>
      </c>
      <c r="BE321" t="s">
        <v>203</v>
      </c>
      <c r="BF321">
        <v>0</v>
      </c>
      <c r="BG321">
        <v>0.2</v>
      </c>
      <c r="BH321">
        <v>50</v>
      </c>
      <c r="BI321">
        <v>0</v>
      </c>
      <c r="BJ321" t="s">
        <v>198</v>
      </c>
      <c r="BK321" t="s">
        <v>198</v>
      </c>
      <c r="BL321" t="s">
        <v>198</v>
      </c>
      <c r="BM321" t="s">
        <v>198</v>
      </c>
      <c r="BN321" t="s">
        <v>198</v>
      </c>
      <c r="BO321" t="s">
        <v>198</v>
      </c>
      <c r="BP321" t="s">
        <v>198</v>
      </c>
      <c r="BQ321" t="s">
        <v>198</v>
      </c>
      <c r="BR321" t="s">
        <v>198</v>
      </c>
      <c r="BS321" t="s">
        <v>198</v>
      </c>
      <c r="BT321" t="s">
        <v>198</v>
      </c>
      <c r="BU321" t="s">
        <v>198</v>
      </c>
      <c r="BV321" t="s">
        <v>198</v>
      </c>
      <c r="BW321" t="s">
        <v>198</v>
      </c>
      <c r="BX321" t="s">
        <v>198</v>
      </c>
      <c r="BY321" t="s">
        <v>198</v>
      </c>
      <c r="BZ321" t="s">
        <v>198</v>
      </c>
      <c r="CA321" t="s">
        <v>198</v>
      </c>
      <c r="CB321" t="s">
        <v>204</v>
      </c>
      <c r="CC321" t="s">
        <v>204</v>
      </c>
      <c r="CD321" t="s">
        <v>204</v>
      </c>
      <c r="CE321" t="s">
        <v>204</v>
      </c>
      <c r="CF321" t="s">
        <v>204</v>
      </c>
      <c r="CG321" t="s">
        <v>204</v>
      </c>
      <c r="CH321" t="s">
        <v>204</v>
      </c>
      <c r="CI321" t="s">
        <v>204</v>
      </c>
      <c r="CJ321" t="s">
        <v>204</v>
      </c>
      <c r="CK321" t="s">
        <v>204</v>
      </c>
      <c r="CL321" t="s">
        <v>204</v>
      </c>
      <c r="CM321" t="s">
        <v>204</v>
      </c>
      <c r="CN321" t="s">
        <v>203</v>
      </c>
      <c r="CO321" t="s">
        <v>203</v>
      </c>
      <c r="CP321" t="s">
        <v>203</v>
      </c>
      <c r="CQ321" t="s">
        <v>203</v>
      </c>
      <c r="CR321" t="s">
        <v>203</v>
      </c>
      <c r="CS321" t="s">
        <v>203</v>
      </c>
      <c r="CT321" t="s">
        <v>203</v>
      </c>
      <c r="CU321" t="s">
        <v>203</v>
      </c>
      <c r="CV321">
        <v>0</v>
      </c>
      <c r="CW321">
        <v>0</v>
      </c>
      <c r="CX321" t="s">
        <v>198</v>
      </c>
      <c r="CY321" t="s">
        <v>198</v>
      </c>
      <c r="CZ321" t="s">
        <v>198</v>
      </c>
      <c r="DA321" t="s">
        <v>198</v>
      </c>
      <c r="DB321" t="s">
        <v>198</v>
      </c>
      <c r="DC321">
        <v>0</v>
      </c>
      <c r="DD321">
        <v>0</v>
      </c>
      <c r="DE321">
        <v>0</v>
      </c>
      <c r="DF321">
        <v>0</v>
      </c>
      <c r="DG321">
        <v>-35.3631166</v>
      </c>
      <c r="DH321">
        <v>149.1639735</v>
      </c>
      <c r="DI321" t="s">
        <v>360</v>
      </c>
      <c r="DJ321">
        <v>1.2</v>
      </c>
      <c r="DK321">
        <v>2</v>
      </c>
      <c r="DL321">
        <v>159.8</v>
      </c>
      <c r="DM321">
        <v>0</v>
      </c>
      <c r="DN321">
        <v>6</v>
      </c>
      <c r="DO321">
        <v>10</v>
      </c>
      <c r="DP321">
        <v>0</v>
      </c>
      <c r="DQ321">
        <v>255</v>
      </c>
      <c r="DR321">
        <v>255</v>
      </c>
      <c r="DS321">
        <v>255</v>
      </c>
      <c r="DT321">
        <v>255</v>
      </c>
      <c r="DU321">
        <v>255</v>
      </c>
      <c r="DV321">
        <v>255</v>
      </c>
      <c r="DW321">
        <v>255</v>
      </c>
      <c r="DX321" t="s">
        <v>206</v>
      </c>
      <c r="DY321" t="s">
        <v>206</v>
      </c>
      <c r="DZ321" t="s">
        <v>207</v>
      </c>
      <c r="EA321" t="s">
        <v>198</v>
      </c>
      <c r="EB321" t="s">
        <v>198</v>
      </c>
      <c r="EC321" t="s">
        <v>198</v>
      </c>
      <c r="ED321">
        <v>0</v>
      </c>
      <c r="EE321">
        <v>0</v>
      </c>
      <c r="EF321">
        <v>0</v>
      </c>
      <c r="EG321">
        <v>0</v>
      </c>
      <c r="EH321">
        <v>255</v>
      </c>
      <c r="EI321">
        <v>255</v>
      </c>
      <c r="EJ321">
        <v>255</v>
      </c>
      <c r="EK321">
        <v>255</v>
      </c>
      <c r="EL321">
        <v>255</v>
      </c>
      <c r="EM321">
        <v>255</v>
      </c>
      <c r="EN321">
        <v>255</v>
      </c>
      <c r="EO321">
        <v>255</v>
      </c>
      <c r="EP321">
        <v>255</v>
      </c>
      <c r="EQ321">
        <v>255</v>
      </c>
      <c r="ER321" t="s">
        <v>208</v>
      </c>
      <c r="ES321" t="s">
        <v>209</v>
      </c>
      <c r="ET321" t="s">
        <v>209</v>
      </c>
      <c r="EU321">
        <v>0</v>
      </c>
      <c r="EV321">
        <v>16.2</v>
      </c>
      <c r="EW321">
        <v>-114.7</v>
      </c>
      <c r="EX321">
        <v>-0.2</v>
      </c>
      <c r="EY321">
        <v>0</v>
      </c>
      <c r="EZ321">
        <v>0</v>
      </c>
      <c r="FA321">
        <v>0</v>
      </c>
      <c r="FB321" t="s">
        <v>198</v>
      </c>
      <c r="FC321" t="s">
        <v>198</v>
      </c>
      <c r="FD321" t="s">
        <v>198</v>
      </c>
      <c r="FE321" t="s">
        <v>198</v>
      </c>
      <c r="FF321" t="s">
        <v>198</v>
      </c>
      <c r="FG321" t="s">
        <v>198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 t="s">
        <v>203</v>
      </c>
      <c r="FP321" t="s">
        <v>203</v>
      </c>
      <c r="FQ321" t="s">
        <v>203</v>
      </c>
      <c r="FR321" t="s">
        <v>203</v>
      </c>
      <c r="FS321" t="s">
        <v>203</v>
      </c>
      <c r="FT321" t="s">
        <v>203</v>
      </c>
      <c r="FU321" t="s">
        <v>198</v>
      </c>
      <c r="FV321" t="s">
        <v>198</v>
      </c>
      <c r="FW321" t="s">
        <v>198</v>
      </c>
      <c r="FX321" t="s">
        <v>198</v>
      </c>
      <c r="FY321" t="s">
        <v>198</v>
      </c>
      <c r="FZ321" t="s">
        <v>198</v>
      </c>
      <c r="GA321">
        <v>31.2</v>
      </c>
      <c r="GB321">
        <v>31.2</v>
      </c>
      <c r="GC321" t="s">
        <v>203</v>
      </c>
      <c r="GD321">
        <v>0</v>
      </c>
      <c r="GE321">
        <v>504</v>
      </c>
      <c r="GF321">
        <v>0</v>
      </c>
      <c r="GG321">
        <v>0</v>
      </c>
      <c r="GH321">
        <v>0</v>
      </c>
      <c r="GI321">
        <v>1</v>
      </c>
      <c r="GJ321">
        <v>1</v>
      </c>
      <c r="GK321">
        <v>0</v>
      </c>
      <c r="GL321" t="s">
        <v>198</v>
      </c>
      <c r="GM321" t="s">
        <v>198</v>
      </c>
      <c r="GN321" t="s">
        <v>198</v>
      </c>
    </row>
    <row r="322" spans="1:196">
      <c r="A322" s="19">
        <v>46316.907608125</v>
      </c>
      <c r="B322">
        <v>0</v>
      </c>
      <c r="C322">
        <v>0</v>
      </c>
      <c r="D322">
        <v>277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584.2</v>
      </c>
      <c r="N322">
        <v>-0.5</v>
      </c>
      <c r="O322">
        <v>0</v>
      </c>
      <c r="P322">
        <v>0</v>
      </c>
      <c r="Q322">
        <v>0</v>
      </c>
      <c r="R322">
        <v>0</v>
      </c>
      <c r="S322">
        <v>115.6</v>
      </c>
      <c r="T322" t="s">
        <v>485</v>
      </c>
      <c r="U322">
        <v>115.7</v>
      </c>
      <c r="V322">
        <v>1762727256586.8</v>
      </c>
      <c r="W322">
        <v>1</v>
      </c>
      <c r="X322" t="s">
        <v>197</v>
      </c>
      <c r="Y322">
        <v>0</v>
      </c>
      <c r="Z322">
        <v>98</v>
      </c>
      <c r="AA322">
        <v>278</v>
      </c>
      <c r="AB322" t="s">
        <v>197</v>
      </c>
      <c r="AC322" t="s">
        <v>198</v>
      </c>
      <c r="AD322" t="s">
        <v>199</v>
      </c>
      <c r="AE322">
        <v>0</v>
      </c>
      <c r="AF322">
        <v>45</v>
      </c>
      <c r="AG322">
        <v>255</v>
      </c>
      <c r="AH322">
        <v>0</v>
      </c>
      <c r="AI322">
        <v>0</v>
      </c>
      <c r="AJ322">
        <v>0</v>
      </c>
      <c r="AK322">
        <v>12.6</v>
      </c>
      <c r="AL322">
        <v>0</v>
      </c>
      <c r="AM322">
        <v>0</v>
      </c>
      <c r="AN322" t="s">
        <v>197</v>
      </c>
      <c r="AO322">
        <v>100</v>
      </c>
      <c r="AP322" t="s">
        <v>197</v>
      </c>
      <c r="AQ322" t="s">
        <v>200</v>
      </c>
      <c r="AR322">
        <v>1</v>
      </c>
      <c r="AS322">
        <v>0</v>
      </c>
      <c r="AT322" t="s">
        <v>668</v>
      </c>
      <c r="AU322" t="s">
        <v>668</v>
      </c>
      <c r="AV322" t="s">
        <v>202</v>
      </c>
      <c r="AW322" t="s">
        <v>203</v>
      </c>
      <c r="AX322" t="s">
        <v>203</v>
      </c>
      <c r="AY322" t="s">
        <v>203</v>
      </c>
      <c r="AZ322" t="s">
        <v>203</v>
      </c>
      <c r="BA322" t="s">
        <v>203</v>
      </c>
      <c r="BB322" t="s">
        <v>203</v>
      </c>
      <c r="BC322" t="s">
        <v>203</v>
      </c>
      <c r="BD322" t="s">
        <v>203</v>
      </c>
      <c r="BE322" t="s">
        <v>203</v>
      </c>
      <c r="BF322">
        <v>0</v>
      </c>
      <c r="BG322">
        <v>0.2</v>
      </c>
      <c r="BH322">
        <v>50</v>
      </c>
      <c r="BI322">
        <v>0</v>
      </c>
      <c r="BJ322" t="s">
        <v>198</v>
      </c>
      <c r="BK322" t="s">
        <v>198</v>
      </c>
      <c r="BL322" t="s">
        <v>198</v>
      </c>
      <c r="BM322" t="s">
        <v>198</v>
      </c>
      <c r="BN322" t="s">
        <v>198</v>
      </c>
      <c r="BO322" t="s">
        <v>198</v>
      </c>
      <c r="BP322" t="s">
        <v>198</v>
      </c>
      <c r="BQ322" t="s">
        <v>198</v>
      </c>
      <c r="BR322" t="s">
        <v>198</v>
      </c>
      <c r="BS322" t="s">
        <v>198</v>
      </c>
      <c r="BT322" t="s">
        <v>198</v>
      </c>
      <c r="BU322" t="s">
        <v>198</v>
      </c>
      <c r="BV322" t="s">
        <v>198</v>
      </c>
      <c r="BW322" t="s">
        <v>198</v>
      </c>
      <c r="BX322" t="s">
        <v>198</v>
      </c>
      <c r="BY322" t="s">
        <v>198</v>
      </c>
      <c r="BZ322" t="s">
        <v>198</v>
      </c>
      <c r="CA322" t="s">
        <v>198</v>
      </c>
      <c r="CB322" t="s">
        <v>204</v>
      </c>
      <c r="CC322" t="s">
        <v>204</v>
      </c>
      <c r="CD322" t="s">
        <v>204</v>
      </c>
      <c r="CE322" t="s">
        <v>204</v>
      </c>
      <c r="CF322" t="s">
        <v>204</v>
      </c>
      <c r="CG322" t="s">
        <v>204</v>
      </c>
      <c r="CH322" t="s">
        <v>204</v>
      </c>
      <c r="CI322" t="s">
        <v>204</v>
      </c>
      <c r="CJ322" t="s">
        <v>204</v>
      </c>
      <c r="CK322" t="s">
        <v>204</v>
      </c>
      <c r="CL322" t="s">
        <v>204</v>
      </c>
      <c r="CM322" t="s">
        <v>204</v>
      </c>
      <c r="CN322" t="s">
        <v>203</v>
      </c>
      <c r="CO322" t="s">
        <v>203</v>
      </c>
      <c r="CP322" t="s">
        <v>203</v>
      </c>
      <c r="CQ322" t="s">
        <v>203</v>
      </c>
      <c r="CR322" t="s">
        <v>203</v>
      </c>
      <c r="CS322" t="s">
        <v>203</v>
      </c>
      <c r="CT322" t="s">
        <v>203</v>
      </c>
      <c r="CU322" t="s">
        <v>203</v>
      </c>
      <c r="CV322">
        <v>0</v>
      </c>
      <c r="CW322">
        <v>0</v>
      </c>
      <c r="CX322" t="s">
        <v>198</v>
      </c>
      <c r="CY322" t="s">
        <v>198</v>
      </c>
      <c r="CZ322" t="s">
        <v>198</v>
      </c>
      <c r="DA322" t="s">
        <v>198</v>
      </c>
      <c r="DB322" t="s">
        <v>198</v>
      </c>
      <c r="DC322">
        <v>0</v>
      </c>
      <c r="DD322">
        <v>0</v>
      </c>
      <c r="DE322">
        <v>0</v>
      </c>
      <c r="DF322">
        <v>0</v>
      </c>
      <c r="DG322">
        <v>-35.3631166</v>
      </c>
      <c r="DH322">
        <v>149.1639735</v>
      </c>
      <c r="DI322" t="s">
        <v>360</v>
      </c>
      <c r="DJ322">
        <v>1.2</v>
      </c>
      <c r="DK322">
        <v>2</v>
      </c>
      <c r="DL322">
        <v>159.8</v>
      </c>
      <c r="DM322">
        <v>0</v>
      </c>
      <c r="DN322">
        <v>6</v>
      </c>
      <c r="DO322">
        <v>10</v>
      </c>
      <c r="DP322">
        <v>0</v>
      </c>
      <c r="DQ322">
        <v>255</v>
      </c>
      <c r="DR322">
        <v>255</v>
      </c>
      <c r="DS322">
        <v>255</v>
      </c>
      <c r="DT322">
        <v>255</v>
      </c>
      <c r="DU322">
        <v>255</v>
      </c>
      <c r="DV322">
        <v>255</v>
      </c>
      <c r="DW322">
        <v>255</v>
      </c>
      <c r="DX322" t="s">
        <v>206</v>
      </c>
      <c r="DY322" t="s">
        <v>206</v>
      </c>
      <c r="DZ322" t="s">
        <v>207</v>
      </c>
      <c r="EA322" t="s">
        <v>198</v>
      </c>
      <c r="EB322" t="s">
        <v>198</v>
      </c>
      <c r="EC322" t="s">
        <v>198</v>
      </c>
      <c r="ED322">
        <v>0</v>
      </c>
      <c r="EE322">
        <v>0</v>
      </c>
      <c r="EF322">
        <v>0</v>
      </c>
      <c r="EG322">
        <v>0</v>
      </c>
      <c r="EH322">
        <v>255</v>
      </c>
      <c r="EI322">
        <v>255</v>
      </c>
      <c r="EJ322">
        <v>255</v>
      </c>
      <c r="EK322">
        <v>255</v>
      </c>
      <c r="EL322">
        <v>255</v>
      </c>
      <c r="EM322">
        <v>255</v>
      </c>
      <c r="EN322">
        <v>255</v>
      </c>
      <c r="EO322">
        <v>255</v>
      </c>
      <c r="EP322">
        <v>255</v>
      </c>
      <c r="EQ322">
        <v>255</v>
      </c>
      <c r="ER322" t="s">
        <v>208</v>
      </c>
      <c r="ES322" t="s">
        <v>209</v>
      </c>
      <c r="ET322" t="s">
        <v>209</v>
      </c>
      <c r="EU322">
        <v>0</v>
      </c>
      <c r="EV322">
        <v>16.2</v>
      </c>
      <c r="EW322">
        <v>-114.7</v>
      </c>
      <c r="EX322">
        <v>-0.2</v>
      </c>
      <c r="EY322">
        <v>0</v>
      </c>
      <c r="EZ322">
        <v>0</v>
      </c>
      <c r="FA322">
        <v>0</v>
      </c>
      <c r="FB322" t="s">
        <v>198</v>
      </c>
      <c r="FC322" t="s">
        <v>198</v>
      </c>
      <c r="FD322" t="s">
        <v>198</v>
      </c>
      <c r="FE322" t="s">
        <v>198</v>
      </c>
      <c r="FF322" t="s">
        <v>198</v>
      </c>
      <c r="FG322" t="s">
        <v>198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 t="s">
        <v>203</v>
      </c>
      <c r="FP322" t="s">
        <v>203</v>
      </c>
      <c r="FQ322" t="s">
        <v>203</v>
      </c>
      <c r="FR322" t="s">
        <v>203</v>
      </c>
      <c r="FS322" t="s">
        <v>203</v>
      </c>
      <c r="FT322" t="s">
        <v>203</v>
      </c>
      <c r="FU322" t="s">
        <v>198</v>
      </c>
      <c r="FV322" t="s">
        <v>198</v>
      </c>
      <c r="FW322" t="s">
        <v>198</v>
      </c>
      <c r="FX322" t="s">
        <v>198</v>
      </c>
      <c r="FY322" t="s">
        <v>198</v>
      </c>
      <c r="FZ322" t="s">
        <v>198</v>
      </c>
      <c r="GA322">
        <v>31.2</v>
      </c>
      <c r="GB322">
        <v>31.2</v>
      </c>
      <c r="GC322" t="s">
        <v>203</v>
      </c>
      <c r="GD322">
        <v>0</v>
      </c>
      <c r="GE322">
        <v>504</v>
      </c>
      <c r="GF322">
        <v>0</v>
      </c>
      <c r="GG322">
        <v>0</v>
      </c>
      <c r="GH322">
        <v>0</v>
      </c>
      <c r="GI322">
        <v>1</v>
      </c>
      <c r="GJ322">
        <v>1</v>
      </c>
      <c r="GK322">
        <v>0</v>
      </c>
      <c r="GL322" t="s">
        <v>198</v>
      </c>
      <c r="GM322" t="s">
        <v>198</v>
      </c>
      <c r="GN322" t="s">
        <v>198</v>
      </c>
    </row>
    <row r="323" spans="1:196">
      <c r="A323" s="19">
        <v>46316.90761971065</v>
      </c>
      <c r="B323">
        <v>0</v>
      </c>
      <c r="C323">
        <v>0</v>
      </c>
      <c r="D323">
        <v>277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584.2</v>
      </c>
      <c r="N323">
        <v>-0.5</v>
      </c>
      <c r="O323">
        <v>0</v>
      </c>
      <c r="P323">
        <v>0</v>
      </c>
      <c r="Q323">
        <v>0</v>
      </c>
      <c r="R323">
        <v>0</v>
      </c>
      <c r="S323">
        <v>115.6</v>
      </c>
      <c r="T323" t="s">
        <v>485</v>
      </c>
      <c r="U323">
        <v>115.7</v>
      </c>
      <c r="V323">
        <v>1762727256586.8</v>
      </c>
      <c r="W323">
        <v>1</v>
      </c>
      <c r="X323" t="s">
        <v>197</v>
      </c>
      <c r="Y323">
        <v>0</v>
      </c>
      <c r="Z323">
        <v>98</v>
      </c>
      <c r="AA323">
        <v>278</v>
      </c>
      <c r="AB323" t="s">
        <v>197</v>
      </c>
      <c r="AC323" t="s">
        <v>198</v>
      </c>
      <c r="AD323" t="s">
        <v>199</v>
      </c>
      <c r="AE323">
        <v>0</v>
      </c>
      <c r="AF323">
        <v>45</v>
      </c>
      <c r="AG323">
        <v>255</v>
      </c>
      <c r="AH323">
        <v>0</v>
      </c>
      <c r="AI323">
        <v>0</v>
      </c>
      <c r="AJ323">
        <v>0</v>
      </c>
      <c r="AK323">
        <v>12.6</v>
      </c>
      <c r="AL323">
        <v>0</v>
      </c>
      <c r="AM323">
        <v>0</v>
      </c>
      <c r="AN323" t="s">
        <v>197</v>
      </c>
      <c r="AO323">
        <v>100</v>
      </c>
      <c r="AP323" t="s">
        <v>197</v>
      </c>
      <c r="AQ323" t="s">
        <v>200</v>
      </c>
      <c r="AR323">
        <v>1</v>
      </c>
      <c r="AS323">
        <v>0</v>
      </c>
      <c r="AT323" t="s">
        <v>669</v>
      </c>
      <c r="AU323" t="s">
        <v>669</v>
      </c>
      <c r="AV323" t="s">
        <v>202</v>
      </c>
      <c r="AW323" t="s">
        <v>203</v>
      </c>
      <c r="AX323" t="s">
        <v>203</v>
      </c>
      <c r="AY323" t="s">
        <v>203</v>
      </c>
      <c r="AZ323" t="s">
        <v>203</v>
      </c>
      <c r="BA323" t="s">
        <v>203</v>
      </c>
      <c r="BB323" t="s">
        <v>203</v>
      </c>
      <c r="BC323" t="s">
        <v>203</v>
      </c>
      <c r="BD323" t="s">
        <v>203</v>
      </c>
      <c r="BE323" t="s">
        <v>203</v>
      </c>
      <c r="BF323">
        <v>0</v>
      </c>
      <c r="BG323">
        <v>0.2</v>
      </c>
      <c r="BH323">
        <v>50</v>
      </c>
      <c r="BI323">
        <v>0</v>
      </c>
      <c r="BJ323" t="s">
        <v>198</v>
      </c>
      <c r="BK323" t="s">
        <v>198</v>
      </c>
      <c r="BL323" t="s">
        <v>198</v>
      </c>
      <c r="BM323" t="s">
        <v>198</v>
      </c>
      <c r="BN323" t="s">
        <v>198</v>
      </c>
      <c r="BO323" t="s">
        <v>198</v>
      </c>
      <c r="BP323" t="s">
        <v>198</v>
      </c>
      <c r="BQ323" t="s">
        <v>198</v>
      </c>
      <c r="BR323" t="s">
        <v>198</v>
      </c>
      <c r="BS323" t="s">
        <v>198</v>
      </c>
      <c r="BT323" t="s">
        <v>198</v>
      </c>
      <c r="BU323" t="s">
        <v>198</v>
      </c>
      <c r="BV323" t="s">
        <v>198</v>
      </c>
      <c r="BW323" t="s">
        <v>198</v>
      </c>
      <c r="BX323" t="s">
        <v>198</v>
      </c>
      <c r="BY323" t="s">
        <v>198</v>
      </c>
      <c r="BZ323" t="s">
        <v>198</v>
      </c>
      <c r="CA323" t="s">
        <v>198</v>
      </c>
      <c r="CB323" t="s">
        <v>204</v>
      </c>
      <c r="CC323" t="s">
        <v>204</v>
      </c>
      <c r="CD323" t="s">
        <v>204</v>
      </c>
      <c r="CE323" t="s">
        <v>204</v>
      </c>
      <c r="CF323" t="s">
        <v>204</v>
      </c>
      <c r="CG323" t="s">
        <v>204</v>
      </c>
      <c r="CH323" t="s">
        <v>204</v>
      </c>
      <c r="CI323" t="s">
        <v>204</v>
      </c>
      <c r="CJ323" t="s">
        <v>204</v>
      </c>
      <c r="CK323" t="s">
        <v>204</v>
      </c>
      <c r="CL323" t="s">
        <v>204</v>
      </c>
      <c r="CM323" t="s">
        <v>204</v>
      </c>
      <c r="CN323" t="s">
        <v>203</v>
      </c>
      <c r="CO323" t="s">
        <v>203</v>
      </c>
      <c r="CP323" t="s">
        <v>203</v>
      </c>
      <c r="CQ323" t="s">
        <v>203</v>
      </c>
      <c r="CR323" t="s">
        <v>203</v>
      </c>
      <c r="CS323" t="s">
        <v>203</v>
      </c>
      <c r="CT323" t="s">
        <v>203</v>
      </c>
      <c r="CU323" t="s">
        <v>203</v>
      </c>
      <c r="CV323">
        <v>0</v>
      </c>
      <c r="CW323">
        <v>0</v>
      </c>
      <c r="CX323" t="s">
        <v>198</v>
      </c>
      <c r="CY323" t="s">
        <v>198</v>
      </c>
      <c r="CZ323" t="s">
        <v>198</v>
      </c>
      <c r="DA323" t="s">
        <v>198</v>
      </c>
      <c r="DB323" t="s">
        <v>198</v>
      </c>
      <c r="DC323">
        <v>0</v>
      </c>
      <c r="DD323">
        <v>0</v>
      </c>
      <c r="DE323">
        <v>0</v>
      </c>
      <c r="DF323">
        <v>0</v>
      </c>
      <c r="DG323">
        <v>-35.3631166</v>
      </c>
      <c r="DH323">
        <v>149.1639735</v>
      </c>
      <c r="DI323" t="s">
        <v>360</v>
      </c>
      <c r="DJ323">
        <v>1.2</v>
      </c>
      <c r="DK323">
        <v>2</v>
      </c>
      <c r="DL323">
        <v>159.8</v>
      </c>
      <c r="DM323">
        <v>0</v>
      </c>
      <c r="DN323">
        <v>6</v>
      </c>
      <c r="DO323">
        <v>10</v>
      </c>
      <c r="DP323">
        <v>0</v>
      </c>
      <c r="DQ323">
        <v>255</v>
      </c>
      <c r="DR323">
        <v>255</v>
      </c>
      <c r="DS323">
        <v>255</v>
      </c>
      <c r="DT323">
        <v>255</v>
      </c>
      <c r="DU323">
        <v>255</v>
      </c>
      <c r="DV323">
        <v>255</v>
      </c>
      <c r="DW323">
        <v>255</v>
      </c>
      <c r="DX323" t="s">
        <v>206</v>
      </c>
      <c r="DY323" t="s">
        <v>206</v>
      </c>
      <c r="DZ323" t="s">
        <v>207</v>
      </c>
      <c r="EA323" t="s">
        <v>198</v>
      </c>
      <c r="EB323" t="s">
        <v>198</v>
      </c>
      <c r="EC323" t="s">
        <v>198</v>
      </c>
      <c r="ED323">
        <v>0</v>
      </c>
      <c r="EE323">
        <v>0</v>
      </c>
      <c r="EF323">
        <v>0</v>
      </c>
      <c r="EG323">
        <v>0</v>
      </c>
      <c r="EH323">
        <v>255</v>
      </c>
      <c r="EI323">
        <v>255</v>
      </c>
      <c r="EJ323">
        <v>255</v>
      </c>
      <c r="EK323">
        <v>255</v>
      </c>
      <c r="EL323">
        <v>255</v>
      </c>
      <c r="EM323">
        <v>255</v>
      </c>
      <c r="EN323">
        <v>255</v>
      </c>
      <c r="EO323">
        <v>255</v>
      </c>
      <c r="EP323">
        <v>255</v>
      </c>
      <c r="EQ323">
        <v>255</v>
      </c>
      <c r="ER323" t="s">
        <v>208</v>
      </c>
      <c r="ES323" t="s">
        <v>209</v>
      </c>
      <c r="ET323" t="s">
        <v>209</v>
      </c>
      <c r="EU323">
        <v>0</v>
      </c>
      <c r="EV323">
        <v>16.2</v>
      </c>
      <c r="EW323">
        <v>-114.7</v>
      </c>
      <c r="EX323">
        <v>-0.2</v>
      </c>
      <c r="EY323">
        <v>0</v>
      </c>
      <c r="EZ323">
        <v>0</v>
      </c>
      <c r="FA323">
        <v>0</v>
      </c>
      <c r="FB323" t="s">
        <v>198</v>
      </c>
      <c r="FC323" t="s">
        <v>198</v>
      </c>
      <c r="FD323" t="s">
        <v>198</v>
      </c>
      <c r="FE323" t="s">
        <v>198</v>
      </c>
      <c r="FF323" t="s">
        <v>198</v>
      </c>
      <c r="FG323" t="s">
        <v>198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 t="s">
        <v>203</v>
      </c>
      <c r="FP323" t="s">
        <v>203</v>
      </c>
      <c r="FQ323" t="s">
        <v>203</v>
      </c>
      <c r="FR323" t="s">
        <v>203</v>
      </c>
      <c r="FS323" t="s">
        <v>203</v>
      </c>
      <c r="FT323" t="s">
        <v>203</v>
      </c>
      <c r="FU323" t="s">
        <v>198</v>
      </c>
      <c r="FV323" t="s">
        <v>198</v>
      </c>
      <c r="FW323" t="s">
        <v>198</v>
      </c>
      <c r="FX323" t="s">
        <v>198</v>
      </c>
      <c r="FY323" t="s">
        <v>198</v>
      </c>
      <c r="FZ323" t="s">
        <v>198</v>
      </c>
      <c r="GA323">
        <v>31.2</v>
      </c>
      <c r="GB323">
        <v>31.2</v>
      </c>
      <c r="GC323" t="s">
        <v>203</v>
      </c>
      <c r="GD323">
        <v>0</v>
      </c>
      <c r="GE323">
        <v>504</v>
      </c>
      <c r="GF323">
        <v>0</v>
      </c>
      <c r="GG323">
        <v>0</v>
      </c>
      <c r="GH323">
        <v>0</v>
      </c>
      <c r="GI323">
        <v>1</v>
      </c>
      <c r="GJ323">
        <v>1</v>
      </c>
      <c r="GK323">
        <v>0</v>
      </c>
      <c r="GL323" t="s">
        <v>198</v>
      </c>
      <c r="GM323" t="s">
        <v>198</v>
      </c>
      <c r="GN323" t="s">
        <v>198</v>
      </c>
    </row>
    <row r="324" spans="1:196">
      <c r="A324" s="19">
        <v>46316.90763128472</v>
      </c>
      <c r="B324">
        <v>0</v>
      </c>
      <c r="C324">
        <v>0</v>
      </c>
      <c r="D324">
        <v>277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584.2</v>
      </c>
      <c r="N324">
        <v>-0.5</v>
      </c>
      <c r="O324">
        <v>0</v>
      </c>
      <c r="P324">
        <v>0</v>
      </c>
      <c r="Q324">
        <v>0</v>
      </c>
      <c r="R324">
        <v>0</v>
      </c>
      <c r="S324">
        <v>115.6</v>
      </c>
      <c r="T324" t="s">
        <v>485</v>
      </c>
      <c r="U324">
        <v>115.7</v>
      </c>
      <c r="V324">
        <v>1762727256586.8</v>
      </c>
      <c r="W324">
        <v>1</v>
      </c>
      <c r="X324" t="s">
        <v>197</v>
      </c>
      <c r="Y324">
        <v>0</v>
      </c>
      <c r="Z324">
        <v>98</v>
      </c>
      <c r="AA324">
        <v>278</v>
      </c>
      <c r="AB324" t="s">
        <v>197</v>
      </c>
      <c r="AC324" t="s">
        <v>198</v>
      </c>
      <c r="AD324" t="s">
        <v>199</v>
      </c>
      <c r="AE324">
        <v>0</v>
      </c>
      <c r="AF324">
        <v>45</v>
      </c>
      <c r="AG324">
        <v>255</v>
      </c>
      <c r="AH324">
        <v>0</v>
      </c>
      <c r="AI324">
        <v>0</v>
      </c>
      <c r="AJ324">
        <v>0</v>
      </c>
      <c r="AK324">
        <v>12.6</v>
      </c>
      <c r="AL324">
        <v>0</v>
      </c>
      <c r="AM324">
        <v>0</v>
      </c>
      <c r="AN324" t="s">
        <v>197</v>
      </c>
      <c r="AO324">
        <v>100</v>
      </c>
      <c r="AP324" t="s">
        <v>197</v>
      </c>
      <c r="AQ324" t="s">
        <v>200</v>
      </c>
      <c r="AR324">
        <v>1</v>
      </c>
      <c r="AS324">
        <v>0</v>
      </c>
      <c r="AT324" t="s">
        <v>670</v>
      </c>
      <c r="AU324" t="s">
        <v>670</v>
      </c>
      <c r="AV324" t="s">
        <v>202</v>
      </c>
      <c r="AW324" t="s">
        <v>203</v>
      </c>
      <c r="AX324" t="s">
        <v>203</v>
      </c>
      <c r="AY324" t="s">
        <v>203</v>
      </c>
      <c r="AZ324" t="s">
        <v>203</v>
      </c>
      <c r="BA324" t="s">
        <v>203</v>
      </c>
      <c r="BB324" t="s">
        <v>203</v>
      </c>
      <c r="BC324" t="s">
        <v>203</v>
      </c>
      <c r="BD324" t="s">
        <v>203</v>
      </c>
      <c r="BE324" t="s">
        <v>203</v>
      </c>
      <c r="BF324">
        <v>0</v>
      </c>
      <c r="BG324">
        <v>0.2</v>
      </c>
      <c r="BH324">
        <v>50</v>
      </c>
      <c r="BI324">
        <v>0</v>
      </c>
      <c r="BJ324" t="s">
        <v>198</v>
      </c>
      <c r="BK324" t="s">
        <v>198</v>
      </c>
      <c r="BL324" t="s">
        <v>198</v>
      </c>
      <c r="BM324" t="s">
        <v>198</v>
      </c>
      <c r="BN324" t="s">
        <v>198</v>
      </c>
      <c r="BO324" t="s">
        <v>198</v>
      </c>
      <c r="BP324" t="s">
        <v>198</v>
      </c>
      <c r="BQ324" t="s">
        <v>198</v>
      </c>
      <c r="BR324" t="s">
        <v>198</v>
      </c>
      <c r="BS324" t="s">
        <v>198</v>
      </c>
      <c r="BT324" t="s">
        <v>198</v>
      </c>
      <c r="BU324" t="s">
        <v>198</v>
      </c>
      <c r="BV324" t="s">
        <v>198</v>
      </c>
      <c r="BW324" t="s">
        <v>198</v>
      </c>
      <c r="BX324" t="s">
        <v>198</v>
      </c>
      <c r="BY324" t="s">
        <v>198</v>
      </c>
      <c r="BZ324" t="s">
        <v>198</v>
      </c>
      <c r="CA324" t="s">
        <v>198</v>
      </c>
      <c r="CB324" t="s">
        <v>204</v>
      </c>
      <c r="CC324" t="s">
        <v>204</v>
      </c>
      <c r="CD324" t="s">
        <v>204</v>
      </c>
      <c r="CE324" t="s">
        <v>204</v>
      </c>
      <c r="CF324" t="s">
        <v>204</v>
      </c>
      <c r="CG324" t="s">
        <v>204</v>
      </c>
      <c r="CH324" t="s">
        <v>204</v>
      </c>
      <c r="CI324" t="s">
        <v>204</v>
      </c>
      <c r="CJ324" t="s">
        <v>204</v>
      </c>
      <c r="CK324" t="s">
        <v>204</v>
      </c>
      <c r="CL324" t="s">
        <v>204</v>
      </c>
      <c r="CM324" t="s">
        <v>204</v>
      </c>
      <c r="CN324" t="s">
        <v>203</v>
      </c>
      <c r="CO324" t="s">
        <v>203</v>
      </c>
      <c r="CP324" t="s">
        <v>203</v>
      </c>
      <c r="CQ324" t="s">
        <v>203</v>
      </c>
      <c r="CR324" t="s">
        <v>203</v>
      </c>
      <c r="CS324" t="s">
        <v>203</v>
      </c>
      <c r="CT324" t="s">
        <v>203</v>
      </c>
      <c r="CU324" t="s">
        <v>203</v>
      </c>
      <c r="CV324">
        <v>0</v>
      </c>
      <c r="CW324">
        <v>0</v>
      </c>
      <c r="CX324" t="s">
        <v>198</v>
      </c>
      <c r="CY324" t="s">
        <v>198</v>
      </c>
      <c r="CZ324" t="s">
        <v>198</v>
      </c>
      <c r="DA324" t="s">
        <v>198</v>
      </c>
      <c r="DB324" t="s">
        <v>198</v>
      </c>
      <c r="DC324">
        <v>0</v>
      </c>
      <c r="DD324">
        <v>0</v>
      </c>
      <c r="DE324">
        <v>0</v>
      </c>
      <c r="DF324">
        <v>0</v>
      </c>
      <c r="DG324">
        <v>-35.3631166</v>
      </c>
      <c r="DH324">
        <v>149.1639735</v>
      </c>
      <c r="DI324" t="s">
        <v>360</v>
      </c>
      <c r="DJ324">
        <v>1.2</v>
      </c>
      <c r="DK324">
        <v>2</v>
      </c>
      <c r="DL324">
        <v>159.8</v>
      </c>
      <c r="DM324">
        <v>0</v>
      </c>
      <c r="DN324">
        <v>6</v>
      </c>
      <c r="DO324">
        <v>10</v>
      </c>
      <c r="DP324">
        <v>0</v>
      </c>
      <c r="DQ324">
        <v>255</v>
      </c>
      <c r="DR324">
        <v>255</v>
      </c>
      <c r="DS324">
        <v>255</v>
      </c>
      <c r="DT324">
        <v>255</v>
      </c>
      <c r="DU324">
        <v>255</v>
      </c>
      <c r="DV324">
        <v>255</v>
      </c>
      <c r="DW324">
        <v>255</v>
      </c>
      <c r="DX324" t="s">
        <v>206</v>
      </c>
      <c r="DY324" t="s">
        <v>206</v>
      </c>
      <c r="DZ324" t="s">
        <v>207</v>
      </c>
      <c r="EA324" t="s">
        <v>198</v>
      </c>
      <c r="EB324" t="s">
        <v>198</v>
      </c>
      <c r="EC324" t="s">
        <v>198</v>
      </c>
      <c r="ED324">
        <v>0</v>
      </c>
      <c r="EE324">
        <v>0</v>
      </c>
      <c r="EF324">
        <v>0</v>
      </c>
      <c r="EG324">
        <v>0</v>
      </c>
      <c r="EH324">
        <v>255</v>
      </c>
      <c r="EI324">
        <v>255</v>
      </c>
      <c r="EJ324">
        <v>255</v>
      </c>
      <c r="EK324">
        <v>255</v>
      </c>
      <c r="EL324">
        <v>255</v>
      </c>
      <c r="EM324">
        <v>255</v>
      </c>
      <c r="EN324">
        <v>255</v>
      </c>
      <c r="EO324">
        <v>255</v>
      </c>
      <c r="EP324">
        <v>255</v>
      </c>
      <c r="EQ324">
        <v>255</v>
      </c>
      <c r="ER324" t="s">
        <v>208</v>
      </c>
      <c r="ES324" t="s">
        <v>209</v>
      </c>
      <c r="ET324" t="s">
        <v>209</v>
      </c>
      <c r="EU324">
        <v>0</v>
      </c>
      <c r="EV324">
        <v>16.2</v>
      </c>
      <c r="EW324">
        <v>-114.7</v>
      </c>
      <c r="EX324">
        <v>-0.2</v>
      </c>
      <c r="EY324">
        <v>0</v>
      </c>
      <c r="EZ324">
        <v>0</v>
      </c>
      <c r="FA324">
        <v>0</v>
      </c>
      <c r="FB324" t="s">
        <v>198</v>
      </c>
      <c r="FC324" t="s">
        <v>198</v>
      </c>
      <c r="FD324" t="s">
        <v>198</v>
      </c>
      <c r="FE324" t="s">
        <v>198</v>
      </c>
      <c r="FF324" t="s">
        <v>198</v>
      </c>
      <c r="FG324" t="s">
        <v>198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 t="s">
        <v>203</v>
      </c>
      <c r="FP324" t="s">
        <v>203</v>
      </c>
      <c r="FQ324" t="s">
        <v>203</v>
      </c>
      <c r="FR324" t="s">
        <v>203</v>
      </c>
      <c r="FS324" t="s">
        <v>203</v>
      </c>
      <c r="FT324" t="s">
        <v>203</v>
      </c>
      <c r="FU324" t="s">
        <v>198</v>
      </c>
      <c r="FV324" t="s">
        <v>198</v>
      </c>
      <c r="FW324" t="s">
        <v>198</v>
      </c>
      <c r="FX324" t="s">
        <v>198</v>
      </c>
      <c r="FY324" t="s">
        <v>198</v>
      </c>
      <c r="FZ324" t="s">
        <v>198</v>
      </c>
      <c r="GA324">
        <v>31.2</v>
      </c>
      <c r="GB324">
        <v>31.2</v>
      </c>
      <c r="GC324" t="s">
        <v>203</v>
      </c>
      <c r="GD324">
        <v>0</v>
      </c>
      <c r="GE324">
        <v>504</v>
      </c>
      <c r="GF324">
        <v>0</v>
      </c>
      <c r="GG324">
        <v>0</v>
      </c>
      <c r="GH324">
        <v>0</v>
      </c>
      <c r="GI324">
        <v>1</v>
      </c>
      <c r="GJ324">
        <v>1</v>
      </c>
      <c r="GK324">
        <v>0</v>
      </c>
      <c r="GL324" t="s">
        <v>198</v>
      </c>
      <c r="GM324" t="s">
        <v>198</v>
      </c>
      <c r="GN324" t="s">
        <v>198</v>
      </c>
    </row>
    <row r="325" spans="1:196">
      <c r="A325" s="19">
        <v>46316.90764285879</v>
      </c>
      <c r="B325">
        <v>0</v>
      </c>
      <c r="C325">
        <v>0</v>
      </c>
      <c r="D325">
        <v>277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584.2</v>
      </c>
      <c r="N325">
        <v>-0.5</v>
      </c>
      <c r="O325">
        <v>0</v>
      </c>
      <c r="P325">
        <v>0</v>
      </c>
      <c r="Q325">
        <v>0</v>
      </c>
      <c r="R325">
        <v>0</v>
      </c>
      <c r="S325">
        <v>115.6</v>
      </c>
      <c r="T325" t="s">
        <v>485</v>
      </c>
      <c r="U325">
        <v>115.7</v>
      </c>
      <c r="V325">
        <v>1762727256586.8</v>
      </c>
      <c r="W325">
        <v>1</v>
      </c>
      <c r="X325" t="s">
        <v>197</v>
      </c>
      <c r="Y325">
        <v>0</v>
      </c>
      <c r="Z325">
        <v>98</v>
      </c>
      <c r="AA325">
        <v>278</v>
      </c>
      <c r="AB325" t="s">
        <v>197</v>
      </c>
      <c r="AC325" t="s">
        <v>198</v>
      </c>
      <c r="AD325" t="s">
        <v>199</v>
      </c>
      <c r="AE325">
        <v>0</v>
      </c>
      <c r="AF325">
        <v>45</v>
      </c>
      <c r="AG325">
        <v>255</v>
      </c>
      <c r="AH325">
        <v>0</v>
      </c>
      <c r="AI325">
        <v>0</v>
      </c>
      <c r="AJ325">
        <v>0</v>
      </c>
      <c r="AK325">
        <v>12.6</v>
      </c>
      <c r="AL325">
        <v>0</v>
      </c>
      <c r="AM325">
        <v>0</v>
      </c>
      <c r="AN325" t="s">
        <v>197</v>
      </c>
      <c r="AO325">
        <v>100</v>
      </c>
      <c r="AP325" t="s">
        <v>197</v>
      </c>
      <c r="AQ325" t="s">
        <v>200</v>
      </c>
      <c r="AR325">
        <v>1</v>
      </c>
      <c r="AS325">
        <v>0</v>
      </c>
      <c r="AT325" t="s">
        <v>671</v>
      </c>
      <c r="AU325" t="s">
        <v>671</v>
      </c>
      <c r="AV325" t="s">
        <v>202</v>
      </c>
      <c r="AW325" t="s">
        <v>203</v>
      </c>
      <c r="AX325" t="s">
        <v>203</v>
      </c>
      <c r="AY325" t="s">
        <v>203</v>
      </c>
      <c r="AZ325" t="s">
        <v>203</v>
      </c>
      <c r="BA325" t="s">
        <v>203</v>
      </c>
      <c r="BB325" t="s">
        <v>203</v>
      </c>
      <c r="BC325" t="s">
        <v>203</v>
      </c>
      <c r="BD325" t="s">
        <v>203</v>
      </c>
      <c r="BE325" t="s">
        <v>203</v>
      </c>
      <c r="BF325">
        <v>0</v>
      </c>
      <c r="BG325">
        <v>0.2</v>
      </c>
      <c r="BH325">
        <v>50</v>
      </c>
      <c r="BI325">
        <v>0</v>
      </c>
      <c r="BJ325" t="s">
        <v>198</v>
      </c>
      <c r="BK325" t="s">
        <v>198</v>
      </c>
      <c r="BL325" t="s">
        <v>198</v>
      </c>
      <c r="BM325" t="s">
        <v>198</v>
      </c>
      <c r="BN325" t="s">
        <v>198</v>
      </c>
      <c r="BO325" t="s">
        <v>198</v>
      </c>
      <c r="BP325" t="s">
        <v>198</v>
      </c>
      <c r="BQ325" t="s">
        <v>198</v>
      </c>
      <c r="BR325" t="s">
        <v>198</v>
      </c>
      <c r="BS325" t="s">
        <v>198</v>
      </c>
      <c r="BT325" t="s">
        <v>198</v>
      </c>
      <c r="BU325" t="s">
        <v>198</v>
      </c>
      <c r="BV325" t="s">
        <v>198</v>
      </c>
      <c r="BW325" t="s">
        <v>198</v>
      </c>
      <c r="BX325" t="s">
        <v>198</v>
      </c>
      <c r="BY325" t="s">
        <v>198</v>
      </c>
      <c r="BZ325" t="s">
        <v>198</v>
      </c>
      <c r="CA325" t="s">
        <v>198</v>
      </c>
      <c r="CB325" t="s">
        <v>204</v>
      </c>
      <c r="CC325" t="s">
        <v>204</v>
      </c>
      <c r="CD325" t="s">
        <v>204</v>
      </c>
      <c r="CE325" t="s">
        <v>204</v>
      </c>
      <c r="CF325" t="s">
        <v>204</v>
      </c>
      <c r="CG325" t="s">
        <v>204</v>
      </c>
      <c r="CH325" t="s">
        <v>204</v>
      </c>
      <c r="CI325" t="s">
        <v>204</v>
      </c>
      <c r="CJ325" t="s">
        <v>204</v>
      </c>
      <c r="CK325" t="s">
        <v>204</v>
      </c>
      <c r="CL325" t="s">
        <v>204</v>
      </c>
      <c r="CM325" t="s">
        <v>204</v>
      </c>
      <c r="CN325" t="s">
        <v>203</v>
      </c>
      <c r="CO325" t="s">
        <v>203</v>
      </c>
      <c r="CP325" t="s">
        <v>203</v>
      </c>
      <c r="CQ325" t="s">
        <v>203</v>
      </c>
      <c r="CR325" t="s">
        <v>203</v>
      </c>
      <c r="CS325" t="s">
        <v>203</v>
      </c>
      <c r="CT325" t="s">
        <v>203</v>
      </c>
      <c r="CU325" t="s">
        <v>203</v>
      </c>
      <c r="CV325">
        <v>0</v>
      </c>
      <c r="CW325">
        <v>0</v>
      </c>
      <c r="CX325" t="s">
        <v>198</v>
      </c>
      <c r="CY325" t="s">
        <v>198</v>
      </c>
      <c r="CZ325" t="s">
        <v>198</v>
      </c>
      <c r="DA325" t="s">
        <v>198</v>
      </c>
      <c r="DB325" t="s">
        <v>198</v>
      </c>
      <c r="DC325">
        <v>0</v>
      </c>
      <c r="DD325">
        <v>0</v>
      </c>
      <c r="DE325">
        <v>0</v>
      </c>
      <c r="DF325">
        <v>0</v>
      </c>
      <c r="DG325">
        <v>-35.3631166</v>
      </c>
      <c r="DH325">
        <v>149.1639735</v>
      </c>
      <c r="DI325" t="s">
        <v>360</v>
      </c>
      <c r="DJ325">
        <v>1.2</v>
      </c>
      <c r="DK325">
        <v>2</v>
      </c>
      <c r="DL325">
        <v>159.8</v>
      </c>
      <c r="DM325">
        <v>0</v>
      </c>
      <c r="DN325">
        <v>6</v>
      </c>
      <c r="DO325">
        <v>10</v>
      </c>
      <c r="DP325">
        <v>0</v>
      </c>
      <c r="DQ325">
        <v>255</v>
      </c>
      <c r="DR325">
        <v>255</v>
      </c>
      <c r="DS325">
        <v>255</v>
      </c>
      <c r="DT325">
        <v>255</v>
      </c>
      <c r="DU325">
        <v>255</v>
      </c>
      <c r="DV325">
        <v>255</v>
      </c>
      <c r="DW325">
        <v>255</v>
      </c>
      <c r="DX325" t="s">
        <v>206</v>
      </c>
      <c r="DY325" t="s">
        <v>206</v>
      </c>
      <c r="DZ325" t="s">
        <v>207</v>
      </c>
      <c r="EA325" t="s">
        <v>198</v>
      </c>
      <c r="EB325" t="s">
        <v>198</v>
      </c>
      <c r="EC325" t="s">
        <v>198</v>
      </c>
      <c r="ED325">
        <v>0</v>
      </c>
      <c r="EE325">
        <v>0</v>
      </c>
      <c r="EF325">
        <v>0</v>
      </c>
      <c r="EG325">
        <v>0</v>
      </c>
      <c r="EH325">
        <v>255</v>
      </c>
      <c r="EI325">
        <v>255</v>
      </c>
      <c r="EJ325">
        <v>255</v>
      </c>
      <c r="EK325">
        <v>255</v>
      </c>
      <c r="EL325">
        <v>255</v>
      </c>
      <c r="EM325">
        <v>255</v>
      </c>
      <c r="EN325">
        <v>255</v>
      </c>
      <c r="EO325">
        <v>255</v>
      </c>
      <c r="EP325">
        <v>255</v>
      </c>
      <c r="EQ325">
        <v>255</v>
      </c>
      <c r="ER325" t="s">
        <v>208</v>
      </c>
      <c r="ES325" t="s">
        <v>209</v>
      </c>
      <c r="ET325" t="s">
        <v>209</v>
      </c>
      <c r="EU325">
        <v>0</v>
      </c>
      <c r="EV325">
        <v>16.2</v>
      </c>
      <c r="EW325">
        <v>-114.7</v>
      </c>
      <c r="EX325">
        <v>-0.2</v>
      </c>
      <c r="EY325">
        <v>0</v>
      </c>
      <c r="EZ325">
        <v>0</v>
      </c>
      <c r="FA325">
        <v>0</v>
      </c>
      <c r="FB325" t="s">
        <v>198</v>
      </c>
      <c r="FC325" t="s">
        <v>198</v>
      </c>
      <c r="FD325" t="s">
        <v>198</v>
      </c>
      <c r="FE325" t="s">
        <v>198</v>
      </c>
      <c r="FF325" t="s">
        <v>198</v>
      </c>
      <c r="FG325" t="s">
        <v>198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203</v>
      </c>
      <c r="FP325" t="s">
        <v>203</v>
      </c>
      <c r="FQ325" t="s">
        <v>203</v>
      </c>
      <c r="FR325" t="s">
        <v>203</v>
      </c>
      <c r="FS325" t="s">
        <v>203</v>
      </c>
      <c r="FT325" t="s">
        <v>203</v>
      </c>
      <c r="FU325" t="s">
        <v>198</v>
      </c>
      <c r="FV325" t="s">
        <v>198</v>
      </c>
      <c r="FW325" t="s">
        <v>198</v>
      </c>
      <c r="FX325" t="s">
        <v>198</v>
      </c>
      <c r="FY325" t="s">
        <v>198</v>
      </c>
      <c r="FZ325" t="s">
        <v>198</v>
      </c>
      <c r="GA325">
        <v>31.2</v>
      </c>
      <c r="GB325">
        <v>31.2</v>
      </c>
      <c r="GC325" t="s">
        <v>203</v>
      </c>
      <c r="GD325">
        <v>0</v>
      </c>
      <c r="GE325">
        <v>504</v>
      </c>
      <c r="GF325">
        <v>0</v>
      </c>
      <c r="GG325">
        <v>0</v>
      </c>
      <c r="GH325">
        <v>0</v>
      </c>
      <c r="GI325">
        <v>1</v>
      </c>
      <c r="GJ325">
        <v>1</v>
      </c>
      <c r="GK325">
        <v>0</v>
      </c>
      <c r="GL325" t="s">
        <v>198</v>
      </c>
      <c r="GM325" t="s">
        <v>198</v>
      </c>
      <c r="GN325" t="s">
        <v>198</v>
      </c>
    </row>
    <row r="326" spans="1:196">
      <c r="A326" s="19">
        <v>46316.90765443287</v>
      </c>
      <c r="B326">
        <v>0</v>
      </c>
      <c r="C326">
        <v>0</v>
      </c>
      <c r="D326">
        <v>277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584.2</v>
      </c>
      <c r="N326">
        <v>-0.5</v>
      </c>
      <c r="O326">
        <v>0</v>
      </c>
      <c r="P326">
        <v>0</v>
      </c>
      <c r="Q326">
        <v>0</v>
      </c>
      <c r="R326">
        <v>0</v>
      </c>
      <c r="S326">
        <v>115.6</v>
      </c>
      <c r="T326" t="s">
        <v>485</v>
      </c>
      <c r="U326">
        <v>115.7</v>
      </c>
      <c r="V326">
        <v>1762727256586.8</v>
      </c>
      <c r="W326">
        <v>1</v>
      </c>
      <c r="X326" t="s">
        <v>197</v>
      </c>
      <c r="Y326">
        <v>0</v>
      </c>
      <c r="Z326">
        <v>98</v>
      </c>
      <c r="AA326">
        <v>278</v>
      </c>
      <c r="AB326" t="s">
        <v>197</v>
      </c>
      <c r="AC326" t="s">
        <v>198</v>
      </c>
      <c r="AD326" t="s">
        <v>199</v>
      </c>
      <c r="AE326">
        <v>0</v>
      </c>
      <c r="AF326">
        <v>45</v>
      </c>
      <c r="AG326">
        <v>255</v>
      </c>
      <c r="AH326">
        <v>0</v>
      </c>
      <c r="AI326">
        <v>0</v>
      </c>
      <c r="AJ326">
        <v>0</v>
      </c>
      <c r="AK326">
        <v>12.6</v>
      </c>
      <c r="AL326">
        <v>0</v>
      </c>
      <c r="AM326">
        <v>0</v>
      </c>
      <c r="AN326" t="s">
        <v>197</v>
      </c>
      <c r="AO326">
        <v>100</v>
      </c>
      <c r="AP326" t="s">
        <v>197</v>
      </c>
      <c r="AQ326" t="s">
        <v>200</v>
      </c>
      <c r="AR326">
        <v>1</v>
      </c>
      <c r="AS326">
        <v>0</v>
      </c>
      <c r="AT326" t="s">
        <v>672</v>
      </c>
      <c r="AU326" t="s">
        <v>672</v>
      </c>
      <c r="AV326" t="s">
        <v>202</v>
      </c>
      <c r="AW326" t="s">
        <v>203</v>
      </c>
      <c r="AX326" t="s">
        <v>203</v>
      </c>
      <c r="AY326" t="s">
        <v>203</v>
      </c>
      <c r="AZ326" t="s">
        <v>203</v>
      </c>
      <c r="BA326" t="s">
        <v>203</v>
      </c>
      <c r="BB326" t="s">
        <v>203</v>
      </c>
      <c r="BC326" t="s">
        <v>203</v>
      </c>
      <c r="BD326" t="s">
        <v>203</v>
      </c>
      <c r="BE326" t="s">
        <v>203</v>
      </c>
      <c r="BF326">
        <v>0</v>
      </c>
      <c r="BG326">
        <v>0.2</v>
      </c>
      <c r="BH326">
        <v>50</v>
      </c>
      <c r="BI326">
        <v>0</v>
      </c>
      <c r="BJ326" t="s">
        <v>198</v>
      </c>
      <c r="BK326" t="s">
        <v>198</v>
      </c>
      <c r="BL326" t="s">
        <v>198</v>
      </c>
      <c r="BM326" t="s">
        <v>198</v>
      </c>
      <c r="BN326" t="s">
        <v>198</v>
      </c>
      <c r="BO326" t="s">
        <v>198</v>
      </c>
      <c r="BP326" t="s">
        <v>198</v>
      </c>
      <c r="BQ326" t="s">
        <v>198</v>
      </c>
      <c r="BR326" t="s">
        <v>198</v>
      </c>
      <c r="BS326" t="s">
        <v>198</v>
      </c>
      <c r="BT326" t="s">
        <v>198</v>
      </c>
      <c r="BU326" t="s">
        <v>198</v>
      </c>
      <c r="BV326" t="s">
        <v>198</v>
      </c>
      <c r="BW326" t="s">
        <v>198</v>
      </c>
      <c r="BX326" t="s">
        <v>198</v>
      </c>
      <c r="BY326" t="s">
        <v>198</v>
      </c>
      <c r="BZ326" t="s">
        <v>198</v>
      </c>
      <c r="CA326" t="s">
        <v>198</v>
      </c>
      <c r="CB326" t="s">
        <v>204</v>
      </c>
      <c r="CC326" t="s">
        <v>204</v>
      </c>
      <c r="CD326" t="s">
        <v>204</v>
      </c>
      <c r="CE326" t="s">
        <v>204</v>
      </c>
      <c r="CF326" t="s">
        <v>204</v>
      </c>
      <c r="CG326" t="s">
        <v>204</v>
      </c>
      <c r="CH326" t="s">
        <v>204</v>
      </c>
      <c r="CI326" t="s">
        <v>204</v>
      </c>
      <c r="CJ326" t="s">
        <v>204</v>
      </c>
      <c r="CK326" t="s">
        <v>204</v>
      </c>
      <c r="CL326" t="s">
        <v>204</v>
      </c>
      <c r="CM326" t="s">
        <v>204</v>
      </c>
      <c r="CN326" t="s">
        <v>203</v>
      </c>
      <c r="CO326" t="s">
        <v>203</v>
      </c>
      <c r="CP326" t="s">
        <v>203</v>
      </c>
      <c r="CQ326" t="s">
        <v>203</v>
      </c>
      <c r="CR326" t="s">
        <v>203</v>
      </c>
      <c r="CS326" t="s">
        <v>203</v>
      </c>
      <c r="CT326" t="s">
        <v>203</v>
      </c>
      <c r="CU326" t="s">
        <v>203</v>
      </c>
      <c r="CV326">
        <v>0</v>
      </c>
      <c r="CW326">
        <v>0</v>
      </c>
      <c r="CX326" t="s">
        <v>198</v>
      </c>
      <c r="CY326" t="s">
        <v>198</v>
      </c>
      <c r="CZ326" t="s">
        <v>198</v>
      </c>
      <c r="DA326" t="s">
        <v>198</v>
      </c>
      <c r="DB326" t="s">
        <v>198</v>
      </c>
      <c r="DC326">
        <v>0</v>
      </c>
      <c r="DD326">
        <v>0</v>
      </c>
      <c r="DE326">
        <v>0</v>
      </c>
      <c r="DF326">
        <v>0</v>
      </c>
      <c r="DG326">
        <v>-35.3631166</v>
      </c>
      <c r="DH326">
        <v>149.1639735</v>
      </c>
      <c r="DI326" t="s">
        <v>360</v>
      </c>
      <c r="DJ326">
        <v>1.2</v>
      </c>
      <c r="DK326">
        <v>2</v>
      </c>
      <c r="DL326">
        <v>159.8</v>
      </c>
      <c r="DM326">
        <v>0</v>
      </c>
      <c r="DN326">
        <v>6</v>
      </c>
      <c r="DO326">
        <v>10</v>
      </c>
      <c r="DP326">
        <v>0</v>
      </c>
      <c r="DQ326">
        <v>255</v>
      </c>
      <c r="DR326">
        <v>255</v>
      </c>
      <c r="DS326">
        <v>255</v>
      </c>
      <c r="DT326">
        <v>255</v>
      </c>
      <c r="DU326">
        <v>255</v>
      </c>
      <c r="DV326">
        <v>255</v>
      </c>
      <c r="DW326">
        <v>255</v>
      </c>
      <c r="DX326" t="s">
        <v>206</v>
      </c>
      <c r="DY326" t="s">
        <v>206</v>
      </c>
      <c r="DZ326" t="s">
        <v>207</v>
      </c>
      <c r="EA326" t="s">
        <v>198</v>
      </c>
      <c r="EB326" t="s">
        <v>198</v>
      </c>
      <c r="EC326" t="s">
        <v>198</v>
      </c>
      <c r="ED326">
        <v>0</v>
      </c>
      <c r="EE326">
        <v>0</v>
      </c>
      <c r="EF326">
        <v>0</v>
      </c>
      <c r="EG326">
        <v>0</v>
      </c>
      <c r="EH326">
        <v>255</v>
      </c>
      <c r="EI326">
        <v>255</v>
      </c>
      <c r="EJ326">
        <v>255</v>
      </c>
      <c r="EK326">
        <v>255</v>
      </c>
      <c r="EL326">
        <v>255</v>
      </c>
      <c r="EM326">
        <v>255</v>
      </c>
      <c r="EN326">
        <v>255</v>
      </c>
      <c r="EO326">
        <v>255</v>
      </c>
      <c r="EP326">
        <v>255</v>
      </c>
      <c r="EQ326">
        <v>255</v>
      </c>
      <c r="ER326" t="s">
        <v>208</v>
      </c>
      <c r="ES326" t="s">
        <v>209</v>
      </c>
      <c r="ET326" t="s">
        <v>209</v>
      </c>
      <c r="EU326">
        <v>0</v>
      </c>
      <c r="EV326">
        <v>16.2</v>
      </c>
      <c r="EW326">
        <v>-114.7</v>
      </c>
      <c r="EX326">
        <v>-0.2</v>
      </c>
      <c r="EY326">
        <v>0</v>
      </c>
      <c r="EZ326">
        <v>0</v>
      </c>
      <c r="FA326">
        <v>0</v>
      </c>
      <c r="FB326" t="s">
        <v>198</v>
      </c>
      <c r="FC326" t="s">
        <v>198</v>
      </c>
      <c r="FD326" t="s">
        <v>198</v>
      </c>
      <c r="FE326" t="s">
        <v>198</v>
      </c>
      <c r="FF326" t="s">
        <v>198</v>
      </c>
      <c r="FG326" t="s">
        <v>198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203</v>
      </c>
      <c r="FP326" t="s">
        <v>203</v>
      </c>
      <c r="FQ326" t="s">
        <v>203</v>
      </c>
      <c r="FR326" t="s">
        <v>203</v>
      </c>
      <c r="FS326" t="s">
        <v>203</v>
      </c>
      <c r="FT326" t="s">
        <v>203</v>
      </c>
      <c r="FU326" t="s">
        <v>198</v>
      </c>
      <c r="FV326" t="s">
        <v>198</v>
      </c>
      <c r="FW326" t="s">
        <v>198</v>
      </c>
      <c r="FX326" t="s">
        <v>198</v>
      </c>
      <c r="FY326" t="s">
        <v>198</v>
      </c>
      <c r="FZ326" t="s">
        <v>198</v>
      </c>
      <c r="GA326">
        <v>31.2</v>
      </c>
      <c r="GB326">
        <v>31.2</v>
      </c>
      <c r="GC326" t="s">
        <v>203</v>
      </c>
      <c r="GD326">
        <v>0</v>
      </c>
      <c r="GE326">
        <v>504</v>
      </c>
      <c r="GF326">
        <v>0</v>
      </c>
      <c r="GG326">
        <v>0</v>
      </c>
      <c r="GH326">
        <v>0</v>
      </c>
      <c r="GI326">
        <v>1</v>
      </c>
      <c r="GJ326">
        <v>1</v>
      </c>
      <c r="GK326">
        <v>0</v>
      </c>
      <c r="GL326" t="s">
        <v>198</v>
      </c>
      <c r="GM326" t="s">
        <v>198</v>
      </c>
      <c r="GN326" t="s">
        <v>198</v>
      </c>
    </row>
    <row r="327" spans="1:196">
      <c r="A327" s="19">
        <v>46316.90766600695</v>
      </c>
      <c r="B327">
        <v>0</v>
      </c>
      <c r="C327">
        <v>0</v>
      </c>
      <c r="D327">
        <v>277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584.2</v>
      </c>
      <c r="N327">
        <v>-0.5</v>
      </c>
      <c r="O327">
        <v>0</v>
      </c>
      <c r="P327">
        <v>0</v>
      </c>
      <c r="Q327">
        <v>0</v>
      </c>
      <c r="R327">
        <v>0</v>
      </c>
      <c r="S327">
        <v>115.6</v>
      </c>
      <c r="T327" t="s">
        <v>485</v>
      </c>
      <c r="U327">
        <v>115.7</v>
      </c>
      <c r="V327">
        <v>1762727256586.8</v>
      </c>
      <c r="W327">
        <v>1</v>
      </c>
      <c r="X327" t="s">
        <v>197</v>
      </c>
      <c r="Y327">
        <v>0</v>
      </c>
      <c r="Z327">
        <v>98</v>
      </c>
      <c r="AA327">
        <v>278</v>
      </c>
      <c r="AB327" t="s">
        <v>197</v>
      </c>
      <c r="AC327" t="s">
        <v>198</v>
      </c>
      <c r="AD327" t="s">
        <v>199</v>
      </c>
      <c r="AE327">
        <v>0</v>
      </c>
      <c r="AF327">
        <v>45</v>
      </c>
      <c r="AG327">
        <v>255</v>
      </c>
      <c r="AH327">
        <v>0</v>
      </c>
      <c r="AI327">
        <v>0</v>
      </c>
      <c r="AJ327">
        <v>0</v>
      </c>
      <c r="AK327">
        <v>12.6</v>
      </c>
      <c r="AL327">
        <v>0</v>
      </c>
      <c r="AM327">
        <v>0</v>
      </c>
      <c r="AN327" t="s">
        <v>197</v>
      </c>
      <c r="AO327">
        <v>100</v>
      </c>
      <c r="AP327" t="s">
        <v>197</v>
      </c>
      <c r="AQ327" t="s">
        <v>200</v>
      </c>
      <c r="AR327">
        <v>1</v>
      </c>
      <c r="AS327">
        <v>0</v>
      </c>
      <c r="AT327" t="s">
        <v>673</v>
      </c>
      <c r="AU327" t="s">
        <v>673</v>
      </c>
      <c r="AV327" t="s">
        <v>202</v>
      </c>
      <c r="AW327" t="s">
        <v>203</v>
      </c>
      <c r="AX327" t="s">
        <v>203</v>
      </c>
      <c r="AY327" t="s">
        <v>203</v>
      </c>
      <c r="AZ327" t="s">
        <v>203</v>
      </c>
      <c r="BA327" t="s">
        <v>203</v>
      </c>
      <c r="BB327" t="s">
        <v>203</v>
      </c>
      <c r="BC327" t="s">
        <v>203</v>
      </c>
      <c r="BD327" t="s">
        <v>203</v>
      </c>
      <c r="BE327" t="s">
        <v>203</v>
      </c>
      <c r="BF327">
        <v>0</v>
      </c>
      <c r="BG327">
        <v>0.2</v>
      </c>
      <c r="BH327">
        <v>50</v>
      </c>
      <c r="BI327">
        <v>0</v>
      </c>
      <c r="BJ327" t="s">
        <v>198</v>
      </c>
      <c r="BK327" t="s">
        <v>198</v>
      </c>
      <c r="BL327" t="s">
        <v>198</v>
      </c>
      <c r="BM327" t="s">
        <v>198</v>
      </c>
      <c r="BN327" t="s">
        <v>198</v>
      </c>
      <c r="BO327" t="s">
        <v>198</v>
      </c>
      <c r="BP327" t="s">
        <v>198</v>
      </c>
      <c r="BQ327" t="s">
        <v>198</v>
      </c>
      <c r="BR327" t="s">
        <v>198</v>
      </c>
      <c r="BS327" t="s">
        <v>198</v>
      </c>
      <c r="BT327" t="s">
        <v>198</v>
      </c>
      <c r="BU327" t="s">
        <v>198</v>
      </c>
      <c r="BV327" t="s">
        <v>198</v>
      </c>
      <c r="BW327" t="s">
        <v>198</v>
      </c>
      <c r="BX327" t="s">
        <v>198</v>
      </c>
      <c r="BY327" t="s">
        <v>198</v>
      </c>
      <c r="BZ327" t="s">
        <v>198</v>
      </c>
      <c r="CA327" t="s">
        <v>198</v>
      </c>
      <c r="CB327" t="s">
        <v>204</v>
      </c>
      <c r="CC327" t="s">
        <v>204</v>
      </c>
      <c r="CD327" t="s">
        <v>204</v>
      </c>
      <c r="CE327" t="s">
        <v>204</v>
      </c>
      <c r="CF327" t="s">
        <v>204</v>
      </c>
      <c r="CG327" t="s">
        <v>204</v>
      </c>
      <c r="CH327" t="s">
        <v>204</v>
      </c>
      <c r="CI327" t="s">
        <v>204</v>
      </c>
      <c r="CJ327" t="s">
        <v>204</v>
      </c>
      <c r="CK327" t="s">
        <v>204</v>
      </c>
      <c r="CL327" t="s">
        <v>204</v>
      </c>
      <c r="CM327" t="s">
        <v>204</v>
      </c>
      <c r="CN327" t="s">
        <v>203</v>
      </c>
      <c r="CO327" t="s">
        <v>203</v>
      </c>
      <c r="CP327" t="s">
        <v>203</v>
      </c>
      <c r="CQ327" t="s">
        <v>203</v>
      </c>
      <c r="CR327" t="s">
        <v>203</v>
      </c>
      <c r="CS327" t="s">
        <v>203</v>
      </c>
      <c r="CT327" t="s">
        <v>203</v>
      </c>
      <c r="CU327" t="s">
        <v>203</v>
      </c>
      <c r="CV327">
        <v>0</v>
      </c>
      <c r="CW327">
        <v>0</v>
      </c>
      <c r="CX327" t="s">
        <v>198</v>
      </c>
      <c r="CY327" t="s">
        <v>198</v>
      </c>
      <c r="CZ327" t="s">
        <v>198</v>
      </c>
      <c r="DA327" t="s">
        <v>198</v>
      </c>
      <c r="DB327" t="s">
        <v>198</v>
      </c>
      <c r="DC327">
        <v>0</v>
      </c>
      <c r="DD327">
        <v>0</v>
      </c>
      <c r="DE327">
        <v>0</v>
      </c>
      <c r="DF327">
        <v>0</v>
      </c>
      <c r="DG327">
        <v>-35.3631166</v>
      </c>
      <c r="DH327">
        <v>149.1639735</v>
      </c>
      <c r="DI327" t="s">
        <v>360</v>
      </c>
      <c r="DJ327">
        <v>1.2</v>
      </c>
      <c r="DK327">
        <v>2</v>
      </c>
      <c r="DL327">
        <v>159.8</v>
      </c>
      <c r="DM327">
        <v>0</v>
      </c>
      <c r="DN327">
        <v>6</v>
      </c>
      <c r="DO327">
        <v>10</v>
      </c>
      <c r="DP327">
        <v>0</v>
      </c>
      <c r="DQ327">
        <v>255</v>
      </c>
      <c r="DR327">
        <v>255</v>
      </c>
      <c r="DS327">
        <v>255</v>
      </c>
      <c r="DT327">
        <v>255</v>
      </c>
      <c r="DU327">
        <v>255</v>
      </c>
      <c r="DV327">
        <v>255</v>
      </c>
      <c r="DW327">
        <v>255</v>
      </c>
      <c r="DX327" t="s">
        <v>206</v>
      </c>
      <c r="DY327" t="s">
        <v>206</v>
      </c>
      <c r="DZ327" t="s">
        <v>207</v>
      </c>
      <c r="EA327" t="s">
        <v>198</v>
      </c>
      <c r="EB327" t="s">
        <v>198</v>
      </c>
      <c r="EC327" t="s">
        <v>198</v>
      </c>
      <c r="ED327">
        <v>0</v>
      </c>
      <c r="EE327">
        <v>0</v>
      </c>
      <c r="EF327">
        <v>0</v>
      </c>
      <c r="EG327">
        <v>0</v>
      </c>
      <c r="EH327">
        <v>255</v>
      </c>
      <c r="EI327">
        <v>255</v>
      </c>
      <c r="EJ327">
        <v>255</v>
      </c>
      <c r="EK327">
        <v>255</v>
      </c>
      <c r="EL327">
        <v>255</v>
      </c>
      <c r="EM327">
        <v>255</v>
      </c>
      <c r="EN327">
        <v>255</v>
      </c>
      <c r="EO327">
        <v>255</v>
      </c>
      <c r="EP327">
        <v>255</v>
      </c>
      <c r="EQ327">
        <v>255</v>
      </c>
      <c r="ER327" t="s">
        <v>208</v>
      </c>
      <c r="ES327" t="s">
        <v>209</v>
      </c>
      <c r="ET327" t="s">
        <v>209</v>
      </c>
      <c r="EU327">
        <v>0</v>
      </c>
      <c r="EV327">
        <v>16.2</v>
      </c>
      <c r="EW327">
        <v>-114.7</v>
      </c>
      <c r="EX327">
        <v>-0.2</v>
      </c>
      <c r="EY327">
        <v>0</v>
      </c>
      <c r="EZ327">
        <v>0</v>
      </c>
      <c r="FA327">
        <v>0</v>
      </c>
      <c r="FB327" t="s">
        <v>198</v>
      </c>
      <c r="FC327" t="s">
        <v>198</v>
      </c>
      <c r="FD327" t="s">
        <v>198</v>
      </c>
      <c r="FE327" t="s">
        <v>198</v>
      </c>
      <c r="FF327" t="s">
        <v>198</v>
      </c>
      <c r="FG327" t="s">
        <v>198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203</v>
      </c>
      <c r="FP327" t="s">
        <v>203</v>
      </c>
      <c r="FQ327" t="s">
        <v>203</v>
      </c>
      <c r="FR327" t="s">
        <v>203</v>
      </c>
      <c r="FS327" t="s">
        <v>203</v>
      </c>
      <c r="FT327" t="s">
        <v>203</v>
      </c>
      <c r="FU327" t="s">
        <v>198</v>
      </c>
      <c r="FV327" t="s">
        <v>198</v>
      </c>
      <c r="FW327" t="s">
        <v>198</v>
      </c>
      <c r="FX327" t="s">
        <v>198</v>
      </c>
      <c r="FY327" t="s">
        <v>198</v>
      </c>
      <c r="FZ327" t="s">
        <v>198</v>
      </c>
      <c r="GA327">
        <v>31.2</v>
      </c>
      <c r="GB327">
        <v>31.2</v>
      </c>
      <c r="GC327" t="s">
        <v>203</v>
      </c>
      <c r="GD327">
        <v>0</v>
      </c>
      <c r="GE327">
        <v>504</v>
      </c>
      <c r="GF327">
        <v>0</v>
      </c>
      <c r="GG327">
        <v>0</v>
      </c>
      <c r="GH327">
        <v>0</v>
      </c>
      <c r="GI327">
        <v>1</v>
      </c>
      <c r="GJ327">
        <v>1</v>
      </c>
      <c r="GK327">
        <v>0</v>
      </c>
      <c r="GL327" t="s">
        <v>198</v>
      </c>
      <c r="GM327" t="s">
        <v>198</v>
      </c>
      <c r="GN327" t="s">
        <v>198</v>
      </c>
    </row>
    <row r="328" spans="1:196">
      <c r="A328" s="19">
        <v>46316.90767758102</v>
      </c>
      <c r="B328">
        <v>0</v>
      </c>
      <c r="C328">
        <v>0</v>
      </c>
      <c r="D328">
        <v>277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584.2</v>
      </c>
      <c r="N328">
        <v>-0.5</v>
      </c>
      <c r="O328">
        <v>0</v>
      </c>
      <c r="P328">
        <v>0</v>
      </c>
      <c r="Q328">
        <v>0</v>
      </c>
      <c r="R328">
        <v>0</v>
      </c>
      <c r="S328">
        <v>115.6</v>
      </c>
      <c r="T328" t="s">
        <v>485</v>
      </c>
      <c r="U328">
        <v>115.7</v>
      </c>
      <c r="V328">
        <v>1762727256586.8</v>
      </c>
      <c r="W328">
        <v>1</v>
      </c>
      <c r="X328" t="s">
        <v>197</v>
      </c>
      <c r="Y328">
        <v>0</v>
      </c>
      <c r="Z328">
        <v>98</v>
      </c>
      <c r="AA328">
        <v>278</v>
      </c>
      <c r="AB328" t="s">
        <v>197</v>
      </c>
      <c r="AC328" t="s">
        <v>198</v>
      </c>
      <c r="AD328" t="s">
        <v>199</v>
      </c>
      <c r="AE328">
        <v>0</v>
      </c>
      <c r="AF328">
        <v>45</v>
      </c>
      <c r="AG328">
        <v>255</v>
      </c>
      <c r="AH328">
        <v>0</v>
      </c>
      <c r="AI328">
        <v>0</v>
      </c>
      <c r="AJ328">
        <v>0</v>
      </c>
      <c r="AK328">
        <v>12.6</v>
      </c>
      <c r="AL328">
        <v>0</v>
      </c>
      <c r="AM328">
        <v>0</v>
      </c>
      <c r="AN328" t="s">
        <v>197</v>
      </c>
      <c r="AO328">
        <v>100</v>
      </c>
      <c r="AP328" t="s">
        <v>197</v>
      </c>
      <c r="AQ328" t="s">
        <v>200</v>
      </c>
      <c r="AR328">
        <v>1</v>
      </c>
      <c r="AS328">
        <v>0</v>
      </c>
      <c r="AT328" t="s">
        <v>674</v>
      </c>
      <c r="AU328" t="s">
        <v>674</v>
      </c>
      <c r="AV328" t="s">
        <v>202</v>
      </c>
      <c r="AW328" t="s">
        <v>203</v>
      </c>
      <c r="AX328" t="s">
        <v>203</v>
      </c>
      <c r="AY328" t="s">
        <v>203</v>
      </c>
      <c r="AZ328" t="s">
        <v>203</v>
      </c>
      <c r="BA328" t="s">
        <v>203</v>
      </c>
      <c r="BB328" t="s">
        <v>203</v>
      </c>
      <c r="BC328" t="s">
        <v>203</v>
      </c>
      <c r="BD328" t="s">
        <v>203</v>
      </c>
      <c r="BE328" t="s">
        <v>203</v>
      </c>
      <c r="BF328">
        <v>0</v>
      </c>
      <c r="BG328">
        <v>0.2</v>
      </c>
      <c r="BH328">
        <v>50</v>
      </c>
      <c r="BI328">
        <v>0</v>
      </c>
      <c r="BJ328" t="s">
        <v>198</v>
      </c>
      <c r="BK328" t="s">
        <v>198</v>
      </c>
      <c r="BL328" t="s">
        <v>198</v>
      </c>
      <c r="BM328" t="s">
        <v>198</v>
      </c>
      <c r="BN328" t="s">
        <v>198</v>
      </c>
      <c r="BO328" t="s">
        <v>198</v>
      </c>
      <c r="BP328" t="s">
        <v>198</v>
      </c>
      <c r="BQ328" t="s">
        <v>198</v>
      </c>
      <c r="BR328" t="s">
        <v>198</v>
      </c>
      <c r="BS328" t="s">
        <v>198</v>
      </c>
      <c r="BT328" t="s">
        <v>198</v>
      </c>
      <c r="BU328" t="s">
        <v>198</v>
      </c>
      <c r="BV328" t="s">
        <v>198</v>
      </c>
      <c r="BW328" t="s">
        <v>198</v>
      </c>
      <c r="BX328" t="s">
        <v>198</v>
      </c>
      <c r="BY328" t="s">
        <v>198</v>
      </c>
      <c r="BZ328" t="s">
        <v>198</v>
      </c>
      <c r="CA328" t="s">
        <v>198</v>
      </c>
      <c r="CB328" t="s">
        <v>204</v>
      </c>
      <c r="CC328" t="s">
        <v>204</v>
      </c>
      <c r="CD328" t="s">
        <v>204</v>
      </c>
      <c r="CE328" t="s">
        <v>204</v>
      </c>
      <c r="CF328" t="s">
        <v>204</v>
      </c>
      <c r="CG328" t="s">
        <v>204</v>
      </c>
      <c r="CH328" t="s">
        <v>204</v>
      </c>
      <c r="CI328" t="s">
        <v>204</v>
      </c>
      <c r="CJ328" t="s">
        <v>204</v>
      </c>
      <c r="CK328" t="s">
        <v>204</v>
      </c>
      <c r="CL328" t="s">
        <v>204</v>
      </c>
      <c r="CM328" t="s">
        <v>204</v>
      </c>
      <c r="CN328" t="s">
        <v>203</v>
      </c>
      <c r="CO328" t="s">
        <v>203</v>
      </c>
      <c r="CP328" t="s">
        <v>203</v>
      </c>
      <c r="CQ328" t="s">
        <v>203</v>
      </c>
      <c r="CR328" t="s">
        <v>203</v>
      </c>
      <c r="CS328" t="s">
        <v>203</v>
      </c>
      <c r="CT328" t="s">
        <v>203</v>
      </c>
      <c r="CU328" t="s">
        <v>203</v>
      </c>
      <c r="CV328">
        <v>0</v>
      </c>
      <c r="CW328">
        <v>0</v>
      </c>
      <c r="CX328" t="s">
        <v>198</v>
      </c>
      <c r="CY328" t="s">
        <v>198</v>
      </c>
      <c r="CZ328" t="s">
        <v>198</v>
      </c>
      <c r="DA328" t="s">
        <v>198</v>
      </c>
      <c r="DB328" t="s">
        <v>198</v>
      </c>
      <c r="DC328">
        <v>0</v>
      </c>
      <c r="DD328">
        <v>0</v>
      </c>
      <c r="DE328">
        <v>0</v>
      </c>
      <c r="DF328">
        <v>0</v>
      </c>
      <c r="DG328">
        <v>-35.3631166</v>
      </c>
      <c r="DH328">
        <v>149.1639735</v>
      </c>
      <c r="DI328" t="s">
        <v>360</v>
      </c>
      <c r="DJ328">
        <v>1.2</v>
      </c>
      <c r="DK328">
        <v>2</v>
      </c>
      <c r="DL328">
        <v>159.8</v>
      </c>
      <c r="DM328">
        <v>0</v>
      </c>
      <c r="DN328">
        <v>6</v>
      </c>
      <c r="DO328">
        <v>10</v>
      </c>
      <c r="DP328">
        <v>0</v>
      </c>
      <c r="DQ328">
        <v>255</v>
      </c>
      <c r="DR328">
        <v>255</v>
      </c>
      <c r="DS328">
        <v>255</v>
      </c>
      <c r="DT328">
        <v>255</v>
      </c>
      <c r="DU328">
        <v>255</v>
      </c>
      <c r="DV328">
        <v>255</v>
      </c>
      <c r="DW328">
        <v>255</v>
      </c>
      <c r="DX328" t="s">
        <v>206</v>
      </c>
      <c r="DY328" t="s">
        <v>206</v>
      </c>
      <c r="DZ328" t="s">
        <v>207</v>
      </c>
      <c r="EA328" t="s">
        <v>198</v>
      </c>
      <c r="EB328" t="s">
        <v>198</v>
      </c>
      <c r="EC328" t="s">
        <v>198</v>
      </c>
      <c r="ED328">
        <v>0</v>
      </c>
      <c r="EE328">
        <v>0</v>
      </c>
      <c r="EF328">
        <v>0</v>
      </c>
      <c r="EG328">
        <v>0</v>
      </c>
      <c r="EH328">
        <v>255</v>
      </c>
      <c r="EI328">
        <v>255</v>
      </c>
      <c r="EJ328">
        <v>255</v>
      </c>
      <c r="EK328">
        <v>255</v>
      </c>
      <c r="EL328">
        <v>255</v>
      </c>
      <c r="EM328">
        <v>255</v>
      </c>
      <c r="EN328">
        <v>255</v>
      </c>
      <c r="EO328">
        <v>255</v>
      </c>
      <c r="EP328">
        <v>255</v>
      </c>
      <c r="EQ328">
        <v>255</v>
      </c>
      <c r="ER328" t="s">
        <v>208</v>
      </c>
      <c r="ES328" t="s">
        <v>209</v>
      </c>
      <c r="ET328" t="s">
        <v>209</v>
      </c>
      <c r="EU328">
        <v>0</v>
      </c>
      <c r="EV328">
        <v>16.2</v>
      </c>
      <c r="EW328">
        <v>-114.7</v>
      </c>
      <c r="EX328">
        <v>-0.2</v>
      </c>
      <c r="EY328">
        <v>0</v>
      </c>
      <c r="EZ328">
        <v>0</v>
      </c>
      <c r="FA328">
        <v>0</v>
      </c>
      <c r="FB328" t="s">
        <v>198</v>
      </c>
      <c r="FC328" t="s">
        <v>198</v>
      </c>
      <c r="FD328" t="s">
        <v>198</v>
      </c>
      <c r="FE328" t="s">
        <v>198</v>
      </c>
      <c r="FF328" t="s">
        <v>198</v>
      </c>
      <c r="FG328" t="s">
        <v>198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203</v>
      </c>
      <c r="FP328" t="s">
        <v>203</v>
      </c>
      <c r="FQ328" t="s">
        <v>203</v>
      </c>
      <c r="FR328" t="s">
        <v>203</v>
      </c>
      <c r="FS328" t="s">
        <v>203</v>
      </c>
      <c r="FT328" t="s">
        <v>203</v>
      </c>
      <c r="FU328" t="s">
        <v>198</v>
      </c>
      <c r="FV328" t="s">
        <v>198</v>
      </c>
      <c r="FW328" t="s">
        <v>198</v>
      </c>
      <c r="FX328" t="s">
        <v>198</v>
      </c>
      <c r="FY328" t="s">
        <v>198</v>
      </c>
      <c r="FZ328" t="s">
        <v>198</v>
      </c>
      <c r="GA328">
        <v>31.2</v>
      </c>
      <c r="GB328">
        <v>31.2</v>
      </c>
      <c r="GC328" t="s">
        <v>203</v>
      </c>
      <c r="GD328">
        <v>0</v>
      </c>
      <c r="GE328">
        <v>504</v>
      </c>
      <c r="GF328">
        <v>0</v>
      </c>
      <c r="GG328">
        <v>0</v>
      </c>
      <c r="GH328">
        <v>0</v>
      </c>
      <c r="GI328">
        <v>1</v>
      </c>
      <c r="GJ328">
        <v>1</v>
      </c>
      <c r="GK328">
        <v>0</v>
      </c>
      <c r="GL328" t="s">
        <v>198</v>
      </c>
      <c r="GM328" t="s">
        <v>198</v>
      </c>
      <c r="GN328" t="s">
        <v>198</v>
      </c>
    </row>
    <row r="329" spans="1:196">
      <c r="A329" s="19">
        <v>46316.90768915509</v>
      </c>
      <c r="B329">
        <v>0</v>
      </c>
      <c r="C329">
        <v>0</v>
      </c>
      <c r="D329">
        <v>277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584.2</v>
      </c>
      <c r="N329">
        <v>-0.5</v>
      </c>
      <c r="O329">
        <v>0</v>
      </c>
      <c r="P329">
        <v>0</v>
      </c>
      <c r="Q329">
        <v>0</v>
      </c>
      <c r="R329">
        <v>0</v>
      </c>
      <c r="S329">
        <v>115.6</v>
      </c>
      <c r="T329" t="s">
        <v>485</v>
      </c>
      <c r="U329">
        <v>115.7</v>
      </c>
      <c r="V329">
        <v>1762727256586.8</v>
      </c>
      <c r="W329">
        <v>1</v>
      </c>
      <c r="X329" t="s">
        <v>197</v>
      </c>
      <c r="Y329">
        <v>0</v>
      </c>
      <c r="Z329">
        <v>98</v>
      </c>
      <c r="AA329">
        <v>278</v>
      </c>
      <c r="AB329" t="s">
        <v>197</v>
      </c>
      <c r="AC329" t="s">
        <v>198</v>
      </c>
      <c r="AD329" t="s">
        <v>199</v>
      </c>
      <c r="AE329">
        <v>0</v>
      </c>
      <c r="AF329">
        <v>45</v>
      </c>
      <c r="AG329">
        <v>255</v>
      </c>
      <c r="AH329">
        <v>0</v>
      </c>
      <c r="AI329">
        <v>0</v>
      </c>
      <c r="AJ329">
        <v>0</v>
      </c>
      <c r="AK329">
        <v>12.6</v>
      </c>
      <c r="AL329">
        <v>0</v>
      </c>
      <c r="AM329">
        <v>0</v>
      </c>
      <c r="AN329" t="s">
        <v>197</v>
      </c>
      <c r="AO329">
        <v>100</v>
      </c>
      <c r="AP329" t="s">
        <v>197</v>
      </c>
      <c r="AQ329" t="s">
        <v>200</v>
      </c>
      <c r="AR329">
        <v>1</v>
      </c>
      <c r="AS329">
        <v>0</v>
      </c>
      <c r="AT329" t="s">
        <v>675</v>
      </c>
      <c r="AU329" t="s">
        <v>675</v>
      </c>
      <c r="AV329" t="s">
        <v>202</v>
      </c>
      <c r="AW329" t="s">
        <v>203</v>
      </c>
      <c r="AX329" t="s">
        <v>203</v>
      </c>
      <c r="AY329" t="s">
        <v>203</v>
      </c>
      <c r="AZ329" t="s">
        <v>203</v>
      </c>
      <c r="BA329" t="s">
        <v>203</v>
      </c>
      <c r="BB329" t="s">
        <v>203</v>
      </c>
      <c r="BC329" t="s">
        <v>203</v>
      </c>
      <c r="BD329" t="s">
        <v>203</v>
      </c>
      <c r="BE329" t="s">
        <v>203</v>
      </c>
      <c r="BF329">
        <v>0</v>
      </c>
      <c r="BG329">
        <v>0.2</v>
      </c>
      <c r="BH329">
        <v>50</v>
      </c>
      <c r="BI329">
        <v>0</v>
      </c>
      <c r="BJ329" t="s">
        <v>198</v>
      </c>
      <c r="BK329" t="s">
        <v>198</v>
      </c>
      <c r="BL329" t="s">
        <v>198</v>
      </c>
      <c r="BM329" t="s">
        <v>198</v>
      </c>
      <c r="BN329" t="s">
        <v>198</v>
      </c>
      <c r="BO329" t="s">
        <v>198</v>
      </c>
      <c r="BP329" t="s">
        <v>198</v>
      </c>
      <c r="BQ329" t="s">
        <v>198</v>
      </c>
      <c r="BR329" t="s">
        <v>198</v>
      </c>
      <c r="BS329" t="s">
        <v>198</v>
      </c>
      <c r="BT329" t="s">
        <v>198</v>
      </c>
      <c r="BU329" t="s">
        <v>198</v>
      </c>
      <c r="BV329" t="s">
        <v>198</v>
      </c>
      <c r="BW329" t="s">
        <v>198</v>
      </c>
      <c r="BX329" t="s">
        <v>198</v>
      </c>
      <c r="BY329" t="s">
        <v>198</v>
      </c>
      <c r="BZ329" t="s">
        <v>198</v>
      </c>
      <c r="CA329" t="s">
        <v>198</v>
      </c>
      <c r="CB329" t="s">
        <v>204</v>
      </c>
      <c r="CC329" t="s">
        <v>204</v>
      </c>
      <c r="CD329" t="s">
        <v>204</v>
      </c>
      <c r="CE329" t="s">
        <v>204</v>
      </c>
      <c r="CF329" t="s">
        <v>204</v>
      </c>
      <c r="CG329" t="s">
        <v>204</v>
      </c>
      <c r="CH329" t="s">
        <v>204</v>
      </c>
      <c r="CI329" t="s">
        <v>204</v>
      </c>
      <c r="CJ329" t="s">
        <v>204</v>
      </c>
      <c r="CK329" t="s">
        <v>204</v>
      </c>
      <c r="CL329" t="s">
        <v>204</v>
      </c>
      <c r="CM329" t="s">
        <v>204</v>
      </c>
      <c r="CN329" t="s">
        <v>203</v>
      </c>
      <c r="CO329" t="s">
        <v>203</v>
      </c>
      <c r="CP329" t="s">
        <v>203</v>
      </c>
      <c r="CQ329" t="s">
        <v>203</v>
      </c>
      <c r="CR329" t="s">
        <v>203</v>
      </c>
      <c r="CS329" t="s">
        <v>203</v>
      </c>
      <c r="CT329" t="s">
        <v>203</v>
      </c>
      <c r="CU329" t="s">
        <v>203</v>
      </c>
      <c r="CV329">
        <v>0</v>
      </c>
      <c r="CW329">
        <v>0</v>
      </c>
      <c r="CX329" t="s">
        <v>198</v>
      </c>
      <c r="CY329" t="s">
        <v>198</v>
      </c>
      <c r="CZ329" t="s">
        <v>198</v>
      </c>
      <c r="DA329" t="s">
        <v>198</v>
      </c>
      <c r="DB329" t="s">
        <v>198</v>
      </c>
      <c r="DC329">
        <v>0</v>
      </c>
      <c r="DD329">
        <v>0</v>
      </c>
      <c r="DE329">
        <v>0</v>
      </c>
      <c r="DF329">
        <v>0</v>
      </c>
      <c r="DG329">
        <v>-35.3631166</v>
      </c>
      <c r="DH329">
        <v>149.1639735</v>
      </c>
      <c r="DI329" t="s">
        <v>360</v>
      </c>
      <c r="DJ329">
        <v>1.2</v>
      </c>
      <c r="DK329">
        <v>2</v>
      </c>
      <c r="DL329">
        <v>159.8</v>
      </c>
      <c r="DM329">
        <v>0</v>
      </c>
      <c r="DN329">
        <v>6</v>
      </c>
      <c r="DO329">
        <v>10</v>
      </c>
      <c r="DP329">
        <v>0</v>
      </c>
      <c r="DQ329">
        <v>255</v>
      </c>
      <c r="DR329">
        <v>255</v>
      </c>
      <c r="DS329">
        <v>255</v>
      </c>
      <c r="DT329">
        <v>255</v>
      </c>
      <c r="DU329">
        <v>255</v>
      </c>
      <c r="DV329">
        <v>255</v>
      </c>
      <c r="DW329">
        <v>255</v>
      </c>
      <c r="DX329" t="s">
        <v>206</v>
      </c>
      <c r="DY329" t="s">
        <v>206</v>
      </c>
      <c r="DZ329" t="s">
        <v>207</v>
      </c>
      <c r="EA329" t="s">
        <v>198</v>
      </c>
      <c r="EB329" t="s">
        <v>198</v>
      </c>
      <c r="EC329" t="s">
        <v>198</v>
      </c>
      <c r="ED329">
        <v>0</v>
      </c>
      <c r="EE329">
        <v>0</v>
      </c>
      <c r="EF329">
        <v>0</v>
      </c>
      <c r="EG329">
        <v>0</v>
      </c>
      <c r="EH329">
        <v>255</v>
      </c>
      <c r="EI329">
        <v>255</v>
      </c>
      <c r="EJ329">
        <v>255</v>
      </c>
      <c r="EK329">
        <v>255</v>
      </c>
      <c r="EL329">
        <v>255</v>
      </c>
      <c r="EM329">
        <v>255</v>
      </c>
      <c r="EN329">
        <v>255</v>
      </c>
      <c r="EO329">
        <v>255</v>
      </c>
      <c r="EP329">
        <v>255</v>
      </c>
      <c r="EQ329">
        <v>255</v>
      </c>
      <c r="ER329" t="s">
        <v>208</v>
      </c>
      <c r="ES329" t="s">
        <v>209</v>
      </c>
      <c r="ET329" t="s">
        <v>209</v>
      </c>
      <c r="EU329">
        <v>0</v>
      </c>
      <c r="EV329">
        <v>16.2</v>
      </c>
      <c r="EW329">
        <v>-114.7</v>
      </c>
      <c r="EX329">
        <v>-0.2</v>
      </c>
      <c r="EY329">
        <v>0</v>
      </c>
      <c r="EZ329">
        <v>0</v>
      </c>
      <c r="FA329">
        <v>0</v>
      </c>
      <c r="FB329" t="s">
        <v>198</v>
      </c>
      <c r="FC329" t="s">
        <v>198</v>
      </c>
      <c r="FD329" t="s">
        <v>198</v>
      </c>
      <c r="FE329" t="s">
        <v>198</v>
      </c>
      <c r="FF329" t="s">
        <v>198</v>
      </c>
      <c r="FG329" t="s">
        <v>198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203</v>
      </c>
      <c r="FP329" t="s">
        <v>203</v>
      </c>
      <c r="FQ329" t="s">
        <v>203</v>
      </c>
      <c r="FR329" t="s">
        <v>203</v>
      </c>
      <c r="FS329" t="s">
        <v>203</v>
      </c>
      <c r="FT329" t="s">
        <v>203</v>
      </c>
      <c r="FU329" t="s">
        <v>198</v>
      </c>
      <c r="FV329" t="s">
        <v>198</v>
      </c>
      <c r="FW329" t="s">
        <v>198</v>
      </c>
      <c r="FX329" t="s">
        <v>198</v>
      </c>
      <c r="FY329" t="s">
        <v>198</v>
      </c>
      <c r="FZ329" t="s">
        <v>198</v>
      </c>
      <c r="GA329">
        <v>31.2</v>
      </c>
      <c r="GB329">
        <v>31.2</v>
      </c>
      <c r="GC329" t="s">
        <v>203</v>
      </c>
      <c r="GD329">
        <v>0</v>
      </c>
      <c r="GE329">
        <v>504</v>
      </c>
      <c r="GF329">
        <v>0</v>
      </c>
      <c r="GG329">
        <v>0</v>
      </c>
      <c r="GH329">
        <v>0</v>
      </c>
      <c r="GI329">
        <v>1</v>
      </c>
      <c r="GJ329">
        <v>1</v>
      </c>
      <c r="GK329">
        <v>0</v>
      </c>
      <c r="GL329" t="s">
        <v>198</v>
      </c>
      <c r="GM329" t="s">
        <v>198</v>
      </c>
      <c r="GN329" t="s">
        <v>198</v>
      </c>
    </row>
    <row r="330" spans="1:196">
      <c r="A330" s="19">
        <v>46316.90770071759</v>
      </c>
      <c r="B330">
        <v>0</v>
      </c>
      <c r="C330">
        <v>0</v>
      </c>
      <c r="D330">
        <v>277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584.2</v>
      </c>
      <c r="N330">
        <v>-0.5</v>
      </c>
      <c r="O330">
        <v>0</v>
      </c>
      <c r="P330">
        <v>0</v>
      </c>
      <c r="Q330">
        <v>0</v>
      </c>
      <c r="R330">
        <v>0</v>
      </c>
      <c r="S330">
        <v>115.6</v>
      </c>
      <c r="T330" t="s">
        <v>485</v>
      </c>
      <c r="U330">
        <v>115.7</v>
      </c>
      <c r="V330">
        <v>1762727256586.8</v>
      </c>
      <c r="W330">
        <v>1</v>
      </c>
      <c r="X330" t="s">
        <v>197</v>
      </c>
      <c r="Y330">
        <v>0</v>
      </c>
      <c r="Z330">
        <v>98</v>
      </c>
      <c r="AA330">
        <v>278</v>
      </c>
      <c r="AB330" t="s">
        <v>197</v>
      </c>
      <c r="AC330" t="s">
        <v>198</v>
      </c>
      <c r="AD330" t="s">
        <v>199</v>
      </c>
      <c r="AE330">
        <v>0</v>
      </c>
      <c r="AF330">
        <v>45</v>
      </c>
      <c r="AG330">
        <v>255</v>
      </c>
      <c r="AH330">
        <v>0</v>
      </c>
      <c r="AI330">
        <v>0</v>
      </c>
      <c r="AJ330">
        <v>0</v>
      </c>
      <c r="AK330">
        <v>12.6</v>
      </c>
      <c r="AL330">
        <v>0</v>
      </c>
      <c r="AM330">
        <v>0</v>
      </c>
      <c r="AN330" t="s">
        <v>197</v>
      </c>
      <c r="AO330">
        <v>100</v>
      </c>
      <c r="AP330" t="s">
        <v>197</v>
      </c>
      <c r="AQ330" t="s">
        <v>200</v>
      </c>
      <c r="AR330">
        <v>1</v>
      </c>
      <c r="AS330">
        <v>0</v>
      </c>
      <c r="AT330" t="s">
        <v>676</v>
      </c>
      <c r="AU330" t="s">
        <v>676</v>
      </c>
      <c r="AV330" t="s">
        <v>202</v>
      </c>
      <c r="AW330" t="s">
        <v>203</v>
      </c>
      <c r="AX330" t="s">
        <v>203</v>
      </c>
      <c r="AY330" t="s">
        <v>203</v>
      </c>
      <c r="AZ330" t="s">
        <v>203</v>
      </c>
      <c r="BA330" t="s">
        <v>203</v>
      </c>
      <c r="BB330" t="s">
        <v>203</v>
      </c>
      <c r="BC330" t="s">
        <v>203</v>
      </c>
      <c r="BD330" t="s">
        <v>203</v>
      </c>
      <c r="BE330" t="s">
        <v>203</v>
      </c>
      <c r="BF330">
        <v>0</v>
      </c>
      <c r="BG330">
        <v>0.2</v>
      </c>
      <c r="BH330">
        <v>50</v>
      </c>
      <c r="BI330">
        <v>0</v>
      </c>
      <c r="BJ330" t="s">
        <v>198</v>
      </c>
      <c r="BK330" t="s">
        <v>198</v>
      </c>
      <c r="BL330" t="s">
        <v>198</v>
      </c>
      <c r="BM330" t="s">
        <v>198</v>
      </c>
      <c r="BN330" t="s">
        <v>198</v>
      </c>
      <c r="BO330" t="s">
        <v>198</v>
      </c>
      <c r="BP330" t="s">
        <v>198</v>
      </c>
      <c r="BQ330" t="s">
        <v>198</v>
      </c>
      <c r="BR330" t="s">
        <v>198</v>
      </c>
      <c r="BS330" t="s">
        <v>198</v>
      </c>
      <c r="BT330" t="s">
        <v>198</v>
      </c>
      <c r="BU330" t="s">
        <v>198</v>
      </c>
      <c r="BV330" t="s">
        <v>198</v>
      </c>
      <c r="BW330" t="s">
        <v>198</v>
      </c>
      <c r="BX330" t="s">
        <v>198</v>
      </c>
      <c r="BY330" t="s">
        <v>198</v>
      </c>
      <c r="BZ330" t="s">
        <v>198</v>
      </c>
      <c r="CA330" t="s">
        <v>198</v>
      </c>
      <c r="CB330" t="s">
        <v>204</v>
      </c>
      <c r="CC330" t="s">
        <v>204</v>
      </c>
      <c r="CD330" t="s">
        <v>204</v>
      </c>
      <c r="CE330" t="s">
        <v>204</v>
      </c>
      <c r="CF330" t="s">
        <v>204</v>
      </c>
      <c r="CG330" t="s">
        <v>204</v>
      </c>
      <c r="CH330" t="s">
        <v>204</v>
      </c>
      <c r="CI330" t="s">
        <v>204</v>
      </c>
      <c r="CJ330" t="s">
        <v>204</v>
      </c>
      <c r="CK330" t="s">
        <v>204</v>
      </c>
      <c r="CL330" t="s">
        <v>204</v>
      </c>
      <c r="CM330" t="s">
        <v>204</v>
      </c>
      <c r="CN330" t="s">
        <v>203</v>
      </c>
      <c r="CO330" t="s">
        <v>203</v>
      </c>
      <c r="CP330" t="s">
        <v>203</v>
      </c>
      <c r="CQ330" t="s">
        <v>203</v>
      </c>
      <c r="CR330" t="s">
        <v>203</v>
      </c>
      <c r="CS330" t="s">
        <v>203</v>
      </c>
      <c r="CT330" t="s">
        <v>203</v>
      </c>
      <c r="CU330" t="s">
        <v>203</v>
      </c>
      <c r="CV330">
        <v>0</v>
      </c>
      <c r="CW330">
        <v>0</v>
      </c>
      <c r="CX330" t="s">
        <v>198</v>
      </c>
      <c r="CY330" t="s">
        <v>198</v>
      </c>
      <c r="CZ330" t="s">
        <v>198</v>
      </c>
      <c r="DA330" t="s">
        <v>198</v>
      </c>
      <c r="DB330" t="s">
        <v>198</v>
      </c>
      <c r="DC330">
        <v>0</v>
      </c>
      <c r="DD330">
        <v>0</v>
      </c>
      <c r="DE330">
        <v>0</v>
      </c>
      <c r="DF330">
        <v>0</v>
      </c>
      <c r="DG330">
        <v>-35.3631166</v>
      </c>
      <c r="DH330">
        <v>149.1639735</v>
      </c>
      <c r="DI330" t="s">
        <v>360</v>
      </c>
      <c r="DJ330">
        <v>1.2</v>
      </c>
      <c r="DK330">
        <v>2</v>
      </c>
      <c r="DL330">
        <v>159.8</v>
      </c>
      <c r="DM330">
        <v>0</v>
      </c>
      <c r="DN330">
        <v>6</v>
      </c>
      <c r="DO330">
        <v>10</v>
      </c>
      <c r="DP330">
        <v>0</v>
      </c>
      <c r="DQ330">
        <v>255</v>
      </c>
      <c r="DR330">
        <v>255</v>
      </c>
      <c r="DS330">
        <v>255</v>
      </c>
      <c r="DT330">
        <v>255</v>
      </c>
      <c r="DU330">
        <v>255</v>
      </c>
      <c r="DV330">
        <v>255</v>
      </c>
      <c r="DW330">
        <v>255</v>
      </c>
      <c r="DX330" t="s">
        <v>206</v>
      </c>
      <c r="DY330" t="s">
        <v>206</v>
      </c>
      <c r="DZ330" t="s">
        <v>207</v>
      </c>
      <c r="EA330" t="s">
        <v>198</v>
      </c>
      <c r="EB330" t="s">
        <v>198</v>
      </c>
      <c r="EC330" t="s">
        <v>198</v>
      </c>
      <c r="ED330">
        <v>0</v>
      </c>
      <c r="EE330">
        <v>0</v>
      </c>
      <c r="EF330">
        <v>0</v>
      </c>
      <c r="EG330">
        <v>0</v>
      </c>
      <c r="EH330">
        <v>255</v>
      </c>
      <c r="EI330">
        <v>255</v>
      </c>
      <c r="EJ330">
        <v>255</v>
      </c>
      <c r="EK330">
        <v>255</v>
      </c>
      <c r="EL330">
        <v>255</v>
      </c>
      <c r="EM330">
        <v>255</v>
      </c>
      <c r="EN330">
        <v>255</v>
      </c>
      <c r="EO330">
        <v>255</v>
      </c>
      <c r="EP330">
        <v>255</v>
      </c>
      <c r="EQ330">
        <v>255</v>
      </c>
      <c r="ER330" t="s">
        <v>208</v>
      </c>
      <c r="ES330" t="s">
        <v>209</v>
      </c>
      <c r="ET330" t="s">
        <v>209</v>
      </c>
      <c r="EU330">
        <v>0</v>
      </c>
      <c r="EV330">
        <v>16.2</v>
      </c>
      <c r="EW330">
        <v>-114.7</v>
      </c>
      <c r="EX330">
        <v>-0.2</v>
      </c>
      <c r="EY330">
        <v>0</v>
      </c>
      <c r="EZ330">
        <v>0</v>
      </c>
      <c r="FA330">
        <v>0</v>
      </c>
      <c r="FB330" t="s">
        <v>198</v>
      </c>
      <c r="FC330" t="s">
        <v>198</v>
      </c>
      <c r="FD330" t="s">
        <v>198</v>
      </c>
      <c r="FE330" t="s">
        <v>198</v>
      </c>
      <c r="FF330" t="s">
        <v>198</v>
      </c>
      <c r="FG330" t="s">
        <v>198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203</v>
      </c>
      <c r="FP330" t="s">
        <v>203</v>
      </c>
      <c r="FQ330" t="s">
        <v>203</v>
      </c>
      <c r="FR330" t="s">
        <v>203</v>
      </c>
      <c r="FS330" t="s">
        <v>203</v>
      </c>
      <c r="FT330" t="s">
        <v>203</v>
      </c>
      <c r="FU330" t="s">
        <v>198</v>
      </c>
      <c r="FV330" t="s">
        <v>198</v>
      </c>
      <c r="FW330" t="s">
        <v>198</v>
      </c>
      <c r="FX330" t="s">
        <v>198</v>
      </c>
      <c r="FY330" t="s">
        <v>198</v>
      </c>
      <c r="FZ330" t="s">
        <v>198</v>
      </c>
      <c r="GA330">
        <v>31.2</v>
      </c>
      <c r="GB330">
        <v>31.2</v>
      </c>
      <c r="GC330" t="s">
        <v>203</v>
      </c>
      <c r="GD330">
        <v>0</v>
      </c>
      <c r="GE330">
        <v>504</v>
      </c>
      <c r="GF330">
        <v>0</v>
      </c>
      <c r="GG330">
        <v>0</v>
      </c>
      <c r="GH330">
        <v>0</v>
      </c>
      <c r="GI330">
        <v>1</v>
      </c>
      <c r="GJ330">
        <v>1</v>
      </c>
      <c r="GK330">
        <v>0</v>
      </c>
      <c r="GL330" t="s">
        <v>198</v>
      </c>
      <c r="GM330" t="s">
        <v>198</v>
      </c>
      <c r="GN330" t="s">
        <v>198</v>
      </c>
    </row>
    <row r="331" spans="1:196">
      <c r="A331" s="19">
        <v>46316.90771230324</v>
      </c>
      <c r="B331">
        <v>0</v>
      </c>
      <c r="C331">
        <v>0</v>
      </c>
      <c r="D331">
        <v>277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584.2</v>
      </c>
      <c r="N331">
        <v>-0.5</v>
      </c>
      <c r="O331">
        <v>0</v>
      </c>
      <c r="P331">
        <v>0</v>
      </c>
      <c r="Q331">
        <v>0</v>
      </c>
      <c r="R331">
        <v>0</v>
      </c>
      <c r="S331">
        <v>115.6</v>
      </c>
      <c r="T331" t="s">
        <v>485</v>
      </c>
      <c r="U331">
        <v>115.7</v>
      </c>
      <c r="V331">
        <v>1762727256586.8</v>
      </c>
      <c r="W331">
        <v>1</v>
      </c>
      <c r="X331" t="s">
        <v>197</v>
      </c>
      <c r="Y331">
        <v>0</v>
      </c>
      <c r="Z331">
        <v>98</v>
      </c>
      <c r="AA331">
        <v>278</v>
      </c>
      <c r="AB331" t="s">
        <v>197</v>
      </c>
      <c r="AC331" t="s">
        <v>198</v>
      </c>
      <c r="AD331" t="s">
        <v>199</v>
      </c>
      <c r="AE331">
        <v>0</v>
      </c>
      <c r="AF331">
        <v>45</v>
      </c>
      <c r="AG331">
        <v>255</v>
      </c>
      <c r="AH331">
        <v>0</v>
      </c>
      <c r="AI331">
        <v>0</v>
      </c>
      <c r="AJ331">
        <v>0</v>
      </c>
      <c r="AK331">
        <v>12.6</v>
      </c>
      <c r="AL331">
        <v>0</v>
      </c>
      <c r="AM331">
        <v>0</v>
      </c>
      <c r="AN331" t="s">
        <v>197</v>
      </c>
      <c r="AO331">
        <v>100</v>
      </c>
      <c r="AP331" t="s">
        <v>197</v>
      </c>
      <c r="AQ331" t="s">
        <v>200</v>
      </c>
      <c r="AR331">
        <v>1</v>
      </c>
      <c r="AS331">
        <v>0</v>
      </c>
      <c r="AT331" t="s">
        <v>677</v>
      </c>
      <c r="AU331" t="s">
        <v>677</v>
      </c>
      <c r="AV331" t="s">
        <v>202</v>
      </c>
      <c r="AW331" t="s">
        <v>203</v>
      </c>
      <c r="AX331" t="s">
        <v>203</v>
      </c>
      <c r="AY331" t="s">
        <v>203</v>
      </c>
      <c r="AZ331" t="s">
        <v>203</v>
      </c>
      <c r="BA331" t="s">
        <v>203</v>
      </c>
      <c r="BB331" t="s">
        <v>203</v>
      </c>
      <c r="BC331" t="s">
        <v>203</v>
      </c>
      <c r="BD331" t="s">
        <v>203</v>
      </c>
      <c r="BE331" t="s">
        <v>203</v>
      </c>
      <c r="BF331">
        <v>0</v>
      </c>
      <c r="BG331">
        <v>0.2</v>
      </c>
      <c r="BH331">
        <v>50</v>
      </c>
      <c r="BI331">
        <v>0</v>
      </c>
      <c r="BJ331" t="s">
        <v>198</v>
      </c>
      <c r="BK331" t="s">
        <v>198</v>
      </c>
      <c r="BL331" t="s">
        <v>198</v>
      </c>
      <c r="BM331" t="s">
        <v>198</v>
      </c>
      <c r="BN331" t="s">
        <v>198</v>
      </c>
      <c r="BO331" t="s">
        <v>198</v>
      </c>
      <c r="BP331" t="s">
        <v>198</v>
      </c>
      <c r="BQ331" t="s">
        <v>198</v>
      </c>
      <c r="BR331" t="s">
        <v>198</v>
      </c>
      <c r="BS331" t="s">
        <v>198</v>
      </c>
      <c r="BT331" t="s">
        <v>198</v>
      </c>
      <c r="BU331" t="s">
        <v>198</v>
      </c>
      <c r="BV331" t="s">
        <v>198</v>
      </c>
      <c r="BW331" t="s">
        <v>198</v>
      </c>
      <c r="BX331" t="s">
        <v>198</v>
      </c>
      <c r="BY331" t="s">
        <v>198</v>
      </c>
      <c r="BZ331" t="s">
        <v>198</v>
      </c>
      <c r="CA331" t="s">
        <v>198</v>
      </c>
      <c r="CB331" t="s">
        <v>204</v>
      </c>
      <c r="CC331" t="s">
        <v>204</v>
      </c>
      <c r="CD331" t="s">
        <v>204</v>
      </c>
      <c r="CE331" t="s">
        <v>204</v>
      </c>
      <c r="CF331" t="s">
        <v>204</v>
      </c>
      <c r="CG331" t="s">
        <v>204</v>
      </c>
      <c r="CH331" t="s">
        <v>204</v>
      </c>
      <c r="CI331" t="s">
        <v>204</v>
      </c>
      <c r="CJ331" t="s">
        <v>204</v>
      </c>
      <c r="CK331" t="s">
        <v>204</v>
      </c>
      <c r="CL331" t="s">
        <v>204</v>
      </c>
      <c r="CM331" t="s">
        <v>204</v>
      </c>
      <c r="CN331" t="s">
        <v>203</v>
      </c>
      <c r="CO331" t="s">
        <v>203</v>
      </c>
      <c r="CP331" t="s">
        <v>203</v>
      </c>
      <c r="CQ331" t="s">
        <v>203</v>
      </c>
      <c r="CR331" t="s">
        <v>203</v>
      </c>
      <c r="CS331" t="s">
        <v>203</v>
      </c>
      <c r="CT331" t="s">
        <v>203</v>
      </c>
      <c r="CU331" t="s">
        <v>203</v>
      </c>
      <c r="CV331">
        <v>0</v>
      </c>
      <c r="CW331">
        <v>0</v>
      </c>
      <c r="CX331" t="s">
        <v>198</v>
      </c>
      <c r="CY331" t="s">
        <v>198</v>
      </c>
      <c r="CZ331" t="s">
        <v>198</v>
      </c>
      <c r="DA331" t="s">
        <v>198</v>
      </c>
      <c r="DB331" t="s">
        <v>198</v>
      </c>
      <c r="DC331">
        <v>0</v>
      </c>
      <c r="DD331">
        <v>0</v>
      </c>
      <c r="DE331">
        <v>0</v>
      </c>
      <c r="DF331">
        <v>0</v>
      </c>
      <c r="DG331">
        <v>-35.3631166</v>
      </c>
      <c r="DH331">
        <v>149.1639735</v>
      </c>
      <c r="DI331" t="s">
        <v>360</v>
      </c>
      <c r="DJ331">
        <v>1.2</v>
      </c>
      <c r="DK331">
        <v>2</v>
      </c>
      <c r="DL331">
        <v>159.8</v>
      </c>
      <c r="DM331">
        <v>0</v>
      </c>
      <c r="DN331">
        <v>6</v>
      </c>
      <c r="DO331">
        <v>10</v>
      </c>
      <c r="DP331">
        <v>0</v>
      </c>
      <c r="DQ331">
        <v>255</v>
      </c>
      <c r="DR331">
        <v>255</v>
      </c>
      <c r="DS331">
        <v>255</v>
      </c>
      <c r="DT331">
        <v>255</v>
      </c>
      <c r="DU331">
        <v>255</v>
      </c>
      <c r="DV331">
        <v>255</v>
      </c>
      <c r="DW331">
        <v>255</v>
      </c>
      <c r="DX331" t="s">
        <v>206</v>
      </c>
      <c r="DY331" t="s">
        <v>206</v>
      </c>
      <c r="DZ331" t="s">
        <v>207</v>
      </c>
      <c r="EA331" t="s">
        <v>198</v>
      </c>
      <c r="EB331" t="s">
        <v>198</v>
      </c>
      <c r="EC331" t="s">
        <v>198</v>
      </c>
      <c r="ED331">
        <v>0</v>
      </c>
      <c r="EE331">
        <v>0</v>
      </c>
      <c r="EF331">
        <v>0</v>
      </c>
      <c r="EG331">
        <v>0</v>
      </c>
      <c r="EH331">
        <v>255</v>
      </c>
      <c r="EI331">
        <v>255</v>
      </c>
      <c r="EJ331">
        <v>255</v>
      </c>
      <c r="EK331">
        <v>255</v>
      </c>
      <c r="EL331">
        <v>255</v>
      </c>
      <c r="EM331">
        <v>255</v>
      </c>
      <c r="EN331">
        <v>255</v>
      </c>
      <c r="EO331">
        <v>255</v>
      </c>
      <c r="EP331">
        <v>255</v>
      </c>
      <c r="EQ331">
        <v>255</v>
      </c>
      <c r="ER331" t="s">
        <v>208</v>
      </c>
      <c r="ES331" t="s">
        <v>209</v>
      </c>
      <c r="ET331" t="s">
        <v>209</v>
      </c>
      <c r="EU331">
        <v>0</v>
      </c>
      <c r="EV331">
        <v>16.2</v>
      </c>
      <c r="EW331">
        <v>-114.7</v>
      </c>
      <c r="EX331">
        <v>-0.2</v>
      </c>
      <c r="EY331">
        <v>0</v>
      </c>
      <c r="EZ331">
        <v>0</v>
      </c>
      <c r="FA331">
        <v>0</v>
      </c>
      <c r="FB331" t="s">
        <v>198</v>
      </c>
      <c r="FC331" t="s">
        <v>198</v>
      </c>
      <c r="FD331" t="s">
        <v>198</v>
      </c>
      <c r="FE331" t="s">
        <v>198</v>
      </c>
      <c r="FF331" t="s">
        <v>198</v>
      </c>
      <c r="FG331" t="s">
        <v>198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203</v>
      </c>
      <c r="FP331" t="s">
        <v>203</v>
      </c>
      <c r="FQ331" t="s">
        <v>203</v>
      </c>
      <c r="FR331" t="s">
        <v>203</v>
      </c>
      <c r="FS331" t="s">
        <v>203</v>
      </c>
      <c r="FT331" t="s">
        <v>203</v>
      </c>
      <c r="FU331" t="s">
        <v>198</v>
      </c>
      <c r="FV331" t="s">
        <v>198</v>
      </c>
      <c r="FW331" t="s">
        <v>198</v>
      </c>
      <c r="FX331" t="s">
        <v>198</v>
      </c>
      <c r="FY331" t="s">
        <v>198</v>
      </c>
      <c r="FZ331" t="s">
        <v>198</v>
      </c>
      <c r="GA331">
        <v>31.2</v>
      </c>
      <c r="GB331">
        <v>31.2</v>
      </c>
      <c r="GC331" t="s">
        <v>203</v>
      </c>
      <c r="GD331">
        <v>0</v>
      </c>
      <c r="GE331">
        <v>504</v>
      </c>
      <c r="GF331">
        <v>0</v>
      </c>
      <c r="GG331">
        <v>0</v>
      </c>
      <c r="GH331">
        <v>0</v>
      </c>
      <c r="GI331">
        <v>1</v>
      </c>
      <c r="GJ331">
        <v>1</v>
      </c>
      <c r="GK331">
        <v>0</v>
      </c>
      <c r="GL331" t="s">
        <v>198</v>
      </c>
      <c r="GM331" t="s">
        <v>198</v>
      </c>
      <c r="GN331" t="s">
        <v>198</v>
      </c>
    </row>
    <row r="332" spans="1:196">
      <c r="A332" s="19">
        <v>46316.90772387732</v>
      </c>
      <c r="B332">
        <v>0</v>
      </c>
      <c r="C332">
        <v>0</v>
      </c>
      <c r="D332">
        <v>277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584.2</v>
      </c>
      <c r="N332">
        <v>-0.5</v>
      </c>
      <c r="O332">
        <v>0</v>
      </c>
      <c r="P332">
        <v>0</v>
      </c>
      <c r="Q332">
        <v>0</v>
      </c>
      <c r="R332">
        <v>0</v>
      </c>
      <c r="S332">
        <v>115.6</v>
      </c>
      <c r="T332" t="s">
        <v>485</v>
      </c>
      <c r="U332">
        <v>115.7</v>
      </c>
      <c r="V332">
        <v>1762727256586.8</v>
      </c>
      <c r="W332">
        <v>1</v>
      </c>
      <c r="X332" t="s">
        <v>197</v>
      </c>
      <c r="Y332">
        <v>0</v>
      </c>
      <c r="Z332">
        <v>98</v>
      </c>
      <c r="AA332">
        <v>278</v>
      </c>
      <c r="AB332" t="s">
        <v>197</v>
      </c>
      <c r="AC332" t="s">
        <v>198</v>
      </c>
      <c r="AD332" t="s">
        <v>199</v>
      </c>
      <c r="AE332">
        <v>0</v>
      </c>
      <c r="AF332">
        <v>45</v>
      </c>
      <c r="AG332">
        <v>255</v>
      </c>
      <c r="AH332">
        <v>0</v>
      </c>
      <c r="AI332">
        <v>0</v>
      </c>
      <c r="AJ332">
        <v>0</v>
      </c>
      <c r="AK332">
        <v>12.6</v>
      </c>
      <c r="AL332">
        <v>0</v>
      </c>
      <c r="AM332">
        <v>0</v>
      </c>
      <c r="AN332" t="s">
        <v>197</v>
      </c>
      <c r="AO332">
        <v>100</v>
      </c>
      <c r="AP332" t="s">
        <v>197</v>
      </c>
      <c r="AQ332" t="s">
        <v>200</v>
      </c>
      <c r="AR332">
        <v>1</v>
      </c>
      <c r="AS332">
        <v>0</v>
      </c>
      <c r="AT332" t="s">
        <v>678</v>
      </c>
      <c r="AU332" t="s">
        <v>678</v>
      </c>
      <c r="AV332" t="s">
        <v>202</v>
      </c>
      <c r="AW332" t="s">
        <v>203</v>
      </c>
      <c r="AX332" t="s">
        <v>203</v>
      </c>
      <c r="AY332" t="s">
        <v>203</v>
      </c>
      <c r="AZ332" t="s">
        <v>203</v>
      </c>
      <c r="BA332" t="s">
        <v>203</v>
      </c>
      <c r="BB332" t="s">
        <v>203</v>
      </c>
      <c r="BC332" t="s">
        <v>203</v>
      </c>
      <c r="BD332" t="s">
        <v>203</v>
      </c>
      <c r="BE332" t="s">
        <v>203</v>
      </c>
      <c r="BF332">
        <v>0</v>
      </c>
      <c r="BG332">
        <v>0.2</v>
      </c>
      <c r="BH332">
        <v>50</v>
      </c>
      <c r="BI332">
        <v>0</v>
      </c>
      <c r="BJ332" t="s">
        <v>198</v>
      </c>
      <c r="BK332" t="s">
        <v>198</v>
      </c>
      <c r="BL332" t="s">
        <v>198</v>
      </c>
      <c r="BM332" t="s">
        <v>198</v>
      </c>
      <c r="BN332" t="s">
        <v>198</v>
      </c>
      <c r="BO332" t="s">
        <v>198</v>
      </c>
      <c r="BP332" t="s">
        <v>198</v>
      </c>
      <c r="BQ332" t="s">
        <v>198</v>
      </c>
      <c r="BR332" t="s">
        <v>198</v>
      </c>
      <c r="BS332" t="s">
        <v>198</v>
      </c>
      <c r="BT332" t="s">
        <v>198</v>
      </c>
      <c r="BU332" t="s">
        <v>198</v>
      </c>
      <c r="BV332" t="s">
        <v>198</v>
      </c>
      <c r="BW332" t="s">
        <v>198</v>
      </c>
      <c r="BX332" t="s">
        <v>198</v>
      </c>
      <c r="BY332" t="s">
        <v>198</v>
      </c>
      <c r="BZ332" t="s">
        <v>198</v>
      </c>
      <c r="CA332" t="s">
        <v>198</v>
      </c>
      <c r="CB332" t="s">
        <v>204</v>
      </c>
      <c r="CC332" t="s">
        <v>204</v>
      </c>
      <c r="CD332" t="s">
        <v>204</v>
      </c>
      <c r="CE332" t="s">
        <v>204</v>
      </c>
      <c r="CF332" t="s">
        <v>204</v>
      </c>
      <c r="CG332" t="s">
        <v>204</v>
      </c>
      <c r="CH332" t="s">
        <v>204</v>
      </c>
      <c r="CI332" t="s">
        <v>204</v>
      </c>
      <c r="CJ332" t="s">
        <v>204</v>
      </c>
      <c r="CK332" t="s">
        <v>204</v>
      </c>
      <c r="CL332" t="s">
        <v>204</v>
      </c>
      <c r="CM332" t="s">
        <v>204</v>
      </c>
      <c r="CN332" t="s">
        <v>203</v>
      </c>
      <c r="CO332" t="s">
        <v>203</v>
      </c>
      <c r="CP332" t="s">
        <v>203</v>
      </c>
      <c r="CQ332" t="s">
        <v>203</v>
      </c>
      <c r="CR332" t="s">
        <v>203</v>
      </c>
      <c r="CS332" t="s">
        <v>203</v>
      </c>
      <c r="CT332" t="s">
        <v>203</v>
      </c>
      <c r="CU332" t="s">
        <v>203</v>
      </c>
      <c r="CV332">
        <v>0</v>
      </c>
      <c r="CW332">
        <v>0</v>
      </c>
      <c r="CX332" t="s">
        <v>198</v>
      </c>
      <c r="CY332" t="s">
        <v>198</v>
      </c>
      <c r="CZ332" t="s">
        <v>198</v>
      </c>
      <c r="DA332" t="s">
        <v>198</v>
      </c>
      <c r="DB332" t="s">
        <v>198</v>
      </c>
      <c r="DC332">
        <v>0</v>
      </c>
      <c r="DD332">
        <v>0</v>
      </c>
      <c r="DE332">
        <v>0</v>
      </c>
      <c r="DF332">
        <v>0</v>
      </c>
      <c r="DG332">
        <v>-35.3631166</v>
      </c>
      <c r="DH332">
        <v>149.1639735</v>
      </c>
      <c r="DI332" t="s">
        <v>360</v>
      </c>
      <c r="DJ332">
        <v>1.2</v>
      </c>
      <c r="DK332">
        <v>2</v>
      </c>
      <c r="DL332">
        <v>159.8</v>
      </c>
      <c r="DM332">
        <v>0</v>
      </c>
      <c r="DN332">
        <v>6</v>
      </c>
      <c r="DO332">
        <v>10</v>
      </c>
      <c r="DP332">
        <v>0</v>
      </c>
      <c r="DQ332">
        <v>255</v>
      </c>
      <c r="DR332">
        <v>255</v>
      </c>
      <c r="DS332">
        <v>255</v>
      </c>
      <c r="DT332">
        <v>255</v>
      </c>
      <c r="DU332">
        <v>255</v>
      </c>
      <c r="DV332">
        <v>255</v>
      </c>
      <c r="DW332">
        <v>255</v>
      </c>
      <c r="DX332" t="s">
        <v>206</v>
      </c>
      <c r="DY332" t="s">
        <v>206</v>
      </c>
      <c r="DZ332" t="s">
        <v>207</v>
      </c>
      <c r="EA332" t="s">
        <v>198</v>
      </c>
      <c r="EB332" t="s">
        <v>198</v>
      </c>
      <c r="EC332" t="s">
        <v>198</v>
      </c>
      <c r="ED332">
        <v>0</v>
      </c>
      <c r="EE332">
        <v>0</v>
      </c>
      <c r="EF332">
        <v>0</v>
      </c>
      <c r="EG332">
        <v>0</v>
      </c>
      <c r="EH332">
        <v>255</v>
      </c>
      <c r="EI332">
        <v>255</v>
      </c>
      <c r="EJ332">
        <v>255</v>
      </c>
      <c r="EK332">
        <v>255</v>
      </c>
      <c r="EL332">
        <v>255</v>
      </c>
      <c r="EM332">
        <v>255</v>
      </c>
      <c r="EN332">
        <v>255</v>
      </c>
      <c r="EO332">
        <v>255</v>
      </c>
      <c r="EP332">
        <v>255</v>
      </c>
      <c r="EQ332">
        <v>255</v>
      </c>
      <c r="ER332" t="s">
        <v>208</v>
      </c>
      <c r="ES332" t="s">
        <v>209</v>
      </c>
      <c r="ET332" t="s">
        <v>209</v>
      </c>
      <c r="EU332">
        <v>0</v>
      </c>
      <c r="EV332">
        <v>16.2</v>
      </c>
      <c r="EW332">
        <v>-114.7</v>
      </c>
      <c r="EX332">
        <v>-0.2</v>
      </c>
      <c r="EY332">
        <v>0</v>
      </c>
      <c r="EZ332">
        <v>0</v>
      </c>
      <c r="FA332">
        <v>0</v>
      </c>
      <c r="FB332" t="s">
        <v>198</v>
      </c>
      <c r="FC332" t="s">
        <v>198</v>
      </c>
      <c r="FD332" t="s">
        <v>198</v>
      </c>
      <c r="FE332" t="s">
        <v>198</v>
      </c>
      <c r="FF332" t="s">
        <v>198</v>
      </c>
      <c r="FG332" t="s">
        <v>198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203</v>
      </c>
      <c r="FP332" t="s">
        <v>203</v>
      </c>
      <c r="FQ332" t="s">
        <v>203</v>
      </c>
      <c r="FR332" t="s">
        <v>203</v>
      </c>
      <c r="FS332" t="s">
        <v>203</v>
      </c>
      <c r="FT332" t="s">
        <v>203</v>
      </c>
      <c r="FU332" t="s">
        <v>198</v>
      </c>
      <c r="FV332" t="s">
        <v>198</v>
      </c>
      <c r="FW332" t="s">
        <v>198</v>
      </c>
      <c r="FX332" t="s">
        <v>198</v>
      </c>
      <c r="FY332" t="s">
        <v>198</v>
      </c>
      <c r="FZ332" t="s">
        <v>198</v>
      </c>
      <c r="GA332">
        <v>31.2</v>
      </c>
      <c r="GB332">
        <v>31.2</v>
      </c>
      <c r="GC332" t="s">
        <v>203</v>
      </c>
      <c r="GD332">
        <v>0</v>
      </c>
      <c r="GE332">
        <v>504</v>
      </c>
      <c r="GF332">
        <v>0</v>
      </c>
      <c r="GG332">
        <v>0</v>
      </c>
      <c r="GH332">
        <v>0</v>
      </c>
      <c r="GI332">
        <v>1</v>
      </c>
      <c r="GJ332">
        <v>1</v>
      </c>
      <c r="GK332">
        <v>0</v>
      </c>
      <c r="GL332" t="s">
        <v>198</v>
      </c>
      <c r="GM332" t="s">
        <v>198</v>
      </c>
      <c r="GN332" t="s">
        <v>198</v>
      </c>
    </row>
    <row r="333" spans="1:196">
      <c r="A333" s="19">
        <v>46316.90773545139</v>
      </c>
      <c r="B333">
        <v>0</v>
      </c>
      <c r="C333">
        <v>0</v>
      </c>
      <c r="D333">
        <v>277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584.2</v>
      </c>
      <c r="N333">
        <v>-0.5</v>
      </c>
      <c r="O333">
        <v>0</v>
      </c>
      <c r="P333">
        <v>0</v>
      </c>
      <c r="Q333">
        <v>0</v>
      </c>
      <c r="R333">
        <v>0</v>
      </c>
      <c r="S333">
        <v>115.6</v>
      </c>
      <c r="T333" t="s">
        <v>485</v>
      </c>
      <c r="U333">
        <v>115.7</v>
      </c>
      <c r="V333">
        <v>1762727256586.8</v>
      </c>
      <c r="W333">
        <v>1</v>
      </c>
      <c r="X333" t="s">
        <v>197</v>
      </c>
      <c r="Y333">
        <v>0</v>
      </c>
      <c r="Z333">
        <v>98</v>
      </c>
      <c r="AA333">
        <v>278</v>
      </c>
      <c r="AB333" t="s">
        <v>197</v>
      </c>
      <c r="AC333" t="s">
        <v>198</v>
      </c>
      <c r="AD333" t="s">
        <v>199</v>
      </c>
      <c r="AE333">
        <v>0</v>
      </c>
      <c r="AF333">
        <v>45</v>
      </c>
      <c r="AG333">
        <v>255</v>
      </c>
      <c r="AH333">
        <v>0</v>
      </c>
      <c r="AI333">
        <v>0</v>
      </c>
      <c r="AJ333">
        <v>0</v>
      </c>
      <c r="AK333">
        <v>12.6</v>
      </c>
      <c r="AL333">
        <v>0</v>
      </c>
      <c r="AM333">
        <v>0</v>
      </c>
      <c r="AN333" t="s">
        <v>197</v>
      </c>
      <c r="AO333">
        <v>100</v>
      </c>
      <c r="AP333" t="s">
        <v>197</v>
      </c>
      <c r="AQ333" t="s">
        <v>200</v>
      </c>
      <c r="AR333">
        <v>1</v>
      </c>
      <c r="AS333">
        <v>0</v>
      </c>
      <c r="AT333" t="s">
        <v>679</v>
      </c>
      <c r="AU333" t="s">
        <v>679</v>
      </c>
      <c r="AV333" t="s">
        <v>202</v>
      </c>
      <c r="AW333" t="s">
        <v>203</v>
      </c>
      <c r="AX333" t="s">
        <v>203</v>
      </c>
      <c r="AY333" t="s">
        <v>203</v>
      </c>
      <c r="AZ333" t="s">
        <v>203</v>
      </c>
      <c r="BA333" t="s">
        <v>203</v>
      </c>
      <c r="BB333" t="s">
        <v>203</v>
      </c>
      <c r="BC333" t="s">
        <v>203</v>
      </c>
      <c r="BD333" t="s">
        <v>203</v>
      </c>
      <c r="BE333" t="s">
        <v>203</v>
      </c>
      <c r="BF333">
        <v>0</v>
      </c>
      <c r="BG333">
        <v>0.2</v>
      </c>
      <c r="BH333">
        <v>50</v>
      </c>
      <c r="BI333">
        <v>0</v>
      </c>
      <c r="BJ333" t="s">
        <v>198</v>
      </c>
      <c r="BK333" t="s">
        <v>198</v>
      </c>
      <c r="BL333" t="s">
        <v>198</v>
      </c>
      <c r="BM333" t="s">
        <v>198</v>
      </c>
      <c r="BN333" t="s">
        <v>198</v>
      </c>
      <c r="BO333" t="s">
        <v>198</v>
      </c>
      <c r="BP333" t="s">
        <v>198</v>
      </c>
      <c r="BQ333" t="s">
        <v>198</v>
      </c>
      <c r="BR333" t="s">
        <v>198</v>
      </c>
      <c r="BS333" t="s">
        <v>198</v>
      </c>
      <c r="BT333" t="s">
        <v>198</v>
      </c>
      <c r="BU333" t="s">
        <v>198</v>
      </c>
      <c r="BV333" t="s">
        <v>198</v>
      </c>
      <c r="BW333" t="s">
        <v>198</v>
      </c>
      <c r="BX333" t="s">
        <v>198</v>
      </c>
      <c r="BY333" t="s">
        <v>198</v>
      </c>
      <c r="BZ333" t="s">
        <v>198</v>
      </c>
      <c r="CA333" t="s">
        <v>198</v>
      </c>
      <c r="CB333" t="s">
        <v>204</v>
      </c>
      <c r="CC333" t="s">
        <v>204</v>
      </c>
      <c r="CD333" t="s">
        <v>204</v>
      </c>
      <c r="CE333" t="s">
        <v>204</v>
      </c>
      <c r="CF333" t="s">
        <v>204</v>
      </c>
      <c r="CG333" t="s">
        <v>204</v>
      </c>
      <c r="CH333" t="s">
        <v>204</v>
      </c>
      <c r="CI333" t="s">
        <v>204</v>
      </c>
      <c r="CJ333" t="s">
        <v>204</v>
      </c>
      <c r="CK333" t="s">
        <v>204</v>
      </c>
      <c r="CL333" t="s">
        <v>204</v>
      </c>
      <c r="CM333" t="s">
        <v>204</v>
      </c>
      <c r="CN333" t="s">
        <v>203</v>
      </c>
      <c r="CO333" t="s">
        <v>203</v>
      </c>
      <c r="CP333" t="s">
        <v>203</v>
      </c>
      <c r="CQ333" t="s">
        <v>203</v>
      </c>
      <c r="CR333" t="s">
        <v>203</v>
      </c>
      <c r="CS333" t="s">
        <v>203</v>
      </c>
      <c r="CT333" t="s">
        <v>203</v>
      </c>
      <c r="CU333" t="s">
        <v>203</v>
      </c>
      <c r="CV333">
        <v>0</v>
      </c>
      <c r="CW333">
        <v>0</v>
      </c>
      <c r="CX333" t="s">
        <v>198</v>
      </c>
      <c r="CY333" t="s">
        <v>198</v>
      </c>
      <c r="CZ333" t="s">
        <v>198</v>
      </c>
      <c r="DA333" t="s">
        <v>198</v>
      </c>
      <c r="DB333" t="s">
        <v>198</v>
      </c>
      <c r="DC333">
        <v>0</v>
      </c>
      <c r="DD333">
        <v>0</v>
      </c>
      <c r="DE333">
        <v>0</v>
      </c>
      <c r="DF333">
        <v>0</v>
      </c>
      <c r="DG333">
        <v>-35.3631166</v>
      </c>
      <c r="DH333">
        <v>149.1639735</v>
      </c>
      <c r="DI333" t="s">
        <v>360</v>
      </c>
      <c r="DJ333">
        <v>1.2</v>
      </c>
      <c r="DK333">
        <v>2</v>
      </c>
      <c r="DL333">
        <v>159.8</v>
      </c>
      <c r="DM333">
        <v>0</v>
      </c>
      <c r="DN333">
        <v>6</v>
      </c>
      <c r="DO333">
        <v>10</v>
      </c>
      <c r="DP333">
        <v>0</v>
      </c>
      <c r="DQ333">
        <v>255</v>
      </c>
      <c r="DR333">
        <v>255</v>
      </c>
      <c r="DS333">
        <v>255</v>
      </c>
      <c r="DT333">
        <v>255</v>
      </c>
      <c r="DU333">
        <v>255</v>
      </c>
      <c r="DV333">
        <v>255</v>
      </c>
      <c r="DW333">
        <v>255</v>
      </c>
      <c r="DX333" t="s">
        <v>206</v>
      </c>
      <c r="DY333" t="s">
        <v>206</v>
      </c>
      <c r="DZ333" t="s">
        <v>207</v>
      </c>
      <c r="EA333" t="s">
        <v>198</v>
      </c>
      <c r="EB333" t="s">
        <v>198</v>
      </c>
      <c r="EC333" t="s">
        <v>198</v>
      </c>
      <c r="ED333">
        <v>0</v>
      </c>
      <c r="EE333">
        <v>0</v>
      </c>
      <c r="EF333">
        <v>0</v>
      </c>
      <c r="EG333">
        <v>0</v>
      </c>
      <c r="EH333">
        <v>255</v>
      </c>
      <c r="EI333">
        <v>255</v>
      </c>
      <c r="EJ333">
        <v>255</v>
      </c>
      <c r="EK333">
        <v>255</v>
      </c>
      <c r="EL333">
        <v>255</v>
      </c>
      <c r="EM333">
        <v>255</v>
      </c>
      <c r="EN333">
        <v>255</v>
      </c>
      <c r="EO333">
        <v>255</v>
      </c>
      <c r="EP333">
        <v>255</v>
      </c>
      <c r="EQ333">
        <v>255</v>
      </c>
      <c r="ER333" t="s">
        <v>208</v>
      </c>
      <c r="ES333" t="s">
        <v>209</v>
      </c>
      <c r="ET333" t="s">
        <v>209</v>
      </c>
      <c r="EU333">
        <v>0</v>
      </c>
      <c r="EV333">
        <v>16.2</v>
      </c>
      <c r="EW333">
        <v>-114.7</v>
      </c>
      <c r="EX333">
        <v>-0.2</v>
      </c>
      <c r="EY333">
        <v>0</v>
      </c>
      <c r="EZ333">
        <v>0</v>
      </c>
      <c r="FA333">
        <v>0</v>
      </c>
      <c r="FB333" t="s">
        <v>198</v>
      </c>
      <c r="FC333" t="s">
        <v>198</v>
      </c>
      <c r="FD333" t="s">
        <v>198</v>
      </c>
      <c r="FE333" t="s">
        <v>198</v>
      </c>
      <c r="FF333" t="s">
        <v>198</v>
      </c>
      <c r="FG333" t="s">
        <v>198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 t="s">
        <v>203</v>
      </c>
      <c r="FP333" t="s">
        <v>203</v>
      </c>
      <c r="FQ333" t="s">
        <v>203</v>
      </c>
      <c r="FR333" t="s">
        <v>203</v>
      </c>
      <c r="FS333" t="s">
        <v>203</v>
      </c>
      <c r="FT333" t="s">
        <v>203</v>
      </c>
      <c r="FU333" t="s">
        <v>198</v>
      </c>
      <c r="FV333" t="s">
        <v>198</v>
      </c>
      <c r="FW333" t="s">
        <v>198</v>
      </c>
      <c r="FX333" t="s">
        <v>198</v>
      </c>
      <c r="FY333" t="s">
        <v>198</v>
      </c>
      <c r="FZ333" t="s">
        <v>198</v>
      </c>
      <c r="GA333">
        <v>31.2</v>
      </c>
      <c r="GB333">
        <v>31.2</v>
      </c>
      <c r="GC333" t="s">
        <v>203</v>
      </c>
      <c r="GD333">
        <v>0</v>
      </c>
      <c r="GE333">
        <v>504</v>
      </c>
      <c r="GF333">
        <v>0</v>
      </c>
      <c r="GG333">
        <v>0</v>
      </c>
      <c r="GH333">
        <v>0</v>
      </c>
      <c r="GI333">
        <v>1</v>
      </c>
      <c r="GJ333">
        <v>1</v>
      </c>
      <c r="GK333">
        <v>0</v>
      </c>
      <c r="GL333" t="s">
        <v>198</v>
      </c>
      <c r="GM333" t="s">
        <v>198</v>
      </c>
      <c r="GN333" t="s">
        <v>198</v>
      </c>
    </row>
    <row r="334" spans="1:196">
      <c r="A334" s="19">
        <v>46316.90774702546</v>
      </c>
      <c r="B334">
        <v>0</v>
      </c>
      <c r="C334">
        <v>0</v>
      </c>
      <c r="D334">
        <v>277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584.2</v>
      </c>
      <c r="N334">
        <v>-0.5</v>
      </c>
      <c r="O334">
        <v>0</v>
      </c>
      <c r="P334">
        <v>0</v>
      </c>
      <c r="Q334">
        <v>0</v>
      </c>
      <c r="R334">
        <v>0</v>
      </c>
      <c r="S334">
        <v>115.6</v>
      </c>
      <c r="T334" t="s">
        <v>485</v>
      </c>
      <c r="U334">
        <v>115.7</v>
      </c>
      <c r="V334">
        <v>1762727256586.8</v>
      </c>
      <c r="W334">
        <v>1</v>
      </c>
      <c r="X334" t="s">
        <v>197</v>
      </c>
      <c r="Y334">
        <v>0</v>
      </c>
      <c r="Z334">
        <v>98</v>
      </c>
      <c r="AA334">
        <v>278</v>
      </c>
      <c r="AB334" t="s">
        <v>197</v>
      </c>
      <c r="AC334" t="s">
        <v>198</v>
      </c>
      <c r="AD334" t="s">
        <v>199</v>
      </c>
      <c r="AE334">
        <v>0</v>
      </c>
      <c r="AF334">
        <v>45</v>
      </c>
      <c r="AG334">
        <v>255</v>
      </c>
      <c r="AH334">
        <v>0</v>
      </c>
      <c r="AI334">
        <v>0</v>
      </c>
      <c r="AJ334">
        <v>0</v>
      </c>
      <c r="AK334">
        <v>12.6</v>
      </c>
      <c r="AL334">
        <v>0</v>
      </c>
      <c r="AM334">
        <v>0</v>
      </c>
      <c r="AN334" t="s">
        <v>197</v>
      </c>
      <c r="AO334">
        <v>100</v>
      </c>
      <c r="AP334" t="s">
        <v>197</v>
      </c>
      <c r="AQ334" t="s">
        <v>200</v>
      </c>
      <c r="AR334">
        <v>1</v>
      </c>
      <c r="AS334">
        <v>0</v>
      </c>
      <c r="AT334" t="s">
        <v>680</v>
      </c>
      <c r="AU334" t="s">
        <v>680</v>
      </c>
      <c r="AV334" t="s">
        <v>202</v>
      </c>
      <c r="AW334" t="s">
        <v>203</v>
      </c>
      <c r="AX334" t="s">
        <v>203</v>
      </c>
      <c r="AY334" t="s">
        <v>203</v>
      </c>
      <c r="AZ334" t="s">
        <v>203</v>
      </c>
      <c r="BA334" t="s">
        <v>203</v>
      </c>
      <c r="BB334" t="s">
        <v>203</v>
      </c>
      <c r="BC334" t="s">
        <v>203</v>
      </c>
      <c r="BD334" t="s">
        <v>203</v>
      </c>
      <c r="BE334" t="s">
        <v>203</v>
      </c>
      <c r="BF334">
        <v>0</v>
      </c>
      <c r="BG334">
        <v>0.2</v>
      </c>
      <c r="BH334">
        <v>50</v>
      </c>
      <c r="BI334">
        <v>0</v>
      </c>
      <c r="BJ334" t="s">
        <v>198</v>
      </c>
      <c r="BK334" t="s">
        <v>198</v>
      </c>
      <c r="BL334" t="s">
        <v>198</v>
      </c>
      <c r="BM334" t="s">
        <v>198</v>
      </c>
      <c r="BN334" t="s">
        <v>198</v>
      </c>
      <c r="BO334" t="s">
        <v>198</v>
      </c>
      <c r="BP334" t="s">
        <v>198</v>
      </c>
      <c r="BQ334" t="s">
        <v>198</v>
      </c>
      <c r="BR334" t="s">
        <v>198</v>
      </c>
      <c r="BS334" t="s">
        <v>198</v>
      </c>
      <c r="BT334" t="s">
        <v>198</v>
      </c>
      <c r="BU334" t="s">
        <v>198</v>
      </c>
      <c r="BV334" t="s">
        <v>198</v>
      </c>
      <c r="BW334" t="s">
        <v>198</v>
      </c>
      <c r="BX334" t="s">
        <v>198</v>
      </c>
      <c r="BY334" t="s">
        <v>198</v>
      </c>
      <c r="BZ334" t="s">
        <v>198</v>
      </c>
      <c r="CA334" t="s">
        <v>198</v>
      </c>
      <c r="CB334" t="s">
        <v>204</v>
      </c>
      <c r="CC334" t="s">
        <v>204</v>
      </c>
      <c r="CD334" t="s">
        <v>204</v>
      </c>
      <c r="CE334" t="s">
        <v>204</v>
      </c>
      <c r="CF334" t="s">
        <v>204</v>
      </c>
      <c r="CG334" t="s">
        <v>204</v>
      </c>
      <c r="CH334" t="s">
        <v>204</v>
      </c>
      <c r="CI334" t="s">
        <v>204</v>
      </c>
      <c r="CJ334" t="s">
        <v>204</v>
      </c>
      <c r="CK334" t="s">
        <v>204</v>
      </c>
      <c r="CL334" t="s">
        <v>204</v>
      </c>
      <c r="CM334" t="s">
        <v>204</v>
      </c>
      <c r="CN334" t="s">
        <v>203</v>
      </c>
      <c r="CO334" t="s">
        <v>203</v>
      </c>
      <c r="CP334" t="s">
        <v>203</v>
      </c>
      <c r="CQ334" t="s">
        <v>203</v>
      </c>
      <c r="CR334" t="s">
        <v>203</v>
      </c>
      <c r="CS334" t="s">
        <v>203</v>
      </c>
      <c r="CT334" t="s">
        <v>203</v>
      </c>
      <c r="CU334" t="s">
        <v>203</v>
      </c>
      <c r="CV334">
        <v>0</v>
      </c>
      <c r="CW334">
        <v>0</v>
      </c>
      <c r="CX334" t="s">
        <v>198</v>
      </c>
      <c r="CY334" t="s">
        <v>198</v>
      </c>
      <c r="CZ334" t="s">
        <v>198</v>
      </c>
      <c r="DA334" t="s">
        <v>198</v>
      </c>
      <c r="DB334" t="s">
        <v>198</v>
      </c>
      <c r="DC334">
        <v>0</v>
      </c>
      <c r="DD334">
        <v>0</v>
      </c>
      <c r="DE334">
        <v>0</v>
      </c>
      <c r="DF334">
        <v>0</v>
      </c>
      <c r="DG334">
        <v>-35.3631166</v>
      </c>
      <c r="DH334">
        <v>149.1639735</v>
      </c>
      <c r="DI334" t="s">
        <v>360</v>
      </c>
      <c r="DJ334">
        <v>1.2</v>
      </c>
      <c r="DK334">
        <v>2</v>
      </c>
      <c r="DL334">
        <v>159.8</v>
      </c>
      <c r="DM334">
        <v>0</v>
      </c>
      <c r="DN334">
        <v>6</v>
      </c>
      <c r="DO334">
        <v>10</v>
      </c>
      <c r="DP334">
        <v>0</v>
      </c>
      <c r="DQ334">
        <v>255</v>
      </c>
      <c r="DR334">
        <v>255</v>
      </c>
      <c r="DS334">
        <v>255</v>
      </c>
      <c r="DT334">
        <v>255</v>
      </c>
      <c r="DU334">
        <v>255</v>
      </c>
      <c r="DV334">
        <v>255</v>
      </c>
      <c r="DW334">
        <v>255</v>
      </c>
      <c r="DX334" t="s">
        <v>206</v>
      </c>
      <c r="DY334" t="s">
        <v>206</v>
      </c>
      <c r="DZ334" t="s">
        <v>207</v>
      </c>
      <c r="EA334" t="s">
        <v>198</v>
      </c>
      <c r="EB334" t="s">
        <v>198</v>
      </c>
      <c r="EC334" t="s">
        <v>198</v>
      </c>
      <c r="ED334">
        <v>0</v>
      </c>
      <c r="EE334">
        <v>0</v>
      </c>
      <c r="EF334">
        <v>0</v>
      </c>
      <c r="EG334">
        <v>0</v>
      </c>
      <c r="EH334">
        <v>255</v>
      </c>
      <c r="EI334">
        <v>255</v>
      </c>
      <c r="EJ334">
        <v>255</v>
      </c>
      <c r="EK334">
        <v>255</v>
      </c>
      <c r="EL334">
        <v>255</v>
      </c>
      <c r="EM334">
        <v>255</v>
      </c>
      <c r="EN334">
        <v>255</v>
      </c>
      <c r="EO334">
        <v>255</v>
      </c>
      <c r="EP334">
        <v>255</v>
      </c>
      <c r="EQ334">
        <v>255</v>
      </c>
      <c r="ER334" t="s">
        <v>208</v>
      </c>
      <c r="ES334" t="s">
        <v>209</v>
      </c>
      <c r="ET334" t="s">
        <v>209</v>
      </c>
      <c r="EU334">
        <v>0</v>
      </c>
      <c r="EV334">
        <v>16.2</v>
      </c>
      <c r="EW334">
        <v>-114.7</v>
      </c>
      <c r="EX334">
        <v>-0.2</v>
      </c>
      <c r="EY334">
        <v>0</v>
      </c>
      <c r="EZ334">
        <v>0</v>
      </c>
      <c r="FA334">
        <v>0</v>
      </c>
      <c r="FB334" t="s">
        <v>198</v>
      </c>
      <c r="FC334" t="s">
        <v>198</v>
      </c>
      <c r="FD334" t="s">
        <v>198</v>
      </c>
      <c r="FE334" t="s">
        <v>198</v>
      </c>
      <c r="FF334" t="s">
        <v>198</v>
      </c>
      <c r="FG334" t="s">
        <v>198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 t="s">
        <v>203</v>
      </c>
      <c r="FP334" t="s">
        <v>203</v>
      </c>
      <c r="FQ334" t="s">
        <v>203</v>
      </c>
      <c r="FR334" t="s">
        <v>203</v>
      </c>
      <c r="FS334" t="s">
        <v>203</v>
      </c>
      <c r="FT334" t="s">
        <v>203</v>
      </c>
      <c r="FU334" t="s">
        <v>198</v>
      </c>
      <c r="FV334" t="s">
        <v>198</v>
      </c>
      <c r="FW334" t="s">
        <v>198</v>
      </c>
      <c r="FX334" t="s">
        <v>198</v>
      </c>
      <c r="FY334" t="s">
        <v>198</v>
      </c>
      <c r="FZ334" t="s">
        <v>198</v>
      </c>
      <c r="GA334">
        <v>31.2</v>
      </c>
      <c r="GB334">
        <v>31.2</v>
      </c>
      <c r="GC334" t="s">
        <v>203</v>
      </c>
      <c r="GD334">
        <v>0</v>
      </c>
      <c r="GE334">
        <v>504</v>
      </c>
      <c r="GF334">
        <v>0</v>
      </c>
      <c r="GG334">
        <v>0</v>
      </c>
      <c r="GH334">
        <v>0</v>
      </c>
      <c r="GI334">
        <v>1</v>
      </c>
      <c r="GJ334">
        <v>1</v>
      </c>
      <c r="GK334">
        <v>0</v>
      </c>
      <c r="GL334" t="s">
        <v>198</v>
      </c>
      <c r="GM334" t="s">
        <v>198</v>
      </c>
      <c r="GN334" t="s">
        <v>198</v>
      </c>
    </row>
    <row r="335" spans="1:196">
      <c r="A335" s="19">
        <v>46316.90775859954</v>
      </c>
      <c r="B335">
        <v>0</v>
      </c>
      <c r="C335">
        <v>0</v>
      </c>
      <c r="D335">
        <v>277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584.2</v>
      </c>
      <c r="N335">
        <v>-0.5</v>
      </c>
      <c r="O335">
        <v>0</v>
      </c>
      <c r="P335">
        <v>0</v>
      </c>
      <c r="Q335">
        <v>0</v>
      </c>
      <c r="R335">
        <v>0</v>
      </c>
      <c r="S335">
        <v>115.6</v>
      </c>
      <c r="T335" t="s">
        <v>485</v>
      </c>
      <c r="U335">
        <v>115.7</v>
      </c>
      <c r="V335">
        <v>1762727256586.8</v>
      </c>
      <c r="W335">
        <v>1</v>
      </c>
      <c r="X335" t="s">
        <v>197</v>
      </c>
      <c r="Y335">
        <v>0</v>
      </c>
      <c r="Z335">
        <v>98</v>
      </c>
      <c r="AA335">
        <v>278</v>
      </c>
      <c r="AB335" t="s">
        <v>197</v>
      </c>
      <c r="AC335" t="s">
        <v>198</v>
      </c>
      <c r="AD335" t="s">
        <v>199</v>
      </c>
      <c r="AE335">
        <v>0</v>
      </c>
      <c r="AF335">
        <v>45</v>
      </c>
      <c r="AG335">
        <v>255</v>
      </c>
      <c r="AH335">
        <v>0</v>
      </c>
      <c r="AI335">
        <v>0</v>
      </c>
      <c r="AJ335">
        <v>0</v>
      </c>
      <c r="AK335">
        <v>12.6</v>
      </c>
      <c r="AL335">
        <v>0</v>
      </c>
      <c r="AM335">
        <v>0</v>
      </c>
      <c r="AN335" t="s">
        <v>197</v>
      </c>
      <c r="AO335">
        <v>100</v>
      </c>
      <c r="AP335" t="s">
        <v>197</v>
      </c>
      <c r="AQ335" t="s">
        <v>200</v>
      </c>
      <c r="AR335">
        <v>1</v>
      </c>
      <c r="AS335">
        <v>0</v>
      </c>
      <c r="AT335" t="s">
        <v>681</v>
      </c>
      <c r="AU335" t="s">
        <v>681</v>
      </c>
      <c r="AV335" t="s">
        <v>202</v>
      </c>
      <c r="AW335" t="s">
        <v>203</v>
      </c>
      <c r="AX335" t="s">
        <v>203</v>
      </c>
      <c r="AY335" t="s">
        <v>203</v>
      </c>
      <c r="AZ335" t="s">
        <v>203</v>
      </c>
      <c r="BA335" t="s">
        <v>203</v>
      </c>
      <c r="BB335" t="s">
        <v>203</v>
      </c>
      <c r="BC335" t="s">
        <v>203</v>
      </c>
      <c r="BD335" t="s">
        <v>203</v>
      </c>
      <c r="BE335" t="s">
        <v>203</v>
      </c>
      <c r="BF335">
        <v>0</v>
      </c>
      <c r="BG335">
        <v>0.2</v>
      </c>
      <c r="BH335">
        <v>50</v>
      </c>
      <c r="BI335">
        <v>0</v>
      </c>
      <c r="BJ335" t="s">
        <v>198</v>
      </c>
      <c r="BK335" t="s">
        <v>198</v>
      </c>
      <c r="BL335" t="s">
        <v>198</v>
      </c>
      <c r="BM335" t="s">
        <v>198</v>
      </c>
      <c r="BN335" t="s">
        <v>198</v>
      </c>
      <c r="BO335" t="s">
        <v>198</v>
      </c>
      <c r="BP335" t="s">
        <v>198</v>
      </c>
      <c r="BQ335" t="s">
        <v>198</v>
      </c>
      <c r="BR335" t="s">
        <v>198</v>
      </c>
      <c r="BS335" t="s">
        <v>198</v>
      </c>
      <c r="BT335" t="s">
        <v>198</v>
      </c>
      <c r="BU335" t="s">
        <v>198</v>
      </c>
      <c r="BV335" t="s">
        <v>198</v>
      </c>
      <c r="BW335" t="s">
        <v>198</v>
      </c>
      <c r="BX335" t="s">
        <v>198</v>
      </c>
      <c r="BY335" t="s">
        <v>198</v>
      </c>
      <c r="BZ335" t="s">
        <v>198</v>
      </c>
      <c r="CA335" t="s">
        <v>198</v>
      </c>
      <c r="CB335" t="s">
        <v>204</v>
      </c>
      <c r="CC335" t="s">
        <v>204</v>
      </c>
      <c r="CD335" t="s">
        <v>204</v>
      </c>
      <c r="CE335" t="s">
        <v>204</v>
      </c>
      <c r="CF335" t="s">
        <v>204</v>
      </c>
      <c r="CG335" t="s">
        <v>204</v>
      </c>
      <c r="CH335" t="s">
        <v>204</v>
      </c>
      <c r="CI335" t="s">
        <v>204</v>
      </c>
      <c r="CJ335" t="s">
        <v>204</v>
      </c>
      <c r="CK335" t="s">
        <v>204</v>
      </c>
      <c r="CL335" t="s">
        <v>204</v>
      </c>
      <c r="CM335" t="s">
        <v>204</v>
      </c>
      <c r="CN335" t="s">
        <v>203</v>
      </c>
      <c r="CO335" t="s">
        <v>203</v>
      </c>
      <c r="CP335" t="s">
        <v>203</v>
      </c>
      <c r="CQ335" t="s">
        <v>203</v>
      </c>
      <c r="CR335" t="s">
        <v>203</v>
      </c>
      <c r="CS335" t="s">
        <v>203</v>
      </c>
      <c r="CT335" t="s">
        <v>203</v>
      </c>
      <c r="CU335" t="s">
        <v>203</v>
      </c>
      <c r="CV335">
        <v>0</v>
      </c>
      <c r="CW335">
        <v>0</v>
      </c>
      <c r="CX335" t="s">
        <v>198</v>
      </c>
      <c r="CY335" t="s">
        <v>198</v>
      </c>
      <c r="CZ335" t="s">
        <v>198</v>
      </c>
      <c r="DA335" t="s">
        <v>198</v>
      </c>
      <c r="DB335" t="s">
        <v>198</v>
      </c>
      <c r="DC335">
        <v>0</v>
      </c>
      <c r="DD335">
        <v>0</v>
      </c>
      <c r="DE335">
        <v>0</v>
      </c>
      <c r="DF335">
        <v>0</v>
      </c>
      <c r="DG335">
        <v>-35.3631166</v>
      </c>
      <c r="DH335">
        <v>149.1639735</v>
      </c>
      <c r="DI335" t="s">
        <v>360</v>
      </c>
      <c r="DJ335">
        <v>1.2</v>
      </c>
      <c r="DK335">
        <v>2</v>
      </c>
      <c r="DL335">
        <v>159.8</v>
      </c>
      <c r="DM335">
        <v>0</v>
      </c>
      <c r="DN335">
        <v>6</v>
      </c>
      <c r="DO335">
        <v>10</v>
      </c>
      <c r="DP335">
        <v>0</v>
      </c>
      <c r="DQ335">
        <v>255</v>
      </c>
      <c r="DR335">
        <v>255</v>
      </c>
      <c r="DS335">
        <v>255</v>
      </c>
      <c r="DT335">
        <v>255</v>
      </c>
      <c r="DU335">
        <v>255</v>
      </c>
      <c r="DV335">
        <v>255</v>
      </c>
      <c r="DW335">
        <v>255</v>
      </c>
      <c r="DX335" t="s">
        <v>206</v>
      </c>
      <c r="DY335" t="s">
        <v>206</v>
      </c>
      <c r="DZ335" t="s">
        <v>207</v>
      </c>
      <c r="EA335" t="s">
        <v>198</v>
      </c>
      <c r="EB335" t="s">
        <v>198</v>
      </c>
      <c r="EC335" t="s">
        <v>198</v>
      </c>
      <c r="ED335">
        <v>0</v>
      </c>
      <c r="EE335">
        <v>0</v>
      </c>
      <c r="EF335">
        <v>0</v>
      </c>
      <c r="EG335">
        <v>0</v>
      </c>
      <c r="EH335">
        <v>255</v>
      </c>
      <c r="EI335">
        <v>255</v>
      </c>
      <c r="EJ335">
        <v>255</v>
      </c>
      <c r="EK335">
        <v>255</v>
      </c>
      <c r="EL335">
        <v>255</v>
      </c>
      <c r="EM335">
        <v>255</v>
      </c>
      <c r="EN335">
        <v>255</v>
      </c>
      <c r="EO335">
        <v>255</v>
      </c>
      <c r="EP335">
        <v>255</v>
      </c>
      <c r="EQ335">
        <v>255</v>
      </c>
      <c r="ER335" t="s">
        <v>208</v>
      </c>
      <c r="ES335" t="s">
        <v>209</v>
      </c>
      <c r="ET335" t="s">
        <v>209</v>
      </c>
      <c r="EU335">
        <v>0</v>
      </c>
      <c r="EV335">
        <v>16.2</v>
      </c>
      <c r="EW335">
        <v>-114.7</v>
      </c>
      <c r="EX335">
        <v>-0.2</v>
      </c>
      <c r="EY335">
        <v>0</v>
      </c>
      <c r="EZ335">
        <v>0</v>
      </c>
      <c r="FA335">
        <v>0</v>
      </c>
      <c r="FB335" t="s">
        <v>198</v>
      </c>
      <c r="FC335" t="s">
        <v>198</v>
      </c>
      <c r="FD335" t="s">
        <v>198</v>
      </c>
      <c r="FE335" t="s">
        <v>198</v>
      </c>
      <c r="FF335" t="s">
        <v>198</v>
      </c>
      <c r="FG335" t="s">
        <v>198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 t="s">
        <v>203</v>
      </c>
      <c r="FP335" t="s">
        <v>203</v>
      </c>
      <c r="FQ335" t="s">
        <v>203</v>
      </c>
      <c r="FR335" t="s">
        <v>203</v>
      </c>
      <c r="FS335" t="s">
        <v>203</v>
      </c>
      <c r="FT335" t="s">
        <v>203</v>
      </c>
      <c r="FU335" t="s">
        <v>198</v>
      </c>
      <c r="FV335" t="s">
        <v>198</v>
      </c>
      <c r="FW335" t="s">
        <v>198</v>
      </c>
      <c r="FX335" t="s">
        <v>198</v>
      </c>
      <c r="FY335" t="s">
        <v>198</v>
      </c>
      <c r="FZ335" t="s">
        <v>198</v>
      </c>
      <c r="GA335">
        <v>31.2</v>
      </c>
      <c r="GB335">
        <v>31.2</v>
      </c>
      <c r="GC335" t="s">
        <v>203</v>
      </c>
      <c r="GD335">
        <v>0</v>
      </c>
      <c r="GE335">
        <v>504</v>
      </c>
      <c r="GF335">
        <v>0</v>
      </c>
      <c r="GG335">
        <v>0</v>
      </c>
      <c r="GH335">
        <v>0</v>
      </c>
      <c r="GI335">
        <v>1</v>
      </c>
      <c r="GJ335">
        <v>1</v>
      </c>
      <c r="GK335">
        <v>0</v>
      </c>
      <c r="GL335" t="s">
        <v>198</v>
      </c>
      <c r="GM335" t="s">
        <v>198</v>
      </c>
      <c r="GN335" t="s">
        <v>198</v>
      </c>
    </row>
    <row r="336" spans="1:196">
      <c r="A336" s="19">
        <v>46316.90777017361</v>
      </c>
      <c r="B336">
        <v>0</v>
      </c>
      <c r="C336">
        <v>0</v>
      </c>
      <c r="D336">
        <v>277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584.2</v>
      </c>
      <c r="N336">
        <v>-0.5</v>
      </c>
      <c r="O336">
        <v>0</v>
      </c>
      <c r="P336">
        <v>0</v>
      </c>
      <c r="Q336">
        <v>0</v>
      </c>
      <c r="R336">
        <v>0</v>
      </c>
      <c r="S336">
        <v>115.6</v>
      </c>
      <c r="T336" t="s">
        <v>485</v>
      </c>
      <c r="U336">
        <v>115.7</v>
      </c>
      <c r="V336">
        <v>1762727256586.8</v>
      </c>
      <c r="W336">
        <v>1</v>
      </c>
      <c r="X336" t="s">
        <v>197</v>
      </c>
      <c r="Y336">
        <v>0</v>
      </c>
      <c r="Z336">
        <v>98</v>
      </c>
      <c r="AA336">
        <v>278</v>
      </c>
      <c r="AB336" t="s">
        <v>197</v>
      </c>
      <c r="AC336" t="s">
        <v>198</v>
      </c>
      <c r="AD336" t="s">
        <v>199</v>
      </c>
      <c r="AE336">
        <v>0</v>
      </c>
      <c r="AF336">
        <v>45</v>
      </c>
      <c r="AG336">
        <v>255</v>
      </c>
      <c r="AH336">
        <v>0</v>
      </c>
      <c r="AI336">
        <v>0</v>
      </c>
      <c r="AJ336">
        <v>0</v>
      </c>
      <c r="AK336">
        <v>12.6</v>
      </c>
      <c r="AL336">
        <v>0</v>
      </c>
      <c r="AM336">
        <v>0</v>
      </c>
      <c r="AN336" t="s">
        <v>197</v>
      </c>
      <c r="AO336">
        <v>100</v>
      </c>
      <c r="AP336" t="s">
        <v>197</v>
      </c>
      <c r="AQ336" t="s">
        <v>200</v>
      </c>
      <c r="AR336">
        <v>1</v>
      </c>
      <c r="AS336">
        <v>0</v>
      </c>
      <c r="AT336" t="s">
        <v>682</v>
      </c>
      <c r="AU336" t="s">
        <v>682</v>
      </c>
      <c r="AV336" t="s">
        <v>202</v>
      </c>
      <c r="AW336" t="s">
        <v>203</v>
      </c>
      <c r="AX336" t="s">
        <v>203</v>
      </c>
      <c r="AY336" t="s">
        <v>203</v>
      </c>
      <c r="AZ336" t="s">
        <v>203</v>
      </c>
      <c r="BA336" t="s">
        <v>203</v>
      </c>
      <c r="BB336" t="s">
        <v>203</v>
      </c>
      <c r="BC336" t="s">
        <v>203</v>
      </c>
      <c r="BD336" t="s">
        <v>203</v>
      </c>
      <c r="BE336" t="s">
        <v>203</v>
      </c>
      <c r="BF336">
        <v>0</v>
      </c>
      <c r="BG336">
        <v>0.2</v>
      </c>
      <c r="BH336">
        <v>50</v>
      </c>
      <c r="BI336">
        <v>0</v>
      </c>
      <c r="BJ336" t="s">
        <v>198</v>
      </c>
      <c r="BK336" t="s">
        <v>198</v>
      </c>
      <c r="BL336" t="s">
        <v>198</v>
      </c>
      <c r="BM336" t="s">
        <v>198</v>
      </c>
      <c r="BN336" t="s">
        <v>198</v>
      </c>
      <c r="BO336" t="s">
        <v>198</v>
      </c>
      <c r="BP336" t="s">
        <v>198</v>
      </c>
      <c r="BQ336" t="s">
        <v>198</v>
      </c>
      <c r="BR336" t="s">
        <v>198</v>
      </c>
      <c r="BS336" t="s">
        <v>198</v>
      </c>
      <c r="BT336" t="s">
        <v>198</v>
      </c>
      <c r="BU336" t="s">
        <v>198</v>
      </c>
      <c r="BV336" t="s">
        <v>198</v>
      </c>
      <c r="BW336" t="s">
        <v>198</v>
      </c>
      <c r="BX336" t="s">
        <v>198</v>
      </c>
      <c r="BY336" t="s">
        <v>198</v>
      </c>
      <c r="BZ336" t="s">
        <v>198</v>
      </c>
      <c r="CA336" t="s">
        <v>198</v>
      </c>
      <c r="CB336" t="s">
        <v>204</v>
      </c>
      <c r="CC336" t="s">
        <v>204</v>
      </c>
      <c r="CD336" t="s">
        <v>204</v>
      </c>
      <c r="CE336" t="s">
        <v>204</v>
      </c>
      <c r="CF336" t="s">
        <v>204</v>
      </c>
      <c r="CG336" t="s">
        <v>204</v>
      </c>
      <c r="CH336" t="s">
        <v>204</v>
      </c>
      <c r="CI336" t="s">
        <v>204</v>
      </c>
      <c r="CJ336" t="s">
        <v>204</v>
      </c>
      <c r="CK336" t="s">
        <v>204</v>
      </c>
      <c r="CL336" t="s">
        <v>204</v>
      </c>
      <c r="CM336" t="s">
        <v>204</v>
      </c>
      <c r="CN336" t="s">
        <v>203</v>
      </c>
      <c r="CO336" t="s">
        <v>203</v>
      </c>
      <c r="CP336" t="s">
        <v>203</v>
      </c>
      <c r="CQ336" t="s">
        <v>203</v>
      </c>
      <c r="CR336" t="s">
        <v>203</v>
      </c>
      <c r="CS336" t="s">
        <v>203</v>
      </c>
      <c r="CT336" t="s">
        <v>203</v>
      </c>
      <c r="CU336" t="s">
        <v>203</v>
      </c>
      <c r="CV336">
        <v>0</v>
      </c>
      <c r="CW336">
        <v>0</v>
      </c>
      <c r="CX336" t="s">
        <v>198</v>
      </c>
      <c r="CY336" t="s">
        <v>198</v>
      </c>
      <c r="CZ336" t="s">
        <v>198</v>
      </c>
      <c r="DA336" t="s">
        <v>198</v>
      </c>
      <c r="DB336" t="s">
        <v>198</v>
      </c>
      <c r="DC336">
        <v>0</v>
      </c>
      <c r="DD336">
        <v>0</v>
      </c>
      <c r="DE336">
        <v>0</v>
      </c>
      <c r="DF336">
        <v>0</v>
      </c>
      <c r="DG336">
        <v>-35.3631166</v>
      </c>
      <c r="DH336">
        <v>149.1639735</v>
      </c>
      <c r="DI336" t="s">
        <v>360</v>
      </c>
      <c r="DJ336">
        <v>1.2</v>
      </c>
      <c r="DK336">
        <v>2</v>
      </c>
      <c r="DL336">
        <v>159.8</v>
      </c>
      <c r="DM336">
        <v>0</v>
      </c>
      <c r="DN336">
        <v>6</v>
      </c>
      <c r="DO336">
        <v>10</v>
      </c>
      <c r="DP336">
        <v>0</v>
      </c>
      <c r="DQ336">
        <v>255</v>
      </c>
      <c r="DR336">
        <v>255</v>
      </c>
      <c r="DS336">
        <v>255</v>
      </c>
      <c r="DT336">
        <v>255</v>
      </c>
      <c r="DU336">
        <v>255</v>
      </c>
      <c r="DV336">
        <v>255</v>
      </c>
      <c r="DW336">
        <v>255</v>
      </c>
      <c r="DX336" t="s">
        <v>206</v>
      </c>
      <c r="DY336" t="s">
        <v>206</v>
      </c>
      <c r="DZ336" t="s">
        <v>207</v>
      </c>
      <c r="EA336" t="s">
        <v>198</v>
      </c>
      <c r="EB336" t="s">
        <v>198</v>
      </c>
      <c r="EC336" t="s">
        <v>198</v>
      </c>
      <c r="ED336">
        <v>0</v>
      </c>
      <c r="EE336">
        <v>0</v>
      </c>
      <c r="EF336">
        <v>0</v>
      </c>
      <c r="EG336">
        <v>0</v>
      </c>
      <c r="EH336">
        <v>255</v>
      </c>
      <c r="EI336">
        <v>255</v>
      </c>
      <c r="EJ336">
        <v>255</v>
      </c>
      <c r="EK336">
        <v>255</v>
      </c>
      <c r="EL336">
        <v>255</v>
      </c>
      <c r="EM336">
        <v>255</v>
      </c>
      <c r="EN336">
        <v>255</v>
      </c>
      <c r="EO336">
        <v>255</v>
      </c>
      <c r="EP336">
        <v>255</v>
      </c>
      <c r="EQ336">
        <v>255</v>
      </c>
      <c r="ER336" t="s">
        <v>208</v>
      </c>
      <c r="ES336" t="s">
        <v>209</v>
      </c>
      <c r="ET336" t="s">
        <v>209</v>
      </c>
      <c r="EU336">
        <v>0</v>
      </c>
      <c r="EV336">
        <v>16.2</v>
      </c>
      <c r="EW336">
        <v>-114.7</v>
      </c>
      <c r="EX336">
        <v>-0.2</v>
      </c>
      <c r="EY336">
        <v>0</v>
      </c>
      <c r="EZ336">
        <v>0</v>
      </c>
      <c r="FA336">
        <v>0</v>
      </c>
      <c r="FB336" t="s">
        <v>198</v>
      </c>
      <c r="FC336" t="s">
        <v>198</v>
      </c>
      <c r="FD336" t="s">
        <v>198</v>
      </c>
      <c r="FE336" t="s">
        <v>198</v>
      </c>
      <c r="FF336" t="s">
        <v>198</v>
      </c>
      <c r="FG336" t="s">
        <v>198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 t="s">
        <v>203</v>
      </c>
      <c r="FP336" t="s">
        <v>203</v>
      </c>
      <c r="FQ336" t="s">
        <v>203</v>
      </c>
      <c r="FR336" t="s">
        <v>203</v>
      </c>
      <c r="FS336" t="s">
        <v>203</v>
      </c>
      <c r="FT336" t="s">
        <v>203</v>
      </c>
      <c r="FU336" t="s">
        <v>198</v>
      </c>
      <c r="FV336" t="s">
        <v>198</v>
      </c>
      <c r="FW336" t="s">
        <v>198</v>
      </c>
      <c r="FX336" t="s">
        <v>198</v>
      </c>
      <c r="FY336" t="s">
        <v>198</v>
      </c>
      <c r="FZ336" t="s">
        <v>198</v>
      </c>
      <c r="GA336">
        <v>31.2</v>
      </c>
      <c r="GB336">
        <v>31.2</v>
      </c>
      <c r="GC336" t="s">
        <v>203</v>
      </c>
      <c r="GD336">
        <v>0</v>
      </c>
      <c r="GE336">
        <v>504</v>
      </c>
      <c r="GF336">
        <v>0</v>
      </c>
      <c r="GG336">
        <v>0</v>
      </c>
      <c r="GH336">
        <v>0</v>
      </c>
      <c r="GI336">
        <v>1</v>
      </c>
      <c r="GJ336">
        <v>1</v>
      </c>
      <c r="GK336">
        <v>0</v>
      </c>
      <c r="GL336" t="s">
        <v>198</v>
      </c>
      <c r="GM336" t="s">
        <v>198</v>
      </c>
      <c r="GN336" t="s">
        <v>198</v>
      </c>
    </row>
    <row r="337" spans="1:196">
      <c r="A337" s="19">
        <v>46316.90778174769</v>
      </c>
      <c r="B337">
        <v>0</v>
      </c>
      <c r="C337">
        <v>0</v>
      </c>
      <c r="D337">
        <v>277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584.2</v>
      </c>
      <c r="N337">
        <v>-0.5</v>
      </c>
      <c r="O337">
        <v>0</v>
      </c>
      <c r="P337">
        <v>0</v>
      </c>
      <c r="Q337">
        <v>0</v>
      </c>
      <c r="R337">
        <v>0</v>
      </c>
      <c r="S337">
        <v>115.6</v>
      </c>
      <c r="T337" t="s">
        <v>485</v>
      </c>
      <c r="U337">
        <v>115.7</v>
      </c>
      <c r="V337">
        <v>1762727256586.8</v>
      </c>
      <c r="W337">
        <v>1</v>
      </c>
      <c r="X337" t="s">
        <v>197</v>
      </c>
      <c r="Y337">
        <v>0</v>
      </c>
      <c r="Z337">
        <v>98</v>
      </c>
      <c r="AA337">
        <v>278</v>
      </c>
      <c r="AB337" t="s">
        <v>197</v>
      </c>
      <c r="AC337" t="s">
        <v>198</v>
      </c>
      <c r="AD337" t="s">
        <v>199</v>
      </c>
      <c r="AE337">
        <v>0</v>
      </c>
      <c r="AF337">
        <v>45</v>
      </c>
      <c r="AG337">
        <v>255</v>
      </c>
      <c r="AH337">
        <v>0</v>
      </c>
      <c r="AI337">
        <v>0</v>
      </c>
      <c r="AJ337">
        <v>0</v>
      </c>
      <c r="AK337">
        <v>12.6</v>
      </c>
      <c r="AL337">
        <v>0</v>
      </c>
      <c r="AM337">
        <v>0</v>
      </c>
      <c r="AN337" t="s">
        <v>197</v>
      </c>
      <c r="AO337">
        <v>100</v>
      </c>
      <c r="AP337" t="s">
        <v>197</v>
      </c>
      <c r="AQ337" t="s">
        <v>200</v>
      </c>
      <c r="AR337">
        <v>1</v>
      </c>
      <c r="AS337">
        <v>0</v>
      </c>
      <c r="AT337" t="s">
        <v>683</v>
      </c>
      <c r="AU337" t="s">
        <v>683</v>
      </c>
      <c r="AV337" t="s">
        <v>202</v>
      </c>
      <c r="AW337" t="s">
        <v>203</v>
      </c>
      <c r="AX337" t="s">
        <v>203</v>
      </c>
      <c r="AY337" t="s">
        <v>203</v>
      </c>
      <c r="AZ337" t="s">
        <v>203</v>
      </c>
      <c r="BA337" t="s">
        <v>203</v>
      </c>
      <c r="BB337" t="s">
        <v>203</v>
      </c>
      <c r="BC337" t="s">
        <v>203</v>
      </c>
      <c r="BD337" t="s">
        <v>203</v>
      </c>
      <c r="BE337" t="s">
        <v>203</v>
      </c>
      <c r="BF337">
        <v>0</v>
      </c>
      <c r="BG337">
        <v>0.2</v>
      </c>
      <c r="BH337">
        <v>50</v>
      </c>
      <c r="BI337">
        <v>0</v>
      </c>
      <c r="BJ337" t="s">
        <v>198</v>
      </c>
      <c r="BK337" t="s">
        <v>198</v>
      </c>
      <c r="BL337" t="s">
        <v>198</v>
      </c>
      <c r="BM337" t="s">
        <v>198</v>
      </c>
      <c r="BN337" t="s">
        <v>198</v>
      </c>
      <c r="BO337" t="s">
        <v>198</v>
      </c>
      <c r="BP337" t="s">
        <v>198</v>
      </c>
      <c r="BQ337" t="s">
        <v>198</v>
      </c>
      <c r="BR337" t="s">
        <v>198</v>
      </c>
      <c r="BS337" t="s">
        <v>198</v>
      </c>
      <c r="BT337" t="s">
        <v>198</v>
      </c>
      <c r="BU337" t="s">
        <v>198</v>
      </c>
      <c r="BV337" t="s">
        <v>198</v>
      </c>
      <c r="BW337" t="s">
        <v>198</v>
      </c>
      <c r="BX337" t="s">
        <v>198</v>
      </c>
      <c r="BY337" t="s">
        <v>198</v>
      </c>
      <c r="BZ337" t="s">
        <v>198</v>
      </c>
      <c r="CA337" t="s">
        <v>198</v>
      </c>
      <c r="CB337" t="s">
        <v>204</v>
      </c>
      <c r="CC337" t="s">
        <v>204</v>
      </c>
      <c r="CD337" t="s">
        <v>204</v>
      </c>
      <c r="CE337" t="s">
        <v>204</v>
      </c>
      <c r="CF337" t="s">
        <v>204</v>
      </c>
      <c r="CG337" t="s">
        <v>204</v>
      </c>
      <c r="CH337" t="s">
        <v>204</v>
      </c>
      <c r="CI337" t="s">
        <v>204</v>
      </c>
      <c r="CJ337" t="s">
        <v>204</v>
      </c>
      <c r="CK337" t="s">
        <v>204</v>
      </c>
      <c r="CL337" t="s">
        <v>204</v>
      </c>
      <c r="CM337" t="s">
        <v>204</v>
      </c>
      <c r="CN337" t="s">
        <v>203</v>
      </c>
      <c r="CO337" t="s">
        <v>203</v>
      </c>
      <c r="CP337" t="s">
        <v>203</v>
      </c>
      <c r="CQ337" t="s">
        <v>203</v>
      </c>
      <c r="CR337" t="s">
        <v>203</v>
      </c>
      <c r="CS337" t="s">
        <v>203</v>
      </c>
      <c r="CT337" t="s">
        <v>203</v>
      </c>
      <c r="CU337" t="s">
        <v>203</v>
      </c>
      <c r="CV337">
        <v>0</v>
      </c>
      <c r="CW337">
        <v>0</v>
      </c>
      <c r="CX337" t="s">
        <v>198</v>
      </c>
      <c r="CY337" t="s">
        <v>198</v>
      </c>
      <c r="CZ337" t="s">
        <v>198</v>
      </c>
      <c r="DA337" t="s">
        <v>198</v>
      </c>
      <c r="DB337" t="s">
        <v>198</v>
      </c>
      <c r="DC337">
        <v>0</v>
      </c>
      <c r="DD337">
        <v>0</v>
      </c>
      <c r="DE337">
        <v>0</v>
      </c>
      <c r="DF337">
        <v>0</v>
      </c>
      <c r="DG337">
        <v>-35.3631166</v>
      </c>
      <c r="DH337">
        <v>149.1639735</v>
      </c>
      <c r="DI337" t="s">
        <v>360</v>
      </c>
      <c r="DJ337">
        <v>1.2</v>
      </c>
      <c r="DK337">
        <v>2</v>
      </c>
      <c r="DL337">
        <v>159.8</v>
      </c>
      <c r="DM337">
        <v>0</v>
      </c>
      <c r="DN337">
        <v>6</v>
      </c>
      <c r="DO337">
        <v>10</v>
      </c>
      <c r="DP337">
        <v>0</v>
      </c>
      <c r="DQ337">
        <v>255</v>
      </c>
      <c r="DR337">
        <v>255</v>
      </c>
      <c r="DS337">
        <v>255</v>
      </c>
      <c r="DT337">
        <v>255</v>
      </c>
      <c r="DU337">
        <v>255</v>
      </c>
      <c r="DV337">
        <v>255</v>
      </c>
      <c r="DW337">
        <v>255</v>
      </c>
      <c r="DX337" t="s">
        <v>206</v>
      </c>
      <c r="DY337" t="s">
        <v>206</v>
      </c>
      <c r="DZ337" t="s">
        <v>207</v>
      </c>
      <c r="EA337" t="s">
        <v>198</v>
      </c>
      <c r="EB337" t="s">
        <v>198</v>
      </c>
      <c r="EC337" t="s">
        <v>198</v>
      </c>
      <c r="ED337">
        <v>0</v>
      </c>
      <c r="EE337">
        <v>0</v>
      </c>
      <c r="EF337">
        <v>0</v>
      </c>
      <c r="EG337">
        <v>0</v>
      </c>
      <c r="EH337">
        <v>255</v>
      </c>
      <c r="EI337">
        <v>255</v>
      </c>
      <c r="EJ337">
        <v>255</v>
      </c>
      <c r="EK337">
        <v>255</v>
      </c>
      <c r="EL337">
        <v>255</v>
      </c>
      <c r="EM337">
        <v>255</v>
      </c>
      <c r="EN337">
        <v>255</v>
      </c>
      <c r="EO337">
        <v>255</v>
      </c>
      <c r="EP337">
        <v>255</v>
      </c>
      <c r="EQ337">
        <v>255</v>
      </c>
      <c r="ER337" t="s">
        <v>208</v>
      </c>
      <c r="ES337" t="s">
        <v>209</v>
      </c>
      <c r="ET337" t="s">
        <v>209</v>
      </c>
      <c r="EU337">
        <v>0</v>
      </c>
      <c r="EV337">
        <v>16.2</v>
      </c>
      <c r="EW337">
        <v>-114.7</v>
      </c>
      <c r="EX337">
        <v>-0.2</v>
      </c>
      <c r="EY337">
        <v>0</v>
      </c>
      <c r="EZ337">
        <v>0</v>
      </c>
      <c r="FA337">
        <v>0</v>
      </c>
      <c r="FB337" t="s">
        <v>198</v>
      </c>
      <c r="FC337" t="s">
        <v>198</v>
      </c>
      <c r="FD337" t="s">
        <v>198</v>
      </c>
      <c r="FE337" t="s">
        <v>198</v>
      </c>
      <c r="FF337" t="s">
        <v>198</v>
      </c>
      <c r="FG337" t="s">
        <v>198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 t="s">
        <v>203</v>
      </c>
      <c r="FP337" t="s">
        <v>203</v>
      </c>
      <c r="FQ337" t="s">
        <v>203</v>
      </c>
      <c r="FR337" t="s">
        <v>203</v>
      </c>
      <c r="FS337" t="s">
        <v>203</v>
      </c>
      <c r="FT337" t="s">
        <v>203</v>
      </c>
      <c r="FU337" t="s">
        <v>198</v>
      </c>
      <c r="FV337" t="s">
        <v>198</v>
      </c>
      <c r="FW337" t="s">
        <v>198</v>
      </c>
      <c r="FX337" t="s">
        <v>198</v>
      </c>
      <c r="FY337" t="s">
        <v>198</v>
      </c>
      <c r="FZ337" t="s">
        <v>198</v>
      </c>
      <c r="GA337">
        <v>31.2</v>
      </c>
      <c r="GB337">
        <v>31.2</v>
      </c>
      <c r="GC337" t="s">
        <v>203</v>
      </c>
      <c r="GD337">
        <v>0</v>
      </c>
      <c r="GE337">
        <v>504</v>
      </c>
      <c r="GF337">
        <v>0</v>
      </c>
      <c r="GG337">
        <v>0</v>
      </c>
      <c r="GH337">
        <v>0</v>
      </c>
      <c r="GI337">
        <v>1</v>
      </c>
      <c r="GJ337">
        <v>1</v>
      </c>
      <c r="GK337">
        <v>0</v>
      </c>
      <c r="GL337" t="s">
        <v>198</v>
      </c>
      <c r="GM337" t="s">
        <v>198</v>
      </c>
      <c r="GN337" t="s">
        <v>198</v>
      </c>
    </row>
    <row r="338" spans="1:196">
      <c r="A338" s="19">
        <v>46316.90779332176</v>
      </c>
      <c r="B338">
        <v>0</v>
      </c>
      <c r="C338">
        <v>0</v>
      </c>
      <c r="D338">
        <v>277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584.2</v>
      </c>
      <c r="N338">
        <v>-0.5</v>
      </c>
      <c r="O338">
        <v>0</v>
      </c>
      <c r="P338">
        <v>0</v>
      </c>
      <c r="Q338">
        <v>0</v>
      </c>
      <c r="R338">
        <v>0</v>
      </c>
      <c r="S338">
        <v>115.6</v>
      </c>
      <c r="T338" t="s">
        <v>485</v>
      </c>
      <c r="U338">
        <v>115.7</v>
      </c>
      <c r="V338">
        <v>1762727256586.8</v>
      </c>
      <c r="W338">
        <v>1</v>
      </c>
      <c r="X338" t="s">
        <v>197</v>
      </c>
      <c r="Y338">
        <v>0</v>
      </c>
      <c r="Z338">
        <v>98</v>
      </c>
      <c r="AA338">
        <v>278</v>
      </c>
      <c r="AB338" t="s">
        <v>197</v>
      </c>
      <c r="AC338" t="s">
        <v>198</v>
      </c>
      <c r="AD338" t="s">
        <v>199</v>
      </c>
      <c r="AE338">
        <v>0</v>
      </c>
      <c r="AF338">
        <v>45</v>
      </c>
      <c r="AG338">
        <v>255</v>
      </c>
      <c r="AH338">
        <v>0</v>
      </c>
      <c r="AI338">
        <v>0</v>
      </c>
      <c r="AJ338">
        <v>0</v>
      </c>
      <c r="AK338">
        <v>12.6</v>
      </c>
      <c r="AL338">
        <v>0</v>
      </c>
      <c r="AM338">
        <v>0</v>
      </c>
      <c r="AN338" t="s">
        <v>197</v>
      </c>
      <c r="AO338">
        <v>100</v>
      </c>
      <c r="AP338" t="s">
        <v>197</v>
      </c>
      <c r="AQ338" t="s">
        <v>200</v>
      </c>
      <c r="AR338">
        <v>1</v>
      </c>
      <c r="AS338">
        <v>0</v>
      </c>
      <c r="AT338" t="s">
        <v>684</v>
      </c>
      <c r="AU338" t="s">
        <v>684</v>
      </c>
      <c r="AV338" t="s">
        <v>202</v>
      </c>
      <c r="AW338" t="s">
        <v>203</v>
      </c>
      <c r="AX338" t="s">
        <v>203</v>
      </c>
      <c r="AY338" t="s">
        <v>203</v>
      </c>
      <c r="AZ338" t="s">
        <v>203</v>
      </c>
      <c r="BA338" t="s">
        <v>203</v>
      </c>
      <c r="BB338" t="s">
        <v>203</v>
      </c>
      <c r="BC338" t="s">
        <v>203</v>
      </c>
      <c r="BD338" t="s">
        <v>203</v>
      </c>
      <c r="BE338" t="s">
        <v>203</v>
      </c>
      <c r="BF338">
        <v>0</v>
      </c>
      <c r="BG338">
        <v>0.2</v>
      </c>
      <c r="BH338">
        <v>50</v>
      </c>
      <c r="BI338">
        <v>0</v>
      </c>
      <c r="BJ338" t="s">
        <v>198</v>
      </c>
      <c r="BK338" t="s">
        <v>198</v>
      </c>
      <c r="BL338" t="s">
        <v>198</v>
      </c>
      <c r="BM338" t="s">
        <v>198</v>
      </c>
      <c r="BN338" t="s">
        <v>198</v>
      </c>
      <c r="BO338" t="s">
        <v>198</v>
      </c>
      <c r="BP338" t="s">
        <v>198</v>
      </c>
      <c r="BQ338" t="s">
        <v>198</v>
      </c>
      <c r="BR338" t="s">
        <v>198</v>
      </c>
      <c r="BS338" t="s">
        <v>198</v>
      </c>
      <c r="BT338" t="s">
        <v>198</v>
      </c>
      <c r="BU338" t="s">
        <v>198</v>
      </c>
      <c r="BV338" t="s">
        <v>198</v>
      </c>
      <c r="BW338" t="s">
        <v>198</v>
      </c>
      <c r="BX338" t="s">
        <v>198</v>
      </c>
      <c r="BY338" t="s">
        <v>198</v>
      </c>
      <c r="BZ338" t="s">
        <v>198</v>
      </c>
      <c r="CA338" t="s">
        <v>198</v>
      </c>
      <c r="CB338" t="s">
        <v>204</v>
      </c>
      <c r="CC338" t="s">
        <v>204</v>
      </c>
      <c r="CD338" t="s">
        <v>204</v>
      </c>
      <c r="CE338" t="s">
        <v>204</v>
      </c>
      <c r="CF338" t="s">
        <v>204</v>
      </c>
      <c r="CG338" t="s">
        <v>204</v>
      </c>
      <c r="CH338" t="s">
        <v>204</v>
      </c>
      <c r="CI338" t="s">
        <v>204</v>
      </c>
      <c r="CJ338" t="s">
        <v>204</v>
      </c>
      <c r="CK338" t="s">
        <v>204</v>
      </c>
      <c r="CL338" t="s">
        <v>204</v>
      </c>
      <c r="CM338" t="s">
        <v>204</v>
      </c>
      <c r="CN338" t="s">
        <v>203</v>
      </c>
      <c r="CO338" t="s">
        <v>203</v>
      </c>
      <c r="CP338" t="s">
        <v>203</v>
      </c>
      <c r="CQ338" t="s">
        <v>203</v>
      </c>
      <c r="CR338" t="s">
        <v>203</v>
      </c>
      <c r="CS338" t="s">
        <v>203</v>
      </c>
      <c r="CT338" t="s">
        <v>203</v>
      </c>
      <c r="CU338" t="s">
        <v>203</v>
      </c>
      <c r="CV338">
        <v>0</v>
      </c>
      <c r="CW338">
        <v>0</v>
      </c>
      <c r="CX338" t="s">
        <v>198</v>
      </c>
      <c r="CY338" t="s">
        <v>198</v>
      </c>
      <c r="CZ338" t="s">
        <v>198</v>
      </c>
      <c r="DA338" t="s">
        <v>198</v>
      </c>
      <c r="DB338" t="s">
        <v>198</v>
      </c>
      <c r="DC338">
        <v>0</v>
      </c>
      <c r="DD338">
        <v>0</v>
      </c>
      <c r="DE338">
        <v>0</v>
      </c>
      <c r="DF338">
        <v>0</v>
      </c>
      <c r="DG338">
        <v>-35.3631166</v>
      </c>
      <c r="DH338">
        <v>149.1639735</v>
      </c>
      <c r="DI338" t="s">
        <v>360</v>
      </c>
      <c r="DJ338">
        <v>1.2</v>
      </c>
      <c r="DK338">
        <v>2</v>
      </c>
      <c r="DL338">
        <v>159.8</v>
      </c>
      <c r="DM338">
        <v>0</v>
      </c>
      <c r="DN338">
        <v>6</v>
      </c>
      <c r="DO338">
        <v>10</v>
      </c>
      <c r="DP338">
        <v>0</v>
      </c>
      <c r="DQ338">
        <v>255</v>
      </c>
      <c r="DR338">
        <v>255</v>
      </c>
      <c r="DS338">
        <v>255</v>
      </c>
      <c r="DT338">
        <v>255</v>
      </c>
      <c r="DU338">
        <v>255</v>
      </c>
      <c r="DV338">
        <v>255</v>
      </c>
      <c r="DW338">
        <v>255</v>
      </c>
      <c r="DX338" t="s">
        <v>206</v>
      </c>
      <c r="DY338" t="s">
        <v>206</v>
      </c>
      <c r="DZ338" t="s">
        <v>207</v>
      </c>
      <c r="EA338" t="s">
        <v>198</v>
      </c>
      <c r="EB338" t="s">
        <v>198</v>
      </c>
      <c r="EC338" t="s">
        <v>198</v>
      </c>
      <c r="ED338">
        <v>0</v>
      </c>
      <c r="EE338">
        <v>0</v>
      </c>
      <c r="EF338">
        <v>0</v>
      </c>
      <c r="EG338">
        <v>0</v>
      </c>
      <c r="EH338">
        <v>255</v>
      </c>
      <c r="EI338">
        <v>255</v>
      </c>
      <c r="EJ338">
        <v>255</v>
      </c>
      <c r="EK338">
        <v>255</v>
      </c>
      <c r="EL338">
        <v>255</v>
      </c>
      <c r="EM338">
        <v>255</v>
      </c>
      <c r="EN338">
        <v>255</v>
      </c>
      <c r="EO338">
        <v>255</v>
      </c>
      <c r="EP338">
        <v>255</v>
      </c>
      <c r="EQ338">
        <v>255</v>
      </c>
      <c r="ER338" t="s">
        <v>208</v>
      </c>
      <c r="ES338" t="s">
        <v>209</v>
      </c>
      <c r="ET338" t="s">
        <v>209</v>
      </c>
      <c r="EU338">
        <v>0</v>
      </c>
      <c r="EV338">
        <v>16.2</v>
      </c>
      <c r="EW338">
        <v>-114.7</v>
      </c>
      <c r="EX338">
        <v>-0.2</v>
      </c>
      <c r="EY338">
        <v>0</v>
      </c>
      <c r="EZ338">
        <v>0</v>
      </c>
      <c r="FA338">
        <v>0</v>
      </c>
      <c r="FB338" t="s">
        <v>198</v>
      </c>
      <c r="FC338" t="s">
        <v>198</v>
      </c>
      <c r="FD338" t="s">
        <v>198</v>
      </c>
      <c r="FE338" t="s">
        <v>198</v>
      </c>
      <c r="FF338" t="s">
        <v>198</v>
      </c>
      <c r="FG338" t="s">
        <v>198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 t="s">
        <v>203</v>
      </c>
      <c r="FP338" t="s">
        <v>203</v>
      </c>
      <c r="FQ338" t="s">
        <v>203</v>
      </c>
      <c r="FR338" t="s">
        <v>203</v>
      </c>
      <c r="FS338" t="s">
        <v>203</v>
      </c>
      <c r="FT338" t="s">
        <v>203</v>
      </c>
      <c r="FU338" t="s">
        <v>198</v>
      </c>
      <c r="FV338" t="s">
        <v>198</v>
      </c>
      <c r="FW338" t="s">
        <v>198</v>
      </c>
      <c r="FX338" t="s">
        <v>198</v>
      </c>
      <c r="FY338" t="s">
        <v>198</v>
      </c>
      <c r="FZ338" t="s">
        <v>198</v>
      </c>
      <c r="GA338">
        <v>31.2</v>
      </c>
      <c r="GB338">
        <v>31.2</v>
      </c>
      <c r="GC338" t="s">
        <v>203</v>
      </c>
      <c r="GD338">
        <v>0</v>
      </c>
      <c r="GE338">
        <v>504</v>
      </c>
      <c r="GF338">
        <v>0</v>
      </c>
      <c r="GG338">
        <v>0</v>
      </c>
      <c r="GH338">
        <v>0</v>
      </c>
      <c r="GI338">
        <v>1</v>
      </c>
      <c r="GJ338">
        <v>1</v>
      </c>
      <c r="GK338">
        <v>0</v>
      </c>
      <c r="GL338" t="s">
        <v>198</v>
      </c>
      <c r="GM338" t="s">
        <v>198</v>
      </c>
      <c r="GN338" t="s">
        <v>198</v>
      </c>
    </row>
    <row r="339" spans="1:196">
      <c r="A339" s="19">
        <v>46316.90780488426</v>
      </c>
      <c r="B339">
        <v>0</v>
      </c>
      <c r="C339">
        <v>0</v>
      </c>
      <c r="D339">
        <v>277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584.2</v>
      </c>
      <c r="N339">
        <v>-0.5</v>
      </c>
      <c r="O339">
        <v>0</v>
      </c>
      <c r="P339">
        <v>0</v>
      </c>
      <c r="Q339">
        <v>0</v>
      </c>
      <c r="R339">
        <v>0</v>
      </c>
      <c r="S339">
        <v>115.6</v>
      </c>
      <c r="T339" t="s">
        <v>485</v>
      </c>
      <c r="U339">
        <v>115.7</v>
      </c>
      <c r="V339">
        <v>1762727256586.8</v>
      </c>
      <c r="W339">
        <v>1</v>
      </c>
      <c r="X339" t="s">
        <v>197</v>
      </c>
      <c r="Y339">
        <v>0</v>
      </c>
      <c r="Z339">
        <v>98</v>
      </c>
      <c r="AA339">
        <v>278</v>
      </c>
      <c r="AB339" t="s">
        <v>197</v>
      </c>
      <c r="AC339" t="s">
        <v>198</v>
      </c>
      <c r="AD339" t="s">
        <v>199</v>
      </c>
      <c r="AE339">
        <v>0</v>
      </c>
      <c r="AF339">
        <v>45</v>
      </c>
      <c r="AG339">
        <v>255</v>
      </c>
      <c r="AH339">
        <v>0</v>
      </c>
      <c r="AI339">
        <v>0</v>
      </c>
      <c r="AJ339">
        <v>0</v>
      </c>
      <c r="AK339">
        <v>12.6</v>
      </c>
      <c r="AL339">
        <v>0</v>
      </c>
      <c r="AM339">
        <v>0</v>
      </c>
      <c r="AN339" t="s">
        <v>197</v>
      </c>
      <c r="AO339">
        <v>100</v>
      </c>
      <c r="AP339" t="s">
        <v>197</v>
      </c>
      <c r="AQ339" t="s">
        <v>200</v>
      </c>
      <c r="AR339">
        <v>1</v>
      </c>
      <c r="AS339">
        <v>0</v>
      </c>
      <c r="AT339" t="s">
        <v>685</v>
      </c>
      <c r="AU339" t="s">
        <v>685</v>
      </c>
      <c r="AV339" t="s">
        <v>202</v>
      </c>
      <c r="AW339" t="s">
        <v>203</v>
      </c>
      <c r="AX339" t="s">
        <v>203</v>
      </c>
      <c r="AY339" t="s">
        <v>203</v>
      </c>
      <c r="AZ339" t="s">
        <v>203</v>
      </c>
      <c r="BA339" t="s">
        <v>203</v>
      </c>
      <c r="BB339" t="s">
        <v>203</v>
      </c>
      <c r="BC339" t="s">
        <v>203</v>
      </c>
      <c r="BD339" t="s">
        <v>203</v>
      </c>
      <c r="BE339" t="s">
        <v>203</v>
      </c>
      <c r="BF339">
        <v>0</v>
      </c>
      <c r="BG339">
        <v>0.2</v>
      </c>
      <c r="BH339">
        <v>50</v>
      </c>
      <c r="BI339">
        <v>0</v>
      </c>
      <c r="BJ339" t="s">
        <v>198</v>
      </c>
      <c r="BK339" t="s">
        <v>198</v>
      </c>
      <c r="BL339" t="s">
        <v>198</v>
      </c>
      <c r="BM339" t="s">
        <v>198</v>
      </c>
      <c r="BN339" t="s">
        <v>198</v>
      </c>
      <c r="BO339" t="s">
        <v>198</v>
      </c>
      <c r="BP339" t="s">
        <v>198</v>
      </c>
      <c r="BQ339" t="s">
        <v>198</v>
      </c>
      <c r="BR339" t="s">
        <v>198</v>
      </c>
      <c r="BS339" t="s">
        <v>198</v>
      </c>
      <c r="BT339" t="s">
        <v>198</v>
      </c>
      <c r="BU339" t="s">
        <v>198</v>
      </c>
      <c r="BV339" t="s">
        <v>198</v>
      </c>
      <c r="BW339" t="s">
        <v>198</v>
      </c>
      <c r="BX339" t="s">
        <v>198</v>
      </c>
      <c r="BY339" t="s">
        <v>198</v>
      </c>
      <c r="BZ339" t="s">
        <v>198</v>
      </c>
      <c r="CA339" t="s">
        <v>198</v>
      </c>
      <c r="CB339" t="s">
        <v>204</v>
      </c>
      <c r="CC339" t="s">
        <v>204</v>
      </c>
      <c r="CD339" t="s">
        <v>204</v>
      </c>
      <c r="CE339" t="s">
        <v>204</v>
      </c>
      <c r="CF339" t="s">
        <v>204</v>
      </c>
      <c r="CG339" t="s">
        <v>204</v>
      </c>
      <c r="CH339" t="s">
        <v>204</v>
      </c>
      <c r="CI339" t="s">
        <v>204</v>
      </c>
      <c r="CJ339" t="s">
        <v>204</v>
      </c>
      <c r="CK339" t="s">
        <v>204</v>
      </c>
      <c r="CL339" t="s">
        <v>204</v>
      </c>
      <c r="CM339" t="s">
        <v>204</v>
      </c>
      <c r="CN339" t="s">
        <v>203</v>
      </c>
      <c r="CO339" t="s">
        <v>203</v>
      </c>
      <c r="CP339" t="s">
        <v>203</v>
      </c>
      <c r="CQ339" t="s">
        <v>203</v>
      </c>
      <c r="CR339" t="s">
        <v>203</v>
      </c>
      <c r="CS339" t="s">
        <v>203</v>
      </c>
      <c r="CT339" t="s">
        <v>203</v>
      </c>
      <c r="CU339" t="s">
        <v>203</v>
      </c>
      <c r="CV339">
        <v>0</v>
      </c>
      <c r="CW339">
        <v>0</v>
      </c>
      <c r="CX339" t="s">
        <v>198</v>
      </c>
      <c r="CY339" t="s">
        <v>198</v>
      </c>
      <c r="CZ339" t="s">
        <v>198</v>
      </c>
      <c r="DA339" t="s">
        <v>198</v>
      </c>
      <c r="DB339" t="s">
        <v>198</v>
      </c>
      <c r="DC339">
        <v>0</v>
      </c>
      <c r="DD339">
        <v>0</v>
      </c>
      <c r="DE339">
        <v>0</v>
      </c>
      <c r="DF339">
        <v>0</v>
      </c>
      <c r="DG339">
        <v>-35.3631166</v>
      </c>
      <c r="DH339">
        <v>149.1639735</v>
      </c>
      <c r="DI339" t="s">
        <v>360</v>
      </c>
      <c r="DJ339">
        <v>1.2</v>
      </c>
      <c r="DK339">
        <v>2</v>
      </c>
      <c r="DL339">
        <v>159.8</v>
      </c>
      <c r="DM339">
        <v>0</v>
      </c>
      <c r="DN339">
        <v>6</v>
      </c>
      <c r="DO339">
        <v>10</v>
      </c>
      <c r="DP339">
        <v>0</v>
      </c>
      <c r="DQ339">
        <v>255</v>
      </c>
      <c r="DR339">
        <v>255</v>
      </c>
      <c r="DS339">
        <v>255</v>
      </c>
      <c r="DT339">
        <v>255</v>
      </c>
      <c r="DU339">
        <v>255</v>
      </c>
      <c r="DV339">
        <v>255</v>
      </c>
      <c r="DW339">
        <v>255</v>
      </c>
      <c r="DX339" t="s">
        <v>206</v>
      </c>
      <c r="DY339" t="s">
        <v>206</v>
      </c>
      <c r="DZ339" t="s">
        <v>207</v>
      </c>
      <c r="EA339" t="s">
        <v>198</v>
      </c>
      <c r="EB339" t="s">
        <v>198</v>
      </c>
      <c r="EC339" t="s">
        <v>198</v>
      </c>
      <c r="ED339">
        <v>0</v>
      </c>
      <c r="EE339">
        <v>0</v>
      </c>
      <c r="EF339">
        <v>0</v>
      </c>
      <c r="EG339">
        <v>0</v>
      </c>
      <c r="EH339">
        <v>255</v>
      </c>
      <c r="EI339">
        <v>255</v>
      </c>
      <c r="EJ339">
        <v>255</v>
      </c>
      <c r="EK339">
        <v>255</v>
      </c>
      <c r="EL339">
        <v>255</v>
      </c>
      <c r="EM339">
        <v>255</v>
      </c>
      <c r="EN339">
        <v>255</v>
      </c>
      <c r="EO339">
        <v>255</v>
      </c>
      <c r="EP339">
        <v>255</v>
      </c>
      <c r="EQ339">
        <v>255</v>
      </c>
      <c r="ER339" t="s">
        <v>208</v>
      </c>
      <c r="ES339" t="s">
        <v>209</v>
      </c>
      <c r="ET339" t="s">
        <v>209</v>
      </c>
      <c r="EU339">
        <v>0</v>
      </c>
      <c r="EV339">
        <v>16.2</v>
      </c>
      <c r="EW339">
        <v>-114.7</v>
      </c>
      <c r="EX339">
        <v>-0.2</v>
      </c>
      <c r="EY339">
        <v>0</v>
      </c>
      <c r="EZ339">
        <v>0</v>
      </c>
      <c r="FA339">
        <v>0</v>
      </c>
      <c r="FB339" t="s">
        <v>198</v>
      </c>
      <c r="FC339" t="s">
        <v>198</v>
      </c>
      <c r="FD339" t="s">
        <v>198</v>
      </c>
      <c r="FE339" t="s">
        <v>198</v>
      </c>
      <c r="FF339" t="s">
        <v>198</v>
      </c>
      <c r="FG339" t="s">
        <v>198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 t="s">
        <v>203</v>
      </c>
      <c r="FP339" t="s">
        <v>203</v>
      </c>
      <c r="FQ339" t="s">
        <v>203</v>
      </c>
      <c r="FR339" t="s">
        <v>203</v>
      </c>
      <c r="FS339" t="s">
        <v>203</v>
      </c>
      <c r="FT339" t="s">
        <v>203</v>
      </c>
      <c r="FU339" t="s">
        <v>198</v>
      </c>
      <c r="FV339" t="s">
        <v>198</v>
      </c>
      <c r="FW339" t="s">
        <v>198</v>
      </c>
      <c r="FX339" t="s">
        <v>198</v>
      </c>
      <c r="FY339" t="s">
        <v>198</v>
      </c>
      <c r="FZ339" t="s">
        <v>198</v>
      </c>
      <c r="GA339">
        <v>31.2</v>
      </c>
      <c r="GB339">
        <v>31.2</v>
      </c>
      <c r="GC339" t="s">
        <v>203</v>
      </c>
      <c r="GD339">
        <v>0</v>
      </c>
      <c r="GE339">
        <v>504</v>
      </c>
      <c r="GF339">
        <v>0</v>
      </c>
      <c r="GG339">
        <v>0</v>
      </c>
      <c r="GH339">
        <v>0</v>
      </c>
      <c r="GI339">
        <v>1</v>
      </c>
      <c r="GJ339">
        <v>1</v>
      </c>
      <c r="GK339">
        <v>0</v>
      </c>
      <c r="GL339" t="s">
        <v>198</v>
      </c>
      <c r="GM339" t="s">
        <v>198</v>
      </c>
      <c r="GN339" t="s">
        <v>198</v>
      </c>
    </row>
    <row r="340" spans="1:196">
      <c r="A340" s="19">
        <v>46316.90781646991</v>
      </c>
      <c r="B340">
        <v>0</v>
      </c>
      <c r="C340">
        <v>0</v>
      </c>
      <c r="D340">
        <v>277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584.2</v>
      </c>
      <c r="N340">
        <v>-0.5</v>
      </c>
      <c r="O340">
        <v>0</v>
      </c>
      <c r="P340">
        <v>0</v>
      </c>
      <c r="Q340">
        <v>0</v>
      </c>
      <c r="R340">
        <v>0</v>
      </c>
      <c r="S340">
        <v>115.6</v>
      </c>
      <c r="T340" t="s">
        <v>485</v>
      </c>
      <c r="U340">
        <v>115.7</v>
      </c>
      <c r="V340">
        <v>1762727256586.8</v>
      </c>
      <c r="W340">
        <v>1</v>
      </c>
      <c r="X340" t="s">
        <v>197</v>
      </c>
      <c r="Y340">
        <v>0</v>
      </c>
      <c r="Z340">
        <v>98</v>
      </c>
      <c r="AA340">
        <v>278</v>
      </c>
      <c r="AB340" t="s">
        <v>197</v>
      </c>
      <c r="AC340" t="s">
        <v>198</v>
      </c>
      <c r="AD340" t="s">
        <v>199</v>
      </c>
      <c r="AE340">
        <v>0</v>
      </c>
      <c r="AF340">
        <v>45</v>
      </c>
      <c r="AG340">
        <v>255</v>
      </c>
      <c r="AH340">
        <v>0</v>
      </c>
      <c r="AI340">
        <v>0</v>
      </c>
      <c r="AJ340">
        <v>0</v>
      </c>
      <c r="AK340">
        <v>12.6</v>
      </c>
      <c r="AL340">
        <v>0</v>
      </c>
      <c r="AM340">
        <v>0</v>
      </c>
      <c r="AN340" t="s">
        <v>197</v>
      </c>
      <c r="AO340">
        <v>100</v>
      </c>
      <c r="AP340" t="s">
        <v>197</v>
      </c>
      <c r="AQ340" t="s">
        <v>200</v>
      </c>
      <c r="AR340">
        <v>1</v>
      </c>
      <c r="AS340">
        <v>0</v>
      </c>
      <c r="AT340" t="s">
        <v>686</v>
      </c>
      <c r="AU340" t="s">
        <v>686</v>
      </c>
      <c r="AV340" t="s">
        <v>202</v>
      </c>
      <c r="AW340" t="s">
        <v>203</v>
      </c>
      <c r="AX340" t="s">
        <v>203</v>
      </c>
      <c r="AY340" t="s">
        <v>203</v>
      </c>
      <c r="AZ340" t="s">
        <v>203</v>
      </c>
      <c r="BA340" t="s">
        <v>203</v>
      </c>
      <c r="BB340" t="s">
        <v>203</v>
      </c>
      <c r="BC340" t="s">
        <v>203</v>
      </c>
      <c r="BD340" t="s">
        <v>203</v>
      </c>
      <c r="BE340" t="s">
        <v>203</v>
      </c>
      <c r="BF340">
        <v>0</v>
      </c>
      <c r="BG340">
        <v>0.2</v>
      </c>
      <c r="BH340">
        <v>50</v>
      </c>
      <c r="BI340">
        <v>0</v>
      </c>
      <c r="BJ340" t="s">
        <v>198</v>
      </c>
      <c r="BK340" t="s">
        <v>198</v>
      </c>
      <c r="BL340" t="s">
        <v>198</v>
      </c>
      <c r="BM340" t="s">
        <v>198</v>
      </c>
      <c r="BN340" t="s">
        <v>198</v>
      </c>
      <c r="BO340" t="s">
        <v>198</v>
      </c>
      <c r="BP340" t="s">
        <v>198</v>
      </c>
      <c r="BQ340" t="s">
        <v>198</v>
      </c>
      <c r="BR340" t="s">
        <v>198</v>
      </c>
      <c r="BS340" t="s">
        <v>198</v>
      </c>
      <c r="BT340" t="s">
        <v>198</v>
      </c>
      <c r="BU340" t="s">
        <v>198</v>
      </c>
      <c r="BV340" t="s">
        <v>198</v>
      </c>
      <c r="BW340" t="s">
        <v>198</v>
      </c>
      <c r="BX340" t="s">
        <v>198</v>
      </c>
      <c r="BY340" t="s">
        <v>198</v>
      </c>
      <c r="BZ340" t="s">
        <v>198</v>
      </c>
      <c r="CA340" t="s">
        <v>198</v>
      </c>
      <c r="CB340" t="s">
        <v>204</v>
      </c>
      <c r="CC340" t="s">
        <v>204</v>
      </c>
      <c r="CD340" t="s">
        <v>204</v>
      </c>
      <c r="CE340" t="s">
        <v>204</v>
      </c>
      <c r="CF340" t="s">
        <v>204</v>
      </c>
      <c r="CG340" t="s">
        <v>204</v>
      </c>
      <c r="CH340" t="s">
        <v>204</v>
      </c>
      <c r="CI340" t="s">
        <v>204</v>
      </c>
      <c r="CJ340" t="s">
        <v>204</v>
      </c>
      <c r="CK340" t="s">
        <v>204</v>
      </c>
      <c r="CL340" t="s">
        <v>204</v>
      </c>
      <c r="CM340" t="s">
        <v>204</v>
      </c>
      <c r="CN340" t="s">
        <v>203</v>
      </c>
      <c r="CO340" t="s">
        <v>203</v>
      </c>
      <c r="CP340" t="s">
        <v>203</v>
      </c>
      <c r="CQ340" t="s">
        <v>203</v>
      </c>
      <c r="CR340" t="s">
        <v>203</v>
      </c>
      <c r="CS340" t="s">
        <v>203</v>
      </c>
      <c r="CT340" t="s">
        <v>203</v>
      </c>
      <c r="CU340" t="s">
        <v>203</v>
      </c>
      <c r="CV340">
        <v>0</v>
      </c>
      <c r="CW340">
        <v>0</v>
      </c>
      <c r="CX340" t="s">
        <v>198</v>
      </c>
      <c r="CY340" t="s">
        <v>198</v>
      </c>
      <c r="CZ340" t="s">
        <v>198</v>
      </c>
      <c r="DA340" t="s">
        <v>198</v>
      </c>
      <c r="DB340" t="s">
        <v>198</v>
      </c>
      <c r="DC340">
        <v>0</v>
      </c>
      <c r="DD340">
        <v>0</v>
      </c>
      <c r="DE340">
        <v>0</v>
      </c>
      <c r="DF340">
        <v>0</v>
      </c>
      <c r="DG340">
        <v>-35.3631166</v>
      </c>
      <c r="DH340">
        <v>149.1639735</v>
      </c>
      <c r="DI340" t="s">
        <v>360</v>
      </c>
      <c r="DJ340">
        <v>1.2</v>
      </c>
      <c r="DK340">
        <v>2</v>
      </c>
      <c r="DL340">
        <v>159.8</v>
      </c>
      <c r="DM340">
        <v>0</v>
      </c>
      <c r="DN340">
        <v>6</v>
      </c>
      <c r="DO340">
        <v>10</v>
      </c>
      <c r="DP340">
        <v>0</v>
      </c>
      <c r="DQ340">
        <v>255</v>
      </c>
      <c r="DR340">
        <v>255</v>
      </c>
      <c r="DS340">
        <v>255</v>
      </c>
      <c r="DT340">
        <v>255</v>
      </c>
      <c r="DU340">
        <v>255</v>
      </c>
      <c r="DV340">
        <v>255</v>
      </c>
      <c r="DW340">
        <v>255</v>
      </c>
      <c r="DX340" t="s">
        <v>206</v>
      </c>
      <c r="DY340" t="s">
        <v>206</v>
      </c>
      <c r="DZ340" t="s">
        <v>207</v>
      </c>
      <c r="EA340" t="s">
        <v>198</v>
      </c>
      <c r="EB340" t="s">
        <v>198</v>
      </c>
      <c r="EC340" t="s">
        <v>198</v>
      </c>
      <c r="ED340">
        <v>0</v>
      </c>
      <c r="EE340">
        <v>0</v>
      </c>
      <c r="EF340">
        <v>0</v>
      </c>
      <c r="EG340">
        <v>0</v>
      </c>
      <c r="EH340">
        <v>255</v>
      </c>
      <c r="EI340">
        <v>255</v>
      </c>
      <c r="EJ340">
        <v>255</v>
      </c>
      <c r="EK340">
        <v>255</v>
      </c>
      <c r="EL340">
        <v>255</v>
      </c>
      <c r="EM340">
        <v>255</v>
      </c>
      <c r="EN340">
        <v>255</v>
      </c>
      <c r="EO340">
        <v>255</v>
      </c>
      <c r="EP340">
        <v>255</v>
      </c>
      <c r="EQ340">
        <v>255</v>
      </c>
      <c r="ER340" t="s">
        <v>208</v>
      </c>
      <c r="ES340" t="s">
        <v>209</v>
      </c>
      <c r="ET340" t="s">
        <v>209</v>
      </c>
      <c r="EU340">
        <v>0</v>
      </c>
      <c r="EV340">
        <v>16.2</v>
      </c>
      <c r="EW340">
        <v>-114.7</v>
      </c>
      <c r="EX340">
        <v>-0.2</v>
      </c>
      <c r="EY340">
        <v>0</v>
      </c>
      <c r="EZ340">
        <v>0</v>
      </c>
      <c r="FA340">
        <v>0</v>
      </c>
      <c r="FB340" t="s">
        <v>198</v>
      </c>
      <c r="FC340" t="s">
        <v>198</v>
      </c>
      <c r="FD340" t="s">
        <v>198</v>
      </c>
      <c r="FE340" t="s">
        <v>198</v>
      </c>
      <c r="FF340" t="s">
        <v>198</v>
      </c>
      <c r="FG340" t="s">
        <v>198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 t="s">
        <v>203</v>
      </c>
      <c r="FP340" t="s">
        <v>203</v>
      </c>
      <c r="FQ340" t="s">
        <v>203</v>
      </c>
      <c r="FR340" t="s">
        <v>203</v>
      </c>
      <c r="FS340" t="s">
        <v>203</v>
      </c>
      <c r="FT340" t="s">
        <v>203</v>
      </c>
      <c r="FU340" t="s">
        <v>198</v>
      </c>
      <c r="FV340" t="s">
        <v>198</v>
      </c>
      <c r="FW340" t="s">
        <v>198</v>
      </c>
      <c r="FX340" t="s">
        <v>198</v>
      </c>
      <c r="FY340" t="s">
        <v>198</v>
      </c>
      <c r="FZ340" t="s">
        <v>198</v>
      </c>
      <c r="GA340">
        <v>31.2</v>
      </c>
      <c r="GB340">
        <v>31.2</v>
      </c>
      <c r="GC340" t="s">
        <v>203</v>
      </c>
      <c r="GD340">
        <v>0</v>
      </c>
      <c r="GE340">
        <v>504</v>
      </c>
      <c r="GF340">
        <v>0</v>
      </c>
      <c r="GG340">
        <v>0</v>
      </c>
      <c r="GH340">
        <v>0</v>
      </c>
      <c r="GI340">
        <v>1</v>
      </c>
      <c r="GJ340">
        <v>1</v>
      </c>
      <c r="GK340">
        <v>0</v>
      </c>
      <c r="GL340" t="s">
        <v>198</v>
      </c>
      <c r="GM340" t="s">
        <v>198</v>
      </c>
      <c r="GN340" t="s">
        <v>198</v>
      </c>
    </row>
    <row r="341" spans="1:196">
      <c r="A341" s="19">
        <v>46316.90782804398</v>
      </c>
      <c r="B341">
        <v>0</v>
      </c>
      <c r="C341">
        <v>0</v>
      </c>
      <c r="D341">
        <v>277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584.2</v>
      </c>
      <c r="N341">
        <v>-0.5</v>
      </c>
      <c r="O341">
        <v>0</v>
      </c>
      <c r="P341">
        <v>0</v>
      </c>
      <c r="Q341">
        <v>0</v>
      </c>
      <c r="R341">
        <v>0</v>
      </c>
      <c r="S341">
        <v>115.6</v>
      </c>
      <c r="T341" t="s">
        <v>485</v>
      </c>
      <c r="U341">
        <v>115.7</v>
      </c>
      <c r="V341">
        <v>1762727256586.8</v>
      </c>
      <c r="W341">
        <v>1</v>
      </c>
      <c r="X341" t="s">
        <v>197</v>
      </c>
      <c r="Y341">
        <v>0</v>
      </c>
      <c r="Z341">
        <v>98</v>
      </c>
      <c r="AA341">
        <v>278</v>
      </c>
      <c r="AB341" t="s">
        <v>197</v>
      </c>
      <c r="AC341" t="s">
        <v>198</v>
      </c>
      <c r="AD341" t="s">
        <v>199</v>
      </c>
      <c r="AE341">
        <v>0</v>
      </c>
      <c r="AF341">
        <v>45</v>
      </c>
      <c r="AG341">
        <v>255</v>
      </c>
      <c r="AH341">
        <v>0</v>
      </c>
      <c r="AI341">
        <v>0</v>
      </c>
      <c r="AJ341">
        <v>0</v>
      </c>
      <c r="AK341">
        <v>12.6</v>
      </c>
      <c r="AL341">
        <v>0</v>
      </c>
      <c r="AM341">
        <v>0</v>
      </c>
      <c r="AN341" t="s">
        <v>197</v>
      </c>
      <c r="AO341">
        <v>100</v>
      </c>
      <c r="AP341" t="s">
        <v>197</v>
      </c>
      <c r="AQ341" t="s">
        <v>200</v>
      </c>
      <c r="AR341">
        <v>1</v>
      </c>
      <c r="AS341">
        <v>0</v>
      </c>
      <c r="AT341" t="s">
        <v>687</v>
      </c>
      <c r="AU341" t="s">
        <v>687</v>
      </c>
      <c r="AV341" t="s">
        <v>202</v>
      </c>
      <c r="AW341" t="s">
        <v>203</v>
      </c>
      <c r="AX341" t="s">
        <v>203</v>
      </c>
      <c r="AY341" t="s">
        <v>203</v>
      </c>
      <c r="AZ341" t="s">
        <v>203</v>
      </c>
      <c r="BA341" t="s">
        <v>203</v>
      </c>
      <c r="BB341" t="s">
        <v>203</v>
      </c>
      <c r="BC341" t="s">
        <v>203</v>
      </c>
      <c r="BD341" t="s">
        <v>203</v>
      </c>
      <c r="BE341" t="s">
        <v>203</v>
      </c>
      <c r="BF341">
        <v>0</v>
      </c>
      <c r="BG341">
        <v>0.2</v>
      </c>
      <c r="BH341">
        <v>50</v>
      </c>
      <c r="BI341">
        <v>0</v>
      </c>
      <c r="BJ341" t="s">
        <v>198</v>
      </c>
      <c r="BK341" t="s">
        <v>198</v>
      </c>
      <c r="BL341" t="s">
        <v>198</v>
      </c>
      <c r="BM341" t="s">
        <v>198</v>
      </c>
      <c r="BN341" t="s">
        <v>198</v>
      </c>
      <c r="BO341" t="s">
        <v>198</v>
      </c>
      <c r="BP341" t="s">
        <v>198</v>
      </c>
      <c r="BQ341" t="s">
        <v>198</v>
      </c>
      <c r="BR341" t="s">
        <v>198</v>
      </c>
      <c r="BS341" t="s">
        <v>198</v>
      </c>
      <c r="BT341" t="s">
        <v>198</v>
      </c>
      <c r="BU341" t="s">
        <v>198</v>
      </c>
      <c r="BV341" t="s">
        <v>198</v>
      </c>
      <c r="BW341" t="s">
        <v>198</v>
      </c>
      <c r="BX341" t="s">
        <v>198</v>
      </c>
      <c r="BY341" t="s">
        <v>198</v>
      </c>
      <c r="BZ341" t="s">
        <v>198</v>
      </c>
      <c r="CA341" t="s">
        <v>198</v>
      </c>
      <c r="CB341" t="s">
        <v>204</v>
      </c>
      <c r="CC341" t="s">
        <v>204</v>
      </c>
      <c r="CD341" t="s">
        <v>204</v>
      </c>
      <c r="CE341" t="s">
        <v>204</v>
      </c>
      <c r="CF341" t="s">
        <v>204</v>
      </c>
      <c r="CG341" t="s">
        <v>204</v>
      </c>
      <c r="CH341" t="s">
        <v>204</v>
      </c>
      <c r="CI341" t="s">
        <v>204</v>
      </c>
      <c r="CJ341" t="s">
        <v>204</v>
      </c>
      <c r="CK341" t="s">
        <v>204</v>
      </c>
      <c r="CL341" t="s">
        <v>204</v>
      </c>
      <c r="CM341" t="s">
        <v>204</v>
      </c>
      <c r="CN341" t="s">
        <v>203</v>
      </c>
      <c r="CO341" t="s">
        <v>203</v>
      </c>
      <c r="CP341" t="s">
        <v>203</v>
      </c>
      <c r="CQ341" t="s">
        <v>203</v>
      </c>
      <c r="CR341" t="s">
        <v>203</v>
      </c>
      <c r="CS341" t="s">
        <v>203</v>
      </c>
      <c r="CT341" t="s">
        <v>203</v>
      </c>
      <c r="CU341" t="s">
        <v>203</v>
      </c>
      <c r="CV341">
        <v>0</v>
      </c>
      <c r="CW341">
        <v>0</v>
      </c>
      <c r="CX341" t="s">
        <v>198</v>
      </c>
      <c r="CY341" t="s">
        <v>198</v>
      </c>
      <c r="CZ341" t="s">
        <v>198</v>
      </c>
      <c r="DA341" t="s">
        <v>198</v>
      </c>
      <c r="DB341" t="s">
        <v>198</v>
      </c>
      <c r="DC341">
        <v>0</v>
      </c>
      <c r="DD341">
        <v>0</v>
      </c>
      <c r="DE341">
        <v>0</v>
      </c>
      <c r="DF341">
        <v>0</v>
      </c>
      <c r="DG341">
        <v>-35.3631166</v>
      </c>
      <c r="DH341">
        <v>149.1639735</v>
      </c>
      <c r="DI341" t="s">
        <v>360</v>
      </c>
      <c r="DJ341">
        <v>1.2</v>
      </c>
      <c r="DK341">
        <v>2</v>
      </c>
      <c r="DL341">
        <v>159.8</v>
      </c>
      <c r="DM341">
        <v>0</v>
      </c>
      <c r="DN341">
        <v>6</v>
      </c>
      <c r="DO341">
        <v>10</v>
      </c>
      <c r="DP341">
        <v>0</v>
      </c>
      <c r="DQ341">
        <v>255</v>
      </c>
      <c r="DR341">
        <v>255</v>
      </c>
      <c r="DS341">
        <v>255</v>
      </c>
      <c r="DT341">
        <v>255</v>
      </c>
      <c r="DU341">
        <v>255</v>
      </c>
      <c r="DV341">
        <v>255</v>
      </c>
      <c r="DW341">
        <v>255</v>
      </c>
      <c r="DX341" t="s">
        <v>206</v>
      </c>
      <c r="DY341" t="s">
        <v>206</v>
      </c>
      <c r="DZ341" t="s">
        <v>207</v>
      </c>
      <c r="EA341" t="s">
        <v>198</v>
      </c>
      <c r="EB341" t="s">
        <v>198</v>
      </c>
      <c r="EC341" t="s">
        <v>198</v>
      </c>
      <c r="ED341">
        <v>0</v>
      </c>
      <c r="EE341">
        <v>0</v>
      </c>
      <c r="EF341">
        <v>0</v>
      </c>
      <c r="EG341">
        <v>0</v>
      </c>
      <c r="EH341">
        <v>255</v>
      </c>
      <c r="EI341">
        <v>255</v>
      </c>
      <c r="EJ341">
        <v>255</v>
      </c>
      <c r="EK341">
        <v>255</v>
      </c>
      <c r="EL341">
        <v>255</v>
      </c>
      <c r="EM341">
        <v>255</v>
      </c>
      <c r="EN341">
        <v>255</v>
      </c>
      <c r="EO341">
        <v>255</v>
      </c>
      <c r="EP341">
        <v>255</v>
      </c>
      <c r="EQ341">
        <v>255</v>
      </c>
      <c r="ER341" t="s">
        <v>208</v>
      </c>
      <c r="ES341" t="s">
        <v>209</v>
      </c>
      <c r="ET341" t="s">
        <v>209</v>
      </c>
      <c r="EU341">
        <v>0</v>
      </c>
      <c r="EV341">
        <v>16.2</v>
      </c>
      <c r="EW341">
        <v>-114.7</v>
      </c>
      <c r="EX341">
        <v>-0.2</v>
      </c>
      <c r="EY341">
        <v>0</v>
      </c>
      <c r="EZ341">
        <v>0</v>
      </c>
      <c r="FA341">
        <v>0</v>
      </c>
      <c r="FB341" t="s">
        <v>198</v>
      </c>
      <c r="FC341" t="s">
        <v>198</v>
      </c>
      <c r="FD341" t="s">
        <v>198</v>
      </c>
      <c r="FE341" t="s">
        <v>198</v>
      </c>
      <c r="FF341" t="s">
        <v>198</v>
      </c>
      <c r="FG341" t="s">
        <v>198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203</v>
      </c>
      <c r="FP341" t="s">
        <v>203</v>
      </c>
      <c r="FQ341" t="s">
        <v>203</v>
      </c>
      <c r="FR341" t="s">
        <v>203</v>
      </c>
      <c r="FS341" t="s">
        <v>203</v>
      </c>
      <c r="FT341" t="s">
        <v>203</v>
      </c>
      <c r="FU341" t="s">
        <v>198</v>
      </c>
      <c r="FV341" t="s">
        <v>198</v>
      </c>
      <c r="FW341" t="s">
        <v>198</v>
      </c>
      <c r="FX341" t="s">
        <v>198</v>
      </c>
      <c r="FY341" t="s">
        <v>198</v>
      </c>
      <c r="FZ341" t="s">
        <v>198</v>
      </c>
      <c r="GA341">
        <v>31.2</v>
      </c>
      <c r="GB341">
        <v>31.2</v>
      </c>
      <c r="GC341" t="s">
        <v>203</v>
      </c>
      <c r="GD341">
        <v>0</v>
      </c>
      <c r="GE341">
        <v>504</v>
      </c>
      <c r="GF341">
        <v>0</v>
      </c>
      <c r="GG341">
        <v>0</v>
      </c>
      <c r="GH341">
        <v>0</v>
      </c>
      <c r="GI341">
        <v>1</v>
      </c>
      <c r="GJ341">
        <v>1</v>
      </c>
      <c r="GK341">
        <v>0</v>
      </c>
      <c r="GL341" t="s">
        <v>198</v>
      </c>
      <c r="GM341" t="s">
        <v>198</v>
      </c>
      <c r="GN341" t="s">
        <v>198</v>
      </c>
    </row>
    <row r="342" spans="1:196">
      <c r="A342" s="19">
        <v>46316.90783961806</v>
      </c>
      <c r="B342">
        <v>0</v>
      </c>
      <c r="C342">
        <v>0</v>
      </c>
      <c r="D342">
        <v>277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584.2</v>
      </c>
      <c r="N342">
        <v>-0.5</v>
      </c>
      <c r="O342">
        <v>0</v>
      </c>
      <c r="P342">
        <v>0</v>
      </c>
      <c r="Q342">
        <v>0</v>
      </c>
      <c r="R342">
        <v>0</v>
      </c>
      <c r="S342">
        <v>115.6</v>
      </c>
      <c r="T342" t="s">
        <v>485</v>
      </c>
      <c r="U342">
        <v>115.7</v>
      </c>
      <c r="V342">
        <v>1762727256586.8</v>
      </c>
      <c r="W342">
        <v>1</v>
      </c>
      <c r="X342" t="s">
        <v>197</v>
      </c>
      <c r="Y342">
        <v>0</v>
      </c>
      <c r="Z342">
        <v>98</v>
      </c>
      <c r="AA342">
        <v>278</v>
      </c>
      <c r="AB342" t="s">
        <v>197</v>
      </c>
      <c r="AC342" t="s">
        <v>198</v>
      </c>
      <c r="AD342" t="s">
        <v>199</v>
      </c>
      <c r="AE342">
        <v>0</v>
      </c>
      <c r="AF342">
        <v>45</v>
      </c>
      <c r="AG342">
        <v>255</v>
      </c>
      <c r="AH342">
        <v>0</v>
      </c>
      <c r="AI342">
        <v>0</v>
      </c>
      <c r="AJ342">
        <v>0</v>
      </c>
      <c r="AK342">
        <v>12.6</v>
      </c>
      <c r="AL342">
        <v>0</v>
      </c>
      <c r="AM342">
        <v>0</v>
      </c>
      <c r="AN342" t="s">
        <v>197</v>
      </c>
      <c r="AO342">
        <v>100</v>
      </c>
      <c r="AP342" t="s">
        <v>197</v>
      </c>
      <c r="AQ342" t="s">
        <v>200</v>
      </c>
      <c r="AR342">
        <v>1</v>
      </c>
      <c r="AS342">
        <v>0</v>
      </c>
      <c r="AT342" t="s">
        <v>688</v>
      </c>
      <c r="AU342" t="s">
        <v>688</v>
      </c>
      <c r="AV342" t="s">
        <v>202</v>
      </c>
      <c r="AW342" t="s">
        <v>203</v>
      </c>
      <c r="AX342" t="s">
        <v>203</v>
      </c>
      <c r="AY342" t="s">
        <v>203</v>
      </c>
      <c r="AZ342" t="s">
        <v>203</v>
      </c>
      <c r="BA342" t="s">
        <v>203</v>
      </c>
      <c r="BB342" t="s">
        <v>203</v>
      </c>
      <c r="BC342" t="s">
        <v>203</v>
      </c>
      <c r="BD342" t="s">
        <v>203</v>
      </c>
      <c r="BE342" t="s">
        <v>203</v>
      </c>
      <c r="BF342">
        <v>0</v>
      </c>
      <c r="BG342">
        <v>0.2</v>
      </c>
      <c r="BH342">
        <v>50</v>
      </c>
      <c r="BI342">
        <v>0</v>
      </c>
      <c r="BJ342" t="s">
        <v>198</v>
      </c>
      <c r="BK342" t="s">
        <v>198</v>
      </c>
      <c r="BL342" t="s">
        <v>198</v>
      </c>
      <c r="BM342" t="s">
        <v>198</v>
      </c>
      <c r="BN342" t="s">
        <v>198</v>
      </c>
      <c r="BO342" t="s">
        <v>198</v>
      </c>
      <c r="BP342" t="s">
        <v>198</v>
      </c>
      <c r="BQ342" t="s">
        <v>198</v>
      </c>
      <c r="BR342" t="s">
        <v>198</v>
      </c>
      <c r="BS342" t="s">
        <v>198</v>
      </c>
      <c r="BT342" t="s">
        <v>198</v>
      </c>
      <c r="BU342" t="s">
        <v>198</v>
      </c>
      <c r="BV342" t="s">
        <v>198</v>
      </c>
      <c r="BW342" t="s">
        <v>198</v>
      </c>
      <c r="BX342" t="s">
        <v>198</v>
      </c>
      <c r="BY342" t="s">
        <v>198</v>
      </c>
      <c r="BZ342" t="s">
        <v>198</v>
      </c>
      <c r="CA342" t="s">
        <v>198</v>
      </c>
      <c r="CB342" t="s">
        <v>204</v>
      </c>
      <c r="CC342" t="s">
        <v>204</v>
      </c>
      <c r="CD342" t="s">
        <v>204</v>
      </c>
      <c r="CE342" t="s">
        <v>204</v>
      </c>
      <c r="CF342" t="s">
        <v>204</v>
      </c>
      <c r="CG342" t="s">
        <v>204</v>
      </c>
      <c r="CH342" t="s">
        <v>204</v>
      </c>
      <c r="CI342" t="s">
        <v>204</v>
      </c>
      <c r="CJ342" t="s">
        <v>204</v>
      </c>
      <c r="CK342" t="s">
        <v>204</v>
      </c>
      <c r="CL342" t="s">
        <v>204</v>
      </c>
      <c r="CM342" t="s">
        <v>204</v>
      </c>
      <c r="CN342" t="s">
        <v>203</v>
      </c>
      <c r="CO342" t="s">
        <v>203</v>
      </c>
      <c r="CP342" t="s">
        <v>203</v>
      </c>
      <c r="CQ342" t="s">
        <v>203</v>
      </c>
      <c r="CR342" t="s">
        <v>203</v>
      </c>
      <c r="CS342" t="s">
        <v>203</v>
      </c>
      <c r="CT342" t="s">
        <v>203</v>
      </c>
      <c r="CU342" t="s">
        <v>203</v>
      </c>
      <c r="CV342">
        <v>0</v>
      </c>
      <c r="CW342">
        <v>0</v>
      </c>
      <c r="CX342" t="s">
        <v>198</v>
      </c>
      <c r="CY342" t="s">
        <v>198</v>
      </c>
      <c r="CZ342" t="s">
        <v>198</v>
      </c>
      <c r="DA342" t="s">
        <v>198</v>
      </c>
      <c r="DB342" t="s">
        <v>198</v>
      </c>
      <c r="DC342">
        <v>0</v>
      </c>
      <c r="DD342">
        <v>0</v>
      </c>
      <c r="DE342">
        <v>0</v>
      </c>
      <c r="DF342">
        <v>0</v>
      </c>
      <c r="DG342">
        <v>-35.3631166</v>
      </c>
      <c r="DH342">
        <v>149.1639735</v>
      </c>
      <c r="DI342" t="s">
        <v>360</v>
      </c>
      <c r="DJ342">
        <v>1.2</v>
      </c>
      <c r="DK342">
        <v>2</v>
      </c>
      <c r="DL342">
        <v>159.8</v>
      </c>
      <c r="DM342">
        <v>0</v>
      </c>
      <c r="DN342">
        <v>6</v>
      </c>
      <c r="DO342">
        <v>10</v>
      </c>
      <c r="DP342">
        <v>0</v>
      </c>
      <c r="DQ342">
        <v>255</v>
      </c>
      <c r="DR342">
        <v>255</v>
      </c>
      <c r="DS342">
        <v>255</v>
      </c>
      <c r="DT342">
        <v>255</v>
      </c>
      <c r="DU342">
        <v>255</v>
      </c>
      <c r="DV342">
        <v>255</v>
      </c>
      <c r="DW342">
        <v>255</v>
      </c>
      <c r="DX342" t="s">
        <v>206</v>
      </c>
      <c r="DY342" t="s">
        <v>206</v>
      </c>
      <c r="DZ342" t="s">
        <v>207</v>
      </c>
      <c r="EA342" t="s">
        <v>198</v>
      </c>
      <c r="EB342" t="s">
        <v>198</v>
      </c>
      <c r="EC342" t="s">
        <v>198</v>
      </c>
      <c r="ED342">
        <v>0</v>
      </c>
      <c r="EE342">
        <v>0</v>
      </c>
      <c r="EF342">
        <v>0</v>
      </c>
      <c r="EG342">
        <v>0</v>
      </c>
      <c r="EH342">
        <v>255</v>
      </c>
      <c r="EI342">
        <v>255</v>
      </c>
      <c r="EJ342">
        <v>255</v>
      </c>
      <c r="EK342">
        <v>255</v>
      </c>
      <c r="EL342">
        <v>255</v>
      </c>
      <c r="EM342">
        <v>255</v>
      </c>
      <c r="EN342">
        <v>255</v>
      </c>
      <c r="EO342">
        <v>255</v>
      </c>
      <c r="EP342">
        <v>255</v>
      </c>
      <c r="EQ342">
        <v>255</v>
      </c>
      <c r="ER342" t="s">
        <v>208</v>
      </c>
      <c r="ES342" t="s">
        <v>209</v>
      </c>
      <c r="ET342" t="s">
        <v>209</v>
      </c>
      <c r="EU342">
        <v>0</v>
      </c>
      <c r="EV342">
        <v>16.2</v>
      </c>
      <c r="EW342">
        <v>-114.7</v>
      </c>
      <c r="EX342">
        <v>-0.2</v>
      </c>
      <c r="EY342">
        <v>0</v>
      </c>
      <c r="EZ342">
        <v>0</v>
      </c>
      <c r="FA342">
        <v>0</v>
      </c>
      <c r="FB342" t="s">
        <v>198</v>
      </c>
      <c r="FC342" t="s">
        <v>198</v>
      </c>
      <c r="FD342" t="s">
        <v>198</v>
      </c>
      <c r="FE342" t="s">
        <v>198</v>
      </c>
      <c r="FF342" t="s">
        <v>198</v>
      </c>
      <c r="FG342" t="s">
        <v>198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 t="s">
        <v>203</v>
      </c>
      <c r="FP342" t="s">
        <v>203</v>
      </c>
      <c r="FQ342" t="s">
        <v>203</v>
      </c>
      <c r="FR342" t="s">
        <v>203</v>
      </c>
      <c r="FS342" t="s">
        <v>203</v>
      </c>
      <c r="FT342" t="s">
        <v>203</v>
      </c>
      <c r="FU342" t="s">
        <v>198</v>
      </c>
      <c r="FV342" t="s">
        <v>198</v>
      </c>
      <c r="FW342" t="s">
        <v>198</v>
      </c>
      <c r="FX342" t="s">
        <v>198</v>
      </c>
      <c r="FY342" t="s">
        <v>198</v>
      </c>
      <c r="FZ342" t="s">
        <v>198</v>
      </c>
      <c r="GA342">
        <v>31.2</v>
      </c>
      <c r="GB342">
        <v>31.2</v>
      </c>
      <c r="GC342" t="s">
        <v>203</v>
      </c>
      <c r="GD342">
        <v>0</v>
      </c>
      <c r="GE342">
        <v>504</v>
      </c>
      <c r="GF342">
        <v>0</v>
      </c>
      <c r="GG342">
        <v>0</v>
      </c>
      <c r="GH342">
        <v>0</v>
      </c>
      <c r="GI342">
        <v>1</v>
      </c>
      <c r="GJ342">
        <v>1</v>
      </c>
      <c r="GK342">
        <v>0</v>
      </c>
      <c r="GL342" t="s">
        <v>198</v>
      </c>
      <c r="GM342" t="s">
        <v>198</v>
      </c>
      <c r="GN342" t="s">
        <v>198</v>
      </c>
    </row>
    <row r="343" spans="1:196">
      <c r="A343" s="19">
        <v>46316.90785118056</v>
      </c>
      <c r="B343">
        <v>0</v>
      </c>
      <c r="C343">
        <v>0</v>
      </c>
      <c r="D343">
        <v>277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584.2</v>
      </c>
      <c r="N343">
        <v>-0.5</v>
      </c>
      <c r="O343">
        <v>0</v>
      </c>
      <c r="P343">
        <v>0</v>
      </c>
      <c r="Q343">
        <v>0</v>
      </c>
      <c r="R343">
        <v>0</v>
      </c>
      <c r="S343">
        <v>115.6</v>
      </c>
      <c r="T343" t="s">
        <v>485</v>
      </c>
      <c r="U343">
        <v>115.7</v>
      </c>
      <c r="V343">
        <v>1762727256586.8</v>
      </c>
      <c r="W343">
        <v>1</v>
      </c>
      <c r="X343" t="s">
        <v>197</v>
      </c>
      <c r="Y343">
        <v>0</v>
      </c>
      <c r="Z343">
        <v>98</v>
      </c>
      <c r="AA343">
        <v>278</v>
      </c>
      <c r="AB343" t="s">
        <v>197</v>
      </c>
      <c r="AC343" t="s">
        <v>198</v>
      </c>
      <c r="AD343" t="s">
        <v>199</v>
      </c>
      <c r="AE343">
        <v>0</v>
      </c>
      <c r="AF343">
        <v>45</v>
      </c>
      <c r="AG343">
        <v>255</v>
      </c>
      <c r="AH343">
        <v>0</v>
      </c>
      <c r="AI343">
        <v>0</v>
      </c>
      <c r="AJ343">
        <v>0</v>
      </c>
      <c r="AK343">
        <v>12.6</v>
      </c>
      <c r="AL343">
        <v>0</v>
      </c>
      <c r="AM343">
        <v>0</v>
      </c>
      <c r="AN343" t="s">
        <v>197</v>
      </c>
      <c r="AO343">
        <v>100</v>
      </c>
      <c r="AP343" t="s">
        <v>197</v>
      </c>
      <c r="AQ343" t="s">
        <v>200</v>
      </c>
      <c r="AR343">
        <v>1</v>
      </c>
      <c r="AS343">
        <v>0</v>
      </c>
      <c r="AT343" t="s">
        <v>689</v>
      </c>
      <c r="AU343" t="s">
        <v>689</v>
      </c>
      <c r="AV343" t="s">
        <v>202</v>
      </c>
      <c r="AW343" t="s">
        <v>203</v>
      </c>
      <c r="AX343" t="s">
        <v>203</v>
      </c>
      <c r="AY343" t="s">
        <v>203</v>
      </c>
      <c r="AZ343" t="s">
        <v>203</v>
      </c>
      <c r="BA343" t="s">
        <v>203</v>
      </c>
      <c r="BB343" t="s">
        <v>203</v>
      </c>
      <c r="BC343" t="s">
        <v>203</v>
      </c>
      <c r="BD343" t="s">
        <v>203</v>
      </c>
      <c r="BE343" t="s">
        <v>203</v>
      </c>
      <c r="BF343">
        <v>0</v>
      </c>
      <c r="BG343">
        <v>0.2</v>
      </c>
      <c r="BH343">
        <v>50</v>
      </c>
      <c r="BI343">
        <v>0</v>
      </c>
      <c r="BJ343" t="s">
        <v>198</v>
      </c>
      <c r="BK343" t="s">
        <v>198</v>
      </c>
      <c r="BL343" t="s">
        <v>198</v>
      </c>
      <c r="BM343" t="s">
        <v>198</v>
      </c>
      <c r="BN343" t="s">
        <v>198</v>
      </c>
      <c r="BO343" t="s">
        <v>198</v>
      </c>
      <c r="BP343" t="s">
        <v>198</v>
      </c>
      <c r="BQ343" t="s">
        <v>198</v>
      </c>
      <c r="BR343" t="s">
        <v>198</v>
      </c>
      <c r="BS343" t="s">
        <v>198</v>
      </c>
      <c r="BT343" t="s">
        <v>198</v>
      </c>
      <c r="BU343" t="s">
        <v>198</v>
      </c>
      <c r="BV343" t="s">
        <v>198</v>
      </c>
      <c r="BW343" t="s">
        <v>198</v>
      </c>
      <c r="BX343" t="s">
        <v>198</v>
      </c>
      <c r="BY343" t="s">
        <v>198</v>
      </c>
      <c r="BZ343" t="s">
        <v>198</v>
      </c>
      <c r="CA343" t="s">
        <v>198</v>
      </c>
      <c r="CB343" t="s">
        <v>204</v>
      </c>
      <c r="CC343" t="s">
        <v>204</v>
      </c>
      <c r="CD343" t="s">
        <v>204</v>
      </c>
      <c r="CE343" t="s">
        <v>204</v>
      </c>
      <c r="CF343" t="s">
        <v>204</v>
      </c>
      <c r="CG343" t="s">
        <v>204</v>
      </c>
      <c r="CH343" t="s">
        <v>204</v>
      </c>
      <c r="CI343" t="s">
        <v>204</v>
      </c>
      <c r="CJ343" t="s">
        <v>204</v>
      </c>
      <c r="CK343" t="s">
        <v>204</v>
      </c>
      <c r="CL343" t="s">
        <v>204</v>
      </c>
      <c r="CM343" t="s">
        <v>204</v>
      </c>
      <c r="CN343" t="s">
        <v>203</v>
      </c>
      <c r="CO343" t="s">
        <v>203</v>
      </c>
      <c r="CP343" t="s">
        <v>203</v>
      </c>
      <c r="CQ343" t="s">
        <v>203</v>
      </c>
      <c r="CR343" t="s">
        <v>203</v>
      </c>
      <c r="CS343" t="s">
        <v>203</v>
      </c>
      <c r="CT343" t="s">
        <v>203</v>
      </c>
      <c r="CU343" t="s">
        <v>203</v>
      </c>
      <c r="CV343">
        <v>0</v>
      </c>
      <c r="CW343">
        <v>0</v>
      </c>
      <c r="CX343" t="s">
        <v>198</v>
      </c>
      <c r="CY343" t="s">
        <v>198</v>
      </c>
      <c r="CZ343" t="s">
        <v>198</v>
      </c>
      <c r="DA343" t="s">
        <v>198</v>
      </c>
      <c r="DB343" t="s">
        <v>198</v>
      </c>
      <c r="DC343">
        <v>0</v>
      </c>
      <c r="DD343">
        <v>0</v>
      </c>
      <c r="DE343">
        <v>0</v>
      </c>
      <c r="DF343">
        <v>0</v>
      </c>
      <c r="DG343">
        <v>-35.3631166</v>
      </c>
      <c r="DH343">
        <v>149.1639735</v>
      </c>
      <c r="DI343" t="s">
        <v>360</v>
      </c>
      <c r="DJ343">
        <v>1.2</v>
      </c>
      <c r="DK343">
        <v>2</v>
      </c>
      <c r="DL343">
        <v>159.8</v>
      </c>
      <c r="DM343">
        <v>0</v>
      </c>
      <c r="DN343">
        <v>6</v>
      </c>
      <c r="DO343">
        <v>10</v>
      </c>
      <c r="DP343">
        <v>0</v>
      </c>
      <c r="DQ343">
        <v>255</v>
      </c>
      <c r="DR343">
        <v>255</v>
      </c>
      <c r="DS343">
        <v>255</v>
      </c>
      <c r="DT343">
        <v>255</v>
      </c>
      <c r="DU343">
        <v>255</v>
      </c>
      <c r="DV343">
        <v>255</v>
      </c>
      <c r="DW343">
        <v>255</v>
      </c>
      <c r="DX343" t="s">
        <v>206</v>
      </c>
      <c r="DY343" t="s">
        <v>206</v>
      </c>
      <c r="DZ343" t="s">
        <v>207</v>
      </c>
      <c r="EA343" t="s">
        <v>198</v>
      </c>
      <c r="EB343" t="s">
        <v>198</v>
      </c>
      <c r="EC343" t="s">
        <v>198</v>
      </c>
      <c r="ED343">
        <v>0</v>
      </c>
      <c r="EE343">
        <v>0</v>
      </c>
      <c r="EF343">
        <v>0</v>
      </c>
      <c r="EG343">
        <v>0</v>
      </c>
      <c r="EH343">
        <v>255</v>
      </c>
      <c r="EI343">
        <v>255</v>
      </c>
      <c r="EJ343">
        <v>255</v>
      </c>
      <c r="EK343">
        <v>255</v>
      </c>
      <c r="EL343">
        <v>255</v>
      </c>
      <c r="EM343">
        <v>255</v>
      </c>
      <c r="EN343">
        <v>255</v>
      </c>
      <c r="EO343">
        <v>255</v>
      </c>
      <c r="EP343">
        <v>255</v>
      </c>
      <c r="EQ343">
        <v>255</v>
      </c>
      <c r="ER343" t="s">
        <v>208</v>
      </c>
      <c r="ES343" t="s">
        <v>209</v>
      </c>
      <c r="ET343" t="s">
        <v>209</v>
      </c>
      <c r="EU343">
        <v>0</v>
      </c>
      <c r="EV343">
        <v>16.2</v>
      </c>
      <c r="EW343">
        <v>-114.7</v>
      </c>
      <c r="EX343">
        <v>-0.2</v>
      </c>
      <c r="EY343">
        <v>0</v>
      </c>
      <c r="EZ343">
        <v>0</v>
      </c>
      <c r="FA343">
        <v>0</v>
      </c>
      <c r="FB343" t="s">
        <v>198</v>
      </c>
      <c r="FC343" t="s">
        <v>198</v>
      </c>
      <c r="FD343" t="s">
        <v>198</v>
      </c>
      <c r="FE343" t="s">
        <v>198</v>
      </c>
      <c r="FF343" t="s">
        <v>198</v>
      </c>
      <c r="FG343" t="s">
        <v>198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203</v>
      </c>
      <c r="FP343" t="s">
        <v>203</v>
      </c>
      <c r="FQ343" t="s">
        <v>203</v>
      </c>
      <c r="FR343" t="s">
        <v>203</v>
      </c>
      <c r="FS343" t="s">
        <v>203</v>
      </c>
      <c r="FT343" t="s">
        <v>203</v>
      </c>
      <c r="FU343" t="s">
        <v>198</v>
      </c>
      <c r="FV343" t="s">
        <v>198</v>
      </c>
      <c r="FW343" t="s">
        <v>198</v>
      </c>
      <c r="FX343" t="s">
        <v>198</v>
      </c>
      <c r="FY343" t="s">
        <v>198</v>
      </c>
      <c r="FZ343" t="s">
        <v>198</v>
      </c>
      <c r="GA343">
        <v>31.2</v>
      </c>
      <c r="GB343">
        <v>31.2</v>
      </c>
      <c r="GC343" t="s">
        <v>203</v>
      </c>
      <c r="GD343">
        <v>0</v>
      </c>
      <c r="GE343">
        <v>504</v>
      </c>
      <c r="GF343">
        <v>0</v>
      </c>
      <c r="GG343">
        <v>0</v>
      </c>
      <c r="GH343">
        <v>0</v>
      </c>
      <c r="GI343">
        <v>1</v>
      </c>
      <c r="GJ343">
        <v>1</v>
      </c>
      <c r="GK343">
        <v>0</v>
      </c>
      <c r="GL343" t="s">
        <v>198</v>
      </c>
      <c r="GM343" t="s">
        <v>198</v>
      </c>
      <c r="GN343" t="s">
        <v>198</v>
      </c>
    </row>
    <row r="344" spans="1:196">
      <c r="A344" s="19">
        <v>46316.9078627662</v>
      </c>
      <c r="B344">
        <v>0</v>
      </c>
      <c r="C344">
        <v>0</v>
      </c>
      <c r="D344">
        <v>277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584.2</v>
      </c>
      <c r="N344">
        <v>-0.5</v>
      </c>
      <c r="O344">
        <v>0</v>
      </c>
      <c r="P344">
        <v>0</v>
      </c>
      <c r="Q344">
        <v>0</v>
      </c>
      <c r="R344">
        <v>0</v>
      </c>
      <c r="S344">
        <v>115.6</v>
      </c>
      <c r="T344" t="s">
        <v>485</v>
      </c>
      <c r="U344">
        <v>115.7</v>
      </c>
      <c r="V344">
        <v>1762727256586.8</v>
      </c>
      <c r="W344">
        <v>1</v>
      </c>
      <c r="X344" t="s">
        <v>197</v>
      </c>
      <c r="Y344">
        <v>0</v>
      </c>
      <c r="Z344">
        <v>98</v>
      </c>
      <c r="AA344">
        <v>278</v>
      </c>
      <c r="AB344" t="s">
        <v>197</v>
      </c>
      <c r="AC344" t="s">
        <v>198</v>
      </c>
      <c r="AD344" t="s">
        <v>199</v>
      </c>
      <c r="AE344">
        <v>0</v>
      </c>
      <c r="AF344">
        <v>45</v>
      </c>
      <c r="AG344">
        <v>255</v>
      </c>
      <c r="AH344">
        <v>0</v>
      </c>
      <c r="AI344">
        <v>0</v>
      </c>
      <c r="AJ344">
        <v>0</v>
      </c>
      <c r="AK344">
        <v>12.6</v>
      </c>
      <c r="AL344">
        <v>0</v>
      </c>
      <c r="AM344">
        <v>0</v>
      </c>
      <c r="AN344" t="s">
        <v>197</v>
      </c>
      <c r="AO344">
        <v>100</v>
      </c>
      <c r="AP344" t="s">
        <v>197</v>
      </c>
      <c r="AQ344" t="s">
        <v>200</v>
      </c>
      <c r="AR344">
        <v>1</v>
      </c>
      <c r="AS344">
        <v>0</v>
      </c>
      <c r="AT344" t="s">
        <v>690</v>
      </c>
      <c r="AU344" t="s">
        <v>690</v>
      </c>
      <c r="AV344" t="s">
        <v>202</v>
      </c>
      <c r="AW344" t="s">
        <v>203</v>
      </c>
      <c r="AX344" t="s">
        <v>203</v>
      </c>
      <c r="AY344" t="s">
        <v>203</v>
      </c>
      <c r="AZ344" t="s">
        <v>203</v>
      </c>
      <c r="BA344" t="s">
        <v>203</v>
      </c>
      <c r="BB344" t="s">
        <v>203</v>
      </c>
      <c r="BC344" t="s">
        <v>203</v>
      </c>
      <c r="BD344" t="s">
        <v>203</v>
      </c>
      <c r="BE344" t="s">
        <v>203</v>
      </c>
      <c r="BF344">
        <v>0</v>
      </c>
      <c r="BG344">
        <v>0.2</v>
      </c>
      <c r="BH344">
        <v>50</v>
      </c>
      <c r="BI344">
        <v>0</v>
      </c>
      <c r="BJ344" t="s">
        <v>198</v>
      </c>
      <c r="BK344" t="s">
        <v>198</v>
      </c>
      <c r="BL344" t="s">
        <v>198</v>
      </c>
      <c r="BM344" t="s">
        <v>198</v>
      </c>
      <c r="BN344" t="s">
        <v>198</v>
      </c>
      <c r="BO344" t="s">
        <v>198</v>
      </c>
      <c r="BP344" t="s">
        <v>198</v>
      </c>
      <c r="BQ344" t="s">
        <v>198</v>
      </c>
      <c r="BR344" t="s">
        <v>198</v>
      </c>
      <c r="BS344" t="s">
        <v>198</v>
      </c>
      <c r="BT344" t="s">
        <v>198</v>
      </c>
      <c r="BU344" t="s">
        <v>198</v>
      </c>
      <c r="BV344" t="s">
        <v>198</v>
      </c>
      <c r="BW344" t="s">
        <v>198</v>
      </c>
      <c r="BX344" t="s">
        <v>198</v>
      </c>
      <c r="BY344" t="s">
        <v>198</v>
      </c>
      <c r="BZ344" t="s">
        <v>198</v>
      </c>
      <c r="CA344" t="s">
        <v>198</v>
      </c>
      <c r="CB344" t="s">
        <v>204</v>
      </c>
      <c r="CC344" t="s">
        <v>204</v>
      </c>
      <c r="CD344" t="s">
        <v>204</v>
      </c>
      <c r="CE344" t="s">
        <v>204</v>
      </c>
      <c r="CF344" t="s">
        <v>204</v>
      </c>
      <c r="CG344" t="s">
        <v>204</v>
      </c>
      <c r="CH344" t="s">
        <v>204</v>
      </c>
      <c r="CI344" t="s">
        <v>204</v>
      </c>
      <c r="CJ344" t="s">
        <v>204</v>
      </c>
      <c r="CK344" t="s">
        <v>204</v>
      </c>
      <c r="CL344" t="s">
        <v>204</v>
      </c>
      <c r="CM344" t="s">
        <v>204</v>
      </c>
      <c r="CN344" t="s">
        <v>203</v>
      </c>
      <c r="CO344" t="s">
        <v>203</v>
      </c>
      <c r="CP344" t="s">
        <v>203</v>
      </c>
      <c r="CQ344" t="s">
        <v>203</v>
      </c>
      <c r="CR344" t="s">
        <v>203</v>
      </c>
      <c r="CS344" t="s">
        <v>203</v>
      </c>
      <c r="CT344" t="s">
        <v>203</v>
      </c>
      <c r="CU344" t="s">
        <v>203</v>
      </c>
      <c r="CV344">
        <v>0</v>
      </c>
      <c r="CW344">
        <v>0</v>
      </c>
      <c r="CX344" t="s">
        <v>198</v>
      </c>
      <c r="CY344" t="s">
        <v>198</v>
      </c>
      <c r="CZ344" t="s">
        <v>198</v>
      </c>
      <c r="DA344" t="s">
        <v>198</v>
      </c>
      <c r="DB344" t="s">
        <v>198</v>
      </c>
      <c r="DC344">
        <v>0</v>
      </c>
      <c r="DD344">
        <v>0</v>
      </c>
      <c r="DE344">
        <v>0</v>
      </c>
      <c r="DF344">
        <v>0</v>
      </c>
      <c r="DG344">
        <v>-35.3631166</v>
      </c>
      <c r="DH344">
        <v>149.1639735</v>
      </c>
      <c r="DI344" t="s">
        <v>360</v>
      </c>
      <c r="DJ344">
        <v>1.2</v>
      </c>
      <c r="DK344">
        <v>2</v>
      </c>
      <c r="DL344">
        <v>159.8</v>
      </c>
      <c r="DM344">
        <v>0</v>
      </c>
      <c r="DN344">
        <v>6</v>
      </c>
      <c r="DO344">
        <v>10</v>
      </c>
      <c r="DP344">
        <v>0</v>
      </c>
      <c r="DQ344">
        <v>255</v>
      </c>
      <c r="DR344">
        <v>255</v>
      </c>
      <c r="DS344">
        <v>255</v>
      </c>
      <c r="DT344">
        <v>255</v>
      </c>
      <c r="DU344">
        <v>255</v>
      </c>
      <c r="DV344">
        <v>255</v>
      </c>
      <c r="DW344">
        <v>255</v>
      </c>
      <c r="DX344" t="s">
        <v>206</v>
      </c>
      <c r="DY344" t="s">
        <v>206</v>
      </c>
      <c r="DZ344" t="s">
        <v>207</v>
      </c>
      <c r="EA344" t="s">
        <v>198</v>
      </c>
      <c r="EB344" t="s">
        <v>198</v>
      </c>
      <c r="EC344" t="s">
        <v>198</v>
      </c>
      <c r="ED344">
        <v>0</v>
      </c>
      <c r="EE344">
        <v>0</v>
      </c>
      <c r="EF344">
        <v>0</v>
      </c>
      <c r="EG344">
        <v>0</v>
      </c>
      <c r="EH344">
        <v>255</v>
      </c>
      <c r="EI344">
        <v>255</v>
      </c>
      <c r="EJ344">
        <v>255</v>
      </c>
      <c r="EK344">
        <v>255</v>
      </c>
      <c r="EL344">
        <v>255</v>
      </c>
      <c r="EM344">
        <v>255</v>
      </c>
      <c r="EN344">
        <v>255</v>
      </c>
      <c r="EO344">
        <v>255</v>
      </c>
      <c r="EP344">
        <v>255</v>
      </c>
      <c r="EQ344">
        <v>255</v>
      </c>
      <c r="ER344" t="s">
        <v>208</v>
      </c>
      <c r="ES344" t="s">
        <v>209</v>
      </c>
      <c r="ET344" t="s">
        <v>209</v>
      </c>
      <c r="EU344">
        <v>0</v>
      </c>
      <c r="EV344">
        <v>16.2</v>
      </c>
      <c r="EW344">
        <v>-114.7</v>
      </c>
      <c r="EX344">
        <v>-0.2</v>
      </c>
      <c r="EY344">
        <v>0</v>
      </c>
      <c r="EZ344">
        <v>0</v>
      </c>
      <c r="FA344">
        <v>0</v>
      </c>
      <c r="FB344" t="s">
        <v>198</v>
      </c>
      <c r="FC344" t="s">
        <v>198</v>
      </c>
      <c r="FD344" t="s">
        <v>198</v>
      </c>
      <c r="FE344" t="s">
        <v>198</v>
      </c>
      <c r="FF344" t="s">
        <v>198</v>
      </c>
      <c r="FG344" t="s">
        <v>198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 t="s">
        <v>203</v>
      </c>
      <c r="FP344" t="s">
        <v>203</v>
      </c>
      <c r="FQ344" t="s">
        <v>203</v>
      </c>
      <c r="FR344" t="s">
        <v>203</v>
      </c>
      <c r="FS344" t="s">
        <v>203</v>
      </c>
      <c r="FT344" t="s">
        <v>203</v>
      </c>
      <c r="FU344" t="s">
        <v>198</v>
      </c>
      <c r="FV344" t="s">
        <v>198</v>
      </c>
      <c r="FW344" t="s">
        <v>198</v>
      </c>
      <c r="FX344" t="s">
        <v>198</v>
      </c>
      <c r="FY344" t="s">
        <v>198</v>
      </c>
      <c r="FZ344" t="s">
        <v>198</v>
      </c>
      <c r="GA344">
        <v>31.2</v>
      </c>
      <c r="GB344">
        <v>31.2</v>
      </c>
      <c r="GC344" t="s">
        <v>203</v>
      </c>
      <c r="GD344">
        <v>0</v>
      </c>
      <c r="GE344">
        <v>504</v>
      </c>
      <c r="GF344">
        <v>0</v>
      </c>
      <c r="GG344">
        <v>0</v>
      </c>
      <c r="GH344">
        <v>0</v>
      </c>
      <c r="GI344">
        <v>1</v>
      </c>
      <c r="GJ344">
        <v>1</v>
      </c>
      <c r="GK344">
        <v>0</v>
      </c>
      <c r="GL344" t="s">
        <v>198</v>
      </c>
      <c r="GM344" t="s">
        <v>198</v>
      </c>
      <c r="GN344" t="s">
        <v>198</v>
      </c>
    </row>
    <row r="345" spans="1:196">
      <c r="A345" s="19">
        <v>46316.90787434028</v>
      </c>
      <c r="B345">
        <v>0</v>
      </c>
      <c r="C345">
        <v>0</v>
      </c>
      <c r="D345">
        <v>277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584.2</v>
      </c>
      <c r="N345">
        <v>-0.5</v>
      </c>
      <c r="O345">
        <v>0</v>
      </c>
      <c r="P345">
        <v>0</v>
      </c>
      <c r="Q345">
        <v>0</v>
      </c>
      <c r="R345">
        <v>0</v>
      </c>
      <c r="S345">
        <v>115.6</v>
      </c>
      <c r="T345" t="s">
        <v>485</v>
      </c>
      <c r="U345">
        <v>115.7</v>
      </c>
      <c r="V345">
        <v>1762727256586.8</v>
      </c>
      <c r="W345">
        <v>1</v>
      </c>
      <c r="X345" t="s">
        <v>197</v>
      </c>
      <c r="Y345">
        <v>0</v>
      </c>
      <c r="Z345">
        <v>98</v>
      </c>
      <c r="AA345">
        <v>278</v>
      </c>
      <c r="AB345" t="s">
        <v>197</v>
      </c>
      <c r="AC345" t="s">
        <v>198</v>
      </c>
      <c r="AD345" t="s">
        <v>199</v>
      </c>
      <c r="AE345">
        <v>0</v>
      </c>
      <c r="AF345">
        <v>45</v>
      </c>
      <c r="AG345">
        <v>255</v>
      </c>
      <c r="AH345">
        <v>0</v>
      </c>
      <c r="AI345">
        <v>0</v>
      </c>
      <c r="AJ345">
        <v>0</v>
      </c>
      <c r="AK345">
        <v>12.6</v>
      </c>
      <c r="AL345">
        <v>0</v>
      </c>
      <c r="AM345">
        <v>0</v>
      </c>
      <c r="AN345" t="s">
        <v>197</v>
      </c>
      <c r="AO345">
        <v>100</v>
      </c>
      <c r="AP345" t="s">
        <v>197</v>
      </c>
      <c r="AQ345" t="s">
        <v>200</v>
      </c>
      <c r="AR345">
        <v>1</v>
      </c>
      <c r="AS345">
        <v>0</v>
      </c>
      <c r="AT345" t="s">
        <v>691</v>
      </c>
      <c r="AU345" t="s">
        <v>691</v>
      </c>
      <c r="AV345" t="s">
        <v>202</v>
      </c>
      <c r="AW345" t="s">
        <v>203</v>
      </c>
      <c r="AX345" t="s">
        <v>203</v>
      </c>
      <c r="AY345" t="s">
        <v>203</v>
      </c>
      <c r="AZ345" t="s">
        <v>203</v>
      </c>
      <c r="BA345" t="s">
        <v>203</v>
      </c>
      <c r="BB345" t="s">
        <v>203</v>
      </c>
      <c r="BC345" t="s">
        <v>203</v>
      </c>
      <c r="BD345" t="s">
        <v>203</v>
      </c>
      <c r="BE345" t="s">
        <v>203</v>
      </c>
      <c r="BF345">
        <v>0</v>
      </c>
      <c r="BG345">
        <v>0.2</v>
      </c>
      <c r="BH345">
        <v>50</v>
      </c>
      <c r="BI345">
        <v>0</v>
      </c>
      <c r="BJ345" t="s">
        <v>198</v>
      </c>
      <c r="BK345" t="s">
        <v>198</v>
      </c>
      <c r="BL345" t="s">
        <v>198</v>
      </c>
      <c r="BM345" t="s">
        <v>198</v>
      </c>
      <c r="BN345" t="s">
        <v>198</v>
      </c>
      <c r="BO345" t="s">
        <v>198</v>
      </c>
      <c r="BP345" t="s">
        <v>198</v>
      </c>
      <c r="BQ345" t="s">
        <v>198</v>
      </c>
      <c r="BR345" t="s">
        <v>198</v>
      </c>
      <c r="BS345" t="s">
        <v>198</v>
      </c>
      <c r="BT345" t="s">
        <v>198</v>
      </c>
      <c r="BU345" t="s">
        <v>198</v>
      </c>
      <c r="BV345" t="s">
        <v>198</v>
      </c>
      <c r="BW345" t="s">
        <v>198</v>
      </c>
      <c r="BX345" t="s">
        <v>198</v>
      </c>
      <c r="BY345" t="s">
        <v>198</v>
      </c>
      <c r="BZ345" t="s">
        <v>198</v>
      </c>
      <c r="CA345" t="s">
        <v>198</v>
      </c>
      <c r="CB345" t="s">
        <v>204</v>
      </c>
      <c r="CC345" t="s">
        <v>204</v>
      </c>
      <c r="CD345" t="s">
        <v>204</v>
      </c>
      <c r="CE345" t="s">
        <v>204</v>
      </c>
      <c r="CF345" t="s">
        <v>204</v>
      </c>
      <c r="CG345" t="s">
        <v>204</v>
      </c>
      <c r="CH345" t="s">
        <v>204</v>
      </c>
      <c r="CI345" t="s">
        <v>204</v>
      </c>
      <c r="CJ345" t="s">
        <v>204</v>
      </c>
      <c r="CK345" t="s">
        <v>204</v>
      </c>
      <c r="CL345" t="s">
        <v>204</v>
      </c>
      <c r="CM345" t="s">
        <v>204</v>
      </c>
      <c r="CN345" t="s">
        <v>203</v>
      </c>
      <c r="CO345" t="s">
        <v>203</v>
      </c>
      <c r="CP345" t="s">
        <v>203</v>
      </c>
      <c r="CQ345" t="s">
        <v>203</v>
      </c>
      <c r="CR345" t="s">
        <v>203</v>
      </c>
      <c r="CS345" t="s">
        <v>203</v>
      </c>
      <c r="CT345" t="s">
        <v>203</v>
      </c>
      <c r="CU345" t="s">
        <v>203</v>
      </c>
      <c r="CV345">
        <v>0</v>
      </c>
      <c r="CW345">
        <v>0</v>
      </c>
      <c r="CX345" t="s">
        <v>198</v>
      </c>
      <c r="CY345" t="s">
        <v>198</v>
      </c>
      <c r="CZ345" t="s">
        <v>198</v>
      </c>
      <c r="DA345" t="s">
        <v>198</v>
      </c>
      <c r="DB345" t="s">
        <v>198</v>
      </c>
      <c r="DC345">
        <v>0</v>
      </c>
      <c r="DD345">
        <v>0</v>
      </c>
      <c r="DE345">
        <v>0</v>
      </c>
      <c r="DF345">
        <v>0</v>
      </c>
      <c r="DG345">
        <v>-35.3631166</v>
      </c>
      <c r="DH345">
        <v>149.1639735</v>
      </c>
      <c r="DI345" t="s">
        <v>360</v>
      </c>
      <c r="DJ345">
        <v>1.2</v>
      </c>
      <c r="DK345">
        <v>2</v>
      </c>
      <c r="DL345">
        <v>159.8</v>
      </c>
      <c r="DM345">
        <v>0</v>
      </c>
      <c r="DN345">
        <v>6</v>
      </c>
      <c r="DO345">
        <v>10</v>
      </c>
      <c r="DP345">
        <v>0</v>
      </c>
      <c r="DQ345">
        <v>255</v>
      </c>
      <c r="DR345">
        <v>255</v>
      </c>
      <c r="DS345">
        <v>255</v>
      </c>
      <c r="DT345">
        <v>255</v>
      </c>
      <c r="DU345">
        <v>255</v>
      </c>
      <c r="DV345">
        <v>255</v>
      </c>
      <c r="DW345">
        <v>255</v>
      </c>
      <c r="DX345" t="s">
        <v>206</v>
      </c>
      <c r="DY345" t="s">
        <v>206</v>
      </c>
      <c r="DZ345" t="s">
        <v>207</v>
      </c>
      <c r="EA345" t="s">
        <v>198</v>
      </c>
      <c r="EB345" t="s">
        <v>198</v>
      </c>
      <c r="EC345" t="s">
        <v>198</v>
      </c>
      <c r="ED345">
        <v>0</v>
      </c>
      <c r="EE345">
        <v>0</v>
      </c>
      <c r="EF345">
        <v>0</v>
      </c>
      <c r="EG345">
        <v>0</v>
      </c>
      <c r="EH345">
        <v>255</v>
      </c>
      <c r="EI345">
        <v>255</v>
      </c>
      <c r="EJ345">
        <v>255</v>
      </c>
      <c r="EK345">
        <v>255</v>
      </c>
      <c r="EL345">
        <v>255</v>
      </c>
      <c r="EM345">
        <v>255</v>
      </c>
      <c r="EN345">
        <v>255</v>
      </c>
      <c r="EO345">
        <v>255</v>
      </c>
      <c r="EP345">
        <v>255</v>
      </c>
      <c r="EQ345">
        <v>255</v>
      </c>
      <c r="ER345" t="s">
        <v>208</v>
      </c>
      <c r="ES345" t="s">
        <v>209</v>
      </c>
      <c r="ET345" t="s">
        <v>209</v>
      </c>
      <c r="EU345">
        <v>0</v>
      </c>
      <c r="EV345">
        <v>16.2</v>
      </c>
      <c r="EW345">
        <v>-114.7</v>
      </c>
      <c r="EX345">
        <v>-0.2</v>
      </c>
      <c r="EY345">
        <v>0</v>
      </c>
      <c r="EZ345">
        <v>0</v>
      </c>
      <c r="FA345">
        <v>0</v>
      </c>
      <c r="FB345" t="s">
        <v>198</v>
      </c>
      <c r="FC345" t="s">
        <v>198</v>
      </c>
      <c r="FD345" t="s">
        <v>198</v>
      </c>
      <c r="FE345" t="s">
        <v>198</v>
      </c>
      <c r="FF345" t="s">
        <v>198</v>
      </c>
      <c r="FG345" t="s">
        <v>198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 t="s">
        <v>203</v>
      </c>
      <c r="FP345" t="s">
        <v>203</v>
      </c>
      <c r="FQ345" t="s">
        <v>203</v>
      </c>
      <c r="FR345" t="s">
        <v>203</v>
      </c>
      <c r="FS345" t="s">
        <v>203</v>
      </c>
      <c r="FT345" t="s">
        <v>203</v>
      </c>
      <c r="FU345" t="s">
        <v>198</v>
      </c>
      <c r="FV345" t="s">
        <v>198</v>
      </c>
      <c r="FW345" t="s">
        <v>198</v>
      </c>
      <c r="FX345" t="s">
        <v>198</v>
      </c>
      <c r="FY345" t="s">
        <v>198</v>
      </c>
      <c r="FZ345" t="s">
        <v>198</v>
      </c>
      <c r="GA345">
        <v>31.2</v>
      </c>
      <c r="GB345">
        <v>31.2</v>
      </c>
      <c r="GC345" t="s">
        <v>203</v>
      </c>
      <c r="GD345">
        <v>0</v>
      </c>
      <c r="GE345">
        <v>504</v>
      </c>
      <c r="GF345">
        <v>0</v>
      </c>
      <c r="GG345">
        <v>0</v>
      </c>
      <c r="GH345">
        <v>0</v>
      </c>
      <c r="GI345">
        <v>1</v>
      </c>
      <c r="GJ345">
        <v>1</v>
      </c>
      <c r="GK345">
        <v>0</v>
      </c>
      <c r="GL345" t="s">
        <v>198</v>
      </c>
      <c r="GM345" t="s">
        <v>198</v>
      </c>
      <c r="GN345" t="s">
        <v>198</v>
      </c>
    </row>
    <row r="346" spans="1:196">
      <c r="A346" s="19">
        <v>46316.90788591435</v>
      </c>
      <c r="B346">
        <v>0</v>
      </c>
      <c r="C346">
        <v>0</v>
      </c>
      <c r="D346">
        <v>277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584.2</v>
      </c>
      <c r="N346">
        <v>-0.5</v>
      </c>
      <c r="O346">
        <v>0</v>
      </c>
      <c r="P346">
        <v>0</v>
      </c>
      <c r="Q346">
        <v>0</v>
      </c>
      <c r="R346">
        <v>0</v>
      </c>
      <c r="S346">
        <v>115.6</v>
      </c>
      <c r="T346" t="s">
        <v>485</v>
      </c>
      <c r="U346">
        <v>115.7</v>
      </c>
      <c r="V346">
        <v>1762727256586.8</v>
      </c>
      <c r="W346">
        <v>1</v>
      </c>
      <c r="X346" t="s">
        <v>197</v>
      </c>
      <c r="Y346">
        <v>0</v>
      </c>
      <c r="Z346">
        <v>98</v>
      </c>
      <c r="AA346">
        <v>278</v>
      </c>
      <c r="AB346" t="s">
        <v>197</v>
      </c>
      <c r="AC346" t="s">
        <v>198</v>
      </c>
      <c r="AD346" t="s">
        <v>199</v>
      </c>
      <c r="AE346">
        <v>0</v>
      </c>
      <c r="AF346">
        <v>45</v>
      </c>
      <c r="AG346">
        <v>255</v>
      </c>
      <c r="AH346">
        <v>0</v>
      </c>
      <c r="AI346">
        <v>0</v>
      </c>
      <c r="AJ346">
        <v>0</v>
      </c>
      <c r="AK346">
        <v>12.6</v>
      </c>
      <c r="AL346">
        <v>0</v>
      </c>
      <c r="AM346">
        <v>0</v>
      </c>
      <c r="AN346" t="s">
        <v>197</v>
      </c>
      <c r="AO346">
        <v>100</v>
      </c>
      <c r="AP346" t="s">
        <v>197</v>
      </c>
      <c r="AQ346" t="s">
        <v>200</v>
      </c>
      <c r="AR346">
        <v>1</v>
      </c>
      <c r="AS346">
        <v>0</v>
      </c>
      <c r="AT346" t="s">
        <v>692</v>
      </c>
      <c r="AU346" t="s">
        <v>692</v>
      </c>
      <c r="AV346" t="s">
        <v>202</v>
      </c>
      <c r="AW346" t="s">
        <v>203</v>
      </c>
      <c r="AX346" t="s">
        <v>203</v>
      </c>
      <c r="AY346" t="s">
        <v>203</v>
      </c>
      <c r="AZ346" t="s">
        <v>203</v>
      </c>
      <c r="BA346" t="s">
        <v>203</v>
      </c>
      <c r="BB346" t="s">
        <v>203</v>
      </c>
      <c r="BC346" t="s">
        <v>203</v>
      </c>
      <c r="BD346" t="s">
        <v>203</v>
      </c>
      <c r="BE346" t="s">
        <v>203</v>
      </c>
      <c r="BF346">
        <v>0</v>
      </c>
      <c r="BG346">
        <v>0.2</v>
      </c>
      <c r="BH346">
        <v>50</v>
      </c>
      <c r="BI346">
        <v>0</v>
      </c>
      <c r="BJ346" t="s">
        <v>198</v>
      </c>
      <c r="BK346" t="s">
        <v>198</v>
      </c>
      <c r="BL346" t="s">
        <v>198</v>
      </c>
      <c r="BM346" t="s">
        <v>198</v>
      </c>
      <c r="BN346" t="s">
        <v>198</v>
      </c>
      <c r="BO346" t="s">
        <v>198</v>
      </c>
      <c r="BP346" t="s">
        <v>198</v>
      </c>
      <c r="BQ346" t="s">
        <v>198</v>
      </c>
      <c r="BR346" t="s">
        <v>198</v>
      </c>
      <c r="BS346" t="s">
        <v>198</v>
      </c>
      <c r="BT346" t="s">
        <v>198</v>
      </c>
      <c r="BU346" t="s">
        <v>198</v>
      </c>
      <c r="BV346" t="s">
        <v>198</v>
      </c>
      <c r="BW346" t="s">
        <v>198</v>
      </c>
      <c r="BX346" t="s">
        <v>198</v>
      </c>
      <c r="BY346" t="s">
        <v>198</v>
      </c>
      <c r="BZ346" t="s">
        <v>198</v>
      </c>
      <c r="CA346" t="s">
        <v>198</v>
      </c>
      <c r="CB346" t="s">
        <v>204</v>
      </c>
      <c r="CC346" t="s">
        <v>204</v>
      </c>
      <c r="CD346" t="s">
        <v>204</v>
      </c>
      <c r="CE346" t="s">
        <v>204</v>
      </c>
      <c r="CF346" t="s">
        <v>204</v>
      </c>
      <c r="CG346" t="s">
        <v>204</v>
      </c>
      <c r="CH346" t="s">
        <v>204</v>
      </c>
      <c r="CI346" t="s">
        <v>204</v>
      </c>
      <c r="CJ346" t="s">
        <v>204</v>
      </c>
      <c r="CK346" t="s">
        <v>204</v>
      </c>
      <c r="CL346" t="s">
        <v>204</v>
      </c>
      <c r="CM346" t="s">
        <v>204</v>
      </c>
      <c r="CN346" t="s">
        <v>203</v>
      </c>
      <c r="CO346" t="s">
        <v>203</v>
      </c>
      <c r="CP346" t="s">
        <v>203</v>
      </c>
      <c r="CQ346" t="s">
        <v>203</v>
      </c>
      <c r="CR346" t="s">
        <v>203</v>
      </c>
      <c r="CS346" t="s">
        <v>203</v>
      </c>
      <c r="CT346" t="s">
        <v>203</v>
      </c>
      <c r="CU346" t="s">
        <v>203</v>
      </c>
      <c r="CV346">
        <v>0</v>
      </c>
      <c r="CW346">
        <v>0</v>
      </c>
      <c r="CX346" t="s">
        <v>198</v>
      </c>
      <c r="CY346" t="s">
        <v>198</v>
      </c>
      <c r="CZ346" t="s">
        <v>198</v>
      </c>
      <c r="DA346" t="s">
        <v>198</v>
      </c>
      <c r="DB346" t="s">
        <v>198</v>
      </c>
      <c r="DC346">
        <v>0</v>
      </c>
      <c r="DD346">
        <v>0</v>
      </c>
      <c r="DE346">
        <v>0</v>
      </c>
      <c r="DF346">
        <v>0</v>
      </c>
      <c r="DG346">
        <v>-35.3631166</v>
      </c>
      <c r="DH346">
        <v>149.1639735</v>
      </c>
      <c r="DI346" t="s">
        <v>360</v>
      </c>
      <c r="DJ346">
        <v>1.2</v>
      </c>
      <c r="DK346">
        <v>2</v>
      </c>
      <c r="DL346">
        <v>159.8</v>
      </c>
      <c r="DM346">
        <v>0</v>
      </c>
      <c r="DN346">
        <v>6</v>
      </c>
      <c r="DO346">
        <v>10</v>
      </c>
      <c r="DP346">
        <v>0</v>
      </c>
      <c r="DQ346">
        <v>255</v>
      </c>
      <c r="DR346">
        <v>255</v>
      </c>
      <c r="DS346">
        <v>255</v>
      </c>
      <c r="DT346">
        <v>255</v>
      </c>
      <c r="DU346">
        <v>255</v>
      </c>
      <c r="DV346">
        <v>255</v>
      </c>
      <c r="DW346">
        <v>255</v>
      </c>
      <c r="DX346" t="s">
        <v>206</v>
      </c>
      <c r="DY346" t="s">
        <v>206</v>
      </c>
      <c r="DZ346" t="s">
        <v>207</v>
      </c>
      <c r="EA346" t="s">
        <v>198</v>
      </c>
      <c r="EB346" t="s">
        <v>198</v>
      </c>
      <c r="EC346" t="s">
        <v>198</v>
      </c>
      <c r="ED346">
        <v>0</v>
      </c>
      <c r="EE346">
        <v>0</v>
      </c>
      <c r="EF346">
        <v>0</v>
      </c>
      <c r="EG346">
        <v>0</v>
      </c>
      <c r="EH346">
        <v>255</v>
      </c>
      <c r="EI346">
        <v>255</v>
      </c>
      <c r="EJ346">
        <v>255</v>
      </c>
      <c r="EK346">
        <v>255</v>
      </c>
      <c r="EL346">
        <v>255</v>
      </c>
      <c r="EM346">
        <v>255</v>
      </c>
      <c r="EN346">
        <v>255</v>
      </c>
      <c r="EO346">
        <v>255</v>
      </c>
      <c r="EP346">
        <v>255</v>
      </c>
      <c r="EQ346">
        <v>255</v>
      </c>
      <c r="ER346" t="s">
        <v>208</v>
      </c>
      <c r="ES346" t="s">
        <v>209</v>
      </c>
      <c r="ET346" t="s">
        <v>209</v>
      </c>
      <c r="EU346">
        <v>0</v>
      </c>
      <c r="EV346">
        <v>16.2</v>
      </c>
      <c r="EW346">
        <v>-114.7</v>
      </c>
      <c r="EX346">
        <v>-0.2</v>
      </c>
      <c r="EY346">
        <v>0</v>
      </c>
      <c r="EZ346">
        <v>0</v>
      </c>
      <c r="FA346">
        <v>0</v>
      </c>
      <c r="FB346" t="s">
        <v>198</v>
      </c>
      <c r="FC346" t="s">
        <v>198</v>
      </c>
      <c r="FD346" t="s">
        <v>198</v>
      </c>
      <c r="FE346" t="s">
        <v>198</v>
      </c>
      <c r="FF346" t="s">
        <v>198</v>
      </c>
      <c r="FG346" t="s">
        <v>198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 t="s">
        <v>203</v>
      </c>
      <c r="FP346" t="s">
        <v>203</v>
      </c>
      <c r="FQ346" t="s">
        <v>203</v>
      </c>
      <c r="FR346" t="s">
        <v>203</v>
      </c>
      <c r="FS346" t="s">
        <v>203</v>
      </c>
      <c r="FT346" t="s">
        <v>203</v>
      </c>
      <c r="FU346" t="s">
        <v>198</v>
      </c>
      <c r="FV346" t="s">
        <v>198</v>
      </c>
      <c r="FW346" t="s">
        <v>198</v>
      </c>
      <c r="FX346" t="s">
        <v>198</v>
      </c>
      <c r="FY346" t="s">
        <v>198</v>
      </c>
      <c r="FZ346" t="s">
        <v>198</v>
      </c>
      <c r="GA346">
        <v>31.2</v>
      </c>
      <c r="GB346">
        <v>31.2</v>
      </c>
      <c r="GC346" t="s">
        <v>203</v>
      </c>
      <c r="GD346">
        <v>0</v>
      </c>
      <c r="GE346">
        <v>504</v>
      </c>
      <c r="GF346">
        <v>0</v>
      </c>
      <c r="GG346">
        <v>0</v>
      </c>
      <c r="GH346">
        <v>0</v>
      </c>
      <c r="GI346">
        <v>1</v>
      </c>
      <c r="GJ346">
        <v>1</v>
      </c>
      <c r="GK346">
        <v>0</v>
      </c>
      <c r="GL346" t="s">
        <v>198</v>
      </c>
      <c r="GM346" t="s">
        <v>198</v>
      </c>
      <c r="GN346" t="s">
        <v>198</v>
      </c>
    </row>
    <row r="347" spans="1:196">
      <c r="A347" s="19">
        <v>46316.90789748843</v>
      </c>
      <c r="B347">
        <v>0</v>
      </c>
      <c r="C347">
        <v>0</v>
      </c>
      <c r="D347">
        <v>277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584.2</v>
      </c>
      <c r="N347">
        <v>-0.5</v>
      </c>
      <c r="O347">
        <v>0</v>
      </c>
      <c r="P347">
        <v>0</v>
      </c>
      <c r="Q347">
        <v>0</v>
      </c>
      <c r="R347">
        <v>0</v>
      </c>
      <c r="S347">
        <v>115.6</v>
      </c>
      <c r="T347" t="s">
        <v>485</v>
      </c>
      <c r="U347">
        <v>115.7</v>
      </c>
      <c r="V347">
        <v>1762727256586.8</v>
      </c>
      <c r="W347">
        <v>1</v>
      </c>
      <c r="X347" t="s">
        <v>197</v>
      </c>
      <c r="Y347">
        <v>0</v>
      </c>
      <c r="Z347">
        <v>98</v>
      </c>
      <c r="AA347">
        <v>278</v>
      </c>
      <c r="AB347" t="s">
        <v>197</v>
      </c>
      <c r="AC347" t="s">
        <v>198</v>
      </c>
      <c r="AD347" t="s">
        <v>199</v>
      </c>
      <c r="AE347">
        <v>0</v>
      </c>
      <c r="AF347">
        <v>45</v>
      </c>
      <c r="AG347">
        <v>255</v>
      </c>
      <c r="AH347">
        <v>0</v>
      </c>
      <c r="AI347">
        <v>0</v>
      </c>
      <c r="AJ347">
        <v>0</v>
      </c>
      <c r="AK347">
        <v>12.6</v>
      </c>
      <c r="AL347">
        <v>0</v>
      </c>
      <c r="AM347">
        <v>0</v>
      </c>
      <c r="AN347" t="s">
        <v>197</v>
      </c>
      <c r="AO347">
        <v>100</v>
      </c>
      <c r="AP347" t="s">
        <v>197</v>
      </c>
      <c r="AQ347" t="s">
        <v>200</v>
      </c>
      <c r="AR347">
        <v>1</v>
      </c>
      <c r="AS347">
        <v>0</v>
      </c>
      <c r="AT347" t="s">
        <v>693</v>
      </c>
      <c r="AU347" t="s">
        <v>693</v>
      </c>
      <c r="AV347" t="s">
        <v>202</v>
      </c>
      <c r="AW347" t="s">
        <v>203</v>
      </c>
      <c r="AX347" t="s">
        <v>203</v>
      </c>
      <c r="AY347" t="s">
        <v>203</v>
      </c>
      <c r="AZ347" t="s">
        <v>203</v>
      </c>
      <c r="BA347" t="s">
        <v>203</v>
      </c>
      <c r="BB347" t="s">
        <v>203</v>
      </c>
      <c r="BC347" t="s">
        <v>203</v>
      </c>
      <c r="BD347" t="s">
        <v>203</v>
      </c>
      <c r="BE347" t="s">
        <v>203</v>
      </c>
      <c r="BF347">
        <v>0</v>
      </c>
      <c r="BG347">
        <v>0.2</v>
      </c>
      <c r="BH347">
        <v>50</v>
      </c>
      <c r="BI347">
        <v>0</v>
      </c>
      <c r="BJ347" t="s">
        <v>198</v>
      </c>
      <c r="BK347" t="s">
        <v>198</v>
      </c>
      <c r="BL347" t="s">
        <v>198</v>
      </c>
      <c r="BM347" t="s">
        <v>198</v>
      </c>
      <c r="BN347" t="s">
        <v>198</v>
      </c>
      <c r="BO347" t="s">
        <v>198</v>
      </c>
      <c r="BP347" t="s">
        <v>198</v>
      </c>
      <c r="BQ347" t="s">
        <v>198</v>
      </c>
      <c r="BR347" t="s">
        <v>198</v>
      </c>
      <c r="BS347" t="s">
        <v>198</v>
      </c>
      <c r="BT347" t="s">
        <v>198</v>
      </c>
      <c r="BU347" t="s">
        <v>198</v>
      </c>
      <c r="BV347" t="s">
        <v>198</v>
      </c>
      <c r="BW347" t="s">
        <v>198</v>
      </c>
      <c r="BX347" t="s">
        <v>198</v>
      </c>
      <c r="BY347" t="s">
        <v>198</v>
      </c>
      <c r="BZ347" t="s">
        <v>198</v>
      </c>
      <c r="CA347" t="s">
        <v>198</v>
      </c>
      <c r="CB347" t="s">
        <v>204</v>
      </c>
      <c r="CC347" t="s">
        <v>204</v>
      </c>
      <c r="CD347" t="s">
        <v>204</v>
      </c>
      <c r="CE347" t="s">
        <v>204</v>
      </c>
      <c r="CF347" t="s">
        <v>204</v>
      </c>
      <c r="CG347" t="s">
        <v>204</v>
      </c>
      <c r="CH347" t="s">
        <v>204</v>
      </c>
      <c r="CI347" t="s">
        <v>204</v>
      </c>
      <c r="CJ347" t="s">
        <v>204</v>
      </c>
      <c r="CK347" t="s">
        <v>204</v>
      </c>
      <c r="CL347" t="s">
        <v>204</v>
      </c>
      <c r="CM347" t="s">
        <v>204</v>
      </c>
      <c r="CN347" t="s">
        <v>203</v>
      </c>
      <c r="CO347" t="s">
        <v>203</v>
      </c>
      <c r="CP347" t="s">
        <v>203</v>
      </c>
      <c r="CQ347" t="s">
        <v>203</v>
      </c>
      <c r="CR347" t="s">
        <v>203</v>
      </c>
      <c r="CS347" t="s">
        <v>203</v>
      </c>
      <c r="CT347" t="s">
        <v>203</v>
      </c>
      <c r="CU347" t="s">
        <v>203</v>
      </c>
      <c r="CV347">
        <v>0</v>
      </c>
      <c r="CW347">
        <v>0</v>
      </c>
      <c r="CX347" t="s">
        <v>198</v>
      </c>
      <c r="CY347" t="s">
        <v>198</v>
      </c>
      <c r="CZ347" t="s">
        <v>198</v>
      </c>
      <c r="DA347" t="s">
        <v>198</v>
      </c>
      <c r="DB347" t="s">
        <v>198</v>
      </c>
      <c r="DC347">
        <v>0</v>
      </c>
      <c r="DD347">
        <v>0</v>
      </c>
      <c r="DE347">
        <v>0</v>
      </c>
      <c r="DF347">
        <v>0</v>
      </c>
      <c r="DG347">
        <v>-35.3631166</v>
      </c>
      <c r="DH347">
        <v>149.1639735</v>
      </c>
      <c r="DI347" t="s">
        <v>360</v>
      </c>
      <c r="DJ347">
        <v>1.2</v>
      </c>
      <c r="DK347">
        <v>2</v>
      </c>
      <c r="DL347">
        <v>159.8</v>
      </c>
      <c r="DM347">
        <v>0</v>
      </c>
      <c r="DN347">
        <v>6</v>
      </c>
      <c r="DO347">
        <v>10</v>
      </c>
      <c r="DP347">
        <v>0</v>
      </c>
      <c r="DQ347">
        <v>255</v>
      </c>
      <c r="DR347">
        <v>255</v>
      </c>
      <c r="DS347">
        <v>255</v>
      </c>
      <c r="DT347">
        <v>255</v>
      </c>
      <c r="DU347">
        <v>255</v>
      </c>
      <c r="DV347">
        <v>255</v>
      </c>
      <c r="DW347">
        <v>255</v>
      </c>
      <c r="DX347" t="s">
        <v>206</v>
      </c>
      <c r="DY347" t="s">
        <v>206</v>
      </c>
      <c r="DZ347" t="s">
        <v>207</v>
      </c>
      <c r="EA347" t="s">
        <v>198</v>
      </c>
      <c r="EB347" t="s">
        <v>198</v>
      </c>
      <c r="EC347" t="s">
        <v>198</v>
      </c>
      <c r="ED347">
        <v>0</v>
      </c>
      <c r="EE347">
        <v>0</v>
      </c>
      <c r="EF347">
        <v>0</v>
      </c>
      <c r="EG347">
        <v>0</v>
      </c>
      <c r="EH347">
        <v>255</v>
      </c>
      <c r="EI347">
        <v>255</v>
      </c>
      <c r="EJ347">
        <v>255</v>
      </c>
      <c r="EK347">
        <v>255</v>
      </c>
      <c r="EL347">
        <v>255</v>
      </c>
      <c r="EM347">
        <v>255</v>
      </c>
      <c r="EN347">
        <v>255</v>
      </c>
      <c r="EO347">
        <v>255</v>
      </c>
      <c r="EP347">
        <v>255</v>
      </c>
      <c r="EQ347">
        <v>255</v>
      </c>
      <c r="ER347" t="s">
        <v>208</v>
      </c>
      <c r="ES347" t="s">
        <v>209</v>
      </c>
      <c r="ET347" t="s">
        <v>209</v>
      </c>
      <c r="EU347">
        <v>0</v>
      </c>
      <c r="EV347">
        <v>16.2</v>
      </c>
      <c r="EW347">
        <v>-114.7</v>
      </c>
      <c r="EX347">
        <v>-0.2</v>
      </c>
      <c r="EY347">
        <v>0</v>
      </c>
      <c r="EZ347">
        <v>0</v>
      </c>
      <c r="FA347">
        <v>0</v>
      </c>
      <c r="FB347" t="s">
        <v>198</v>
      </c>
      <c r="FC347" t="s">
        <v>198</v>
      </c>
      <c r="FD347" t="s">
        <v>198</v>
      </c>
      <c r="FE347" t="s">
        <v>198</v>
      </c>
      <c r="FF347" t="s">
        <v>198</v>
      </c>
      <c r="FG347" t="s">
        <v>198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 t="s">
        <v>203</v>
      </c>
      <c r="FP347" t="s">
        <v>203</v>
      </c>
      <c r="FQ347" t="s">
        <v>203</v>
      </c>
      <c r="FR347" t="s">
        <v>203</v>
      </c>
      <c r="FS347" t="s">
        <v>203</v>
      </c>
      <c r="FT347" t="s">
        <v>203</v>
      </c>
      <c r="FU347" t="s">
        <v>198</v>
      </c>
      <c r="FV347" t="s">
        <v>198</v>
      </c>
      <c r="FW347" t="s">
        <v>198</v>
      </c>
      <c r="FX347" t="s">
        <v>198</v>
      </c>
      <c r="FY347" t="s">
        <v>198</v>
      </c>
      <c r="FZ347" t="s">
        <v>198</v>
      </c>
      <c r="GA347">
        <v>31.2</v>
      </c>
      <c r="GB347">
        <v>31.2</v>
      </c>
      <c r="GC347" t="s">
        <v>203</v>
      </c>
      <c r="GD347">
        <v>0</v>
      </c>
      <c r="GE347">
        <v>504</v>
      </c>
      <c r="GF347">
        <v>0</v>
      </c>
      <c r="GG347">
        <v>0</v>
      </c>
      <c r="GH347">
        <v>0</v>
      </c>
      <c r="GI347">
        <v>1</v>
      </c>
      <c r="GJ347">
        <v>1</v>
      </c>
      <c r="GK347">
        <v>0</v>
      </c>
      <c r="GL347" t="s">
        <v>198</v>
      </c>
      <c r="GM347" t="s">
        <v>198</v>
      </c>
      <c r="GN347" t="s">
        <v>198</v>
      </c>
    </row>
    <row r="348" spans="1:196">
      <c r="A348" s="19">
        <v>46316.9079090625</v>
      </c>
      <c r="B348">
        <v>0</v>
      </c>
      <c r="C348">
        <v>0</v>
      </c>
      <c r="D348">
        <v>277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584.2</v>
      </c>
      <c r="N348">
        <v>-0.5</v>
      </c>
      <c r="O348">
        <v>0</v>
      </c>
      <c r="P348">
        <v>0</v>
      </c>
      <c r="Q348">
        <v>0</v>
      </c>
      <c r="R348">
        <v>0</v>
      </c>
      <c r="S348">
        <v>115.6</v>
      </c>
      <c r="T348" t="s">
        <v>485</v>
      </c>
      <c r="U348">
        <v>115.7</v>
      </c>
      <c r="V348">
        <v>1762727256586.8</v>
      </c>
      <c r="W348">
        <v>1</v>
      </c>
      <c r="X348" t="s">
        <v>197</v>
      </c>
      <c r="Y348">
        <v>0</v>
      </c>
      <c r="Z348">
        <v>98</v>
      </c>
      <c r="AA348">
        <v>278</v>
      </c>
      <c r="AB348" t="s">
        <v>197</v>
      </c>
      <c r="AC348" t="s">
        <v>198</v>
      </c>
      <c r="AD348" t="s">
        <v>199</v>
      </c>
      <c r="AE348">
        <v>0</v>
      </c>
      <c r="AF348">
        <v>45</v>
      </c>
      <c r="AG348">
        <v>255</v>
      </c>
      <c r="AH348">
        <v>0</v>
      </c>
      <c r="AI348">
        <v>0</v>
      </c>
      <c r="AJ348">
        <v>0</v>
      </c>
      <c r="AK348">
        <v>12.6</v>
      </c>
      <c r="AL348">
        <v>0</v>
      </c>
      <c r="AM348">
        <v>0</v>
      </c>
      <c r="AN348" t="s">
        <v>197</v>
      </c>
      <c r="AO348">
        <v>100</v>
      </c>
      <c r="AP348" t="s">
        <v>197</v>
      </c>
      <c r="AQ348" t="s">
        <v>200</v>
      </c>
      <c r="AR348">
        <v>1</v>
      </c>
      <c r="AS348">
        <v>0</v>
      </c>
      <c r="AT348" t="s">
        <v>694</v>
      </c>
      <c r="AU348" t="s">
        <v>694</v>
      </c>
      <c r="AV348" t="s">
        <v>202</v>
      </c>
      <c r="AW348" t="s">
        <v>203</v>
      </c>
      <c r="AX348" t="s">
        <v>203</v>
      </c>
      <c r="AY348" t="s">
        <v>203</v>
      </c>
      <c r="AZ348" t="s">
        <v>203</v>
      </c>
      <c r="BA348" t="s">
        <v>203</v>
      </c>
      <c r="BB348" t="s">
        <v>203</v>
      </c>
      <c r="BC348" t="s">
        <v>203</v>
      </c>
      <c r="BD348" t="s">
        <v>203</v>
      </c>
      <c r="BE348" t="s">
        <v>203</v>
      </c>
      <c r="BF348">
        <v>0</v>
      </c>
      <c r="BG348">
        <v>0.2</v>
      </c>
      <c r="BH348">
        <v>50</v>
      </c>
      <c r="BI348">
        <v>0</v>
      </c>
      <c r="BJ348" t="s">
        <v>198</v>
      </c>
      <c r="BK348" t="s">
        <v>198</v>
      </c>
      <c r="BL348" t="s">
        <v>198</v>
      </c>
      <c r="BM348" t="s">
        <v>198</v>
      </c>
      <c r="BN348" t="s">
        <v>198</v>
      </c>
      <c r="BO348" t="s">
        <v>198</v>
      </c>
      <c r="BP348" t="s">
        <v>198</v>
      </c>
      <c r="BQ348" t="s">
        <v>198</v>
      </c>
      <c r="BR348" t="s">
        <v>198</v>
      </c>
      <c r="BS348" t="s">
        <v>198</v>
      </c>
      <c r="BT348" t="s">
        <v>198</v>
      </c>
      <c r="BU348" t="s">
        <v>198</v>
      </c>
      <c r="BV348" t="s">
        <v>198</v>
      </c>
      <c r="BW348" t="s">
        <v>198</v>
      </c>
      <c r="BX348" t="s">
        <v>198</v>
      </c>
      <c r="BY348" t="s">
        <v>198</v>
      </c>
      <c r="BZ348" t="s">
        <v>198</v>
      </c>
      <c r="CA348" t="s">
        <v>198</v>
      </c>
      <c r="CB348" t="s">
        <v>204</v>
      </c>
      <c r="CC348" t="s">
        <v>204</v>
      </c>
      <c r="CD348" t="s">
        <v>204</v>
      </c>
      <c r="CE348" t="s">
        <v>204</v>
      </c>
      <c r="CF348" t="s">
        <v>204</v>
      </c>
      <c r="CG348" t="s">
        <v>204</v>
      </c>
      <c r="CH348" t="s">
        <v>204</v>
      </c>
      <c r="CI348" t="s">
        <v>204</v>
      </c>
      <c r="CJ348" t="s">
        <v>204</v>
      </c>
      <c r="CK348" t="s">
        <v>204</v>
      </c>
      <c r="CL348" t="s">
        <v>204</v>
      </c>
      <c r="CM348" t="s">
        <v>204</v>
      </c>
      <c r="CN348" t="s">
        <v>203</v>
      </c>
      <c r="CO348" t="s">
        <v>203</v>
      </c>
      <c r="CP348" t="s">
        <v>203</v>
      </c>
      <c r="CQ348" t="s">
        <v>203</v>
      </c>
      <c r="CR348" t="s">
        <v>203</v>
      </c>
      <c r="CS348" t="s">
        <v>203</v>
      </c>
      <c r="CT348" t="s">
        <v>203</v>
      </c>
      <c r="CU348" t="s">
        <v>203</v>
      </c>
      <c r="CV348">
        <v>0</v>
      </c>
      <c r="CW348">
        <v>0</v>
      </c>
      <c r="CX348" t="s">
        <v>198</v>
      </c>
      <c r="CY348" t="s">
        <v>198</v>
      </c>
      <c r="CZ348" t="s">
        <v>198</v>
      </c>
      <c r="DA348" t="s">
        <v>198</v>
      </c>
      <c r="DB348" t="s">
        <v>198</v>
      </c>
      <c r="DC348">
        <v>0</v>
      </c>
      <c r="DD348">
        <v>0</v>
      </c>
      <c r="DE348">
        <v>0</v>
      </c>
      <c r="DF348">
        <v>0</v>
      </c>
      <c r="DG348">
        <v>-35.3631166</v>
      </c>
      <c r="DH348">
        <v>149.1639735</v>
      </c>
      <c r="DI348" t="s">
        <v>360</v>
      </c>
      <c r="DJ348">
        <v>1.2</v>
      </c>
      <c r="DK348">
        <v>2</v>
      </c>
      <c r="DL348">
        <v>159.8</v>
      </c>
      <c r="DM348">
        <v>0</v>
      </c>
      <c r="DN348">
        <v>6</v>
      </c>
      <c r="DO348">
        <v>10</v>
      </c>
      <c r="DP348">
        <v>0</v>
      </c>
      <c r="DQ348">
        <v>255</v>
      </c>
      <c r="DR348">
        <v>255</v>
      </c>
      <c r="DS348">
        <v>255</v>
      </c>
      <c r="DT348">
        <v>255</v>
      </c>
      <c r="DU348">
        <v>255</v>
      </c>
      <c r="DV348">
        <v>255</v>
      </c>
      <c r="DW348">
        <v>255</v>
      </c>
      <c r="DX348" t="s">
        <v>206</v>
      </c>
      <c r="DY348" t="s">
        <v>206</v>
      </c>
      <c r="DZ348" t="s">
        <v>207</v>
      </c>
      <c r="EA348" t="s">
        <v>198</v>
      </c>
      <c r="EB348" t="s">
        <v>198</v>
      </c>
      <c r="EC348" t="s">
        <v>198</v>
      </c>
      <c r="ED348">
        <v>0</v>
      </c>
      <c r="EE348">
        <v>0</v>
      </c>
      <c r="EF348">
        <v>0</v>
      </c>
      <c r="EG348">
        <v>0</v>
      </c>
      <c r="EH348">
        <v>255</v>
      </c>
      <c r="EI348">
        <v>255</v>
      </c>
      <c r="EJ348">
        <v>255</v>
      </c>
      <c r="EK348">
        <v>255</v>
      </c>
      <c r="EL348">
        <v>255</v>
      </c>
      <c r="EM348">
        <v>255</v>
      </c>
      <c r="EN348">
        <v>255</v>
      </c>
      <c r="EO348">
        <v>255</v>
      </c>
      <c r="EP348">
        <v>255</v>
      </c>
      <c r="EQ348">
        <v>255</v>
      </c>
      <c r="ER348" t="s">
        <v>208</v>
      </c>
      <c r="ES348" t="s">
        <v>209</v>
      </c>
      <c r="ET348" t="s">
        <v>209</v>
      </c>
      <c r="EU348">
        <v>0</v>
      </c>
      <c r="EV348">
        <v>16.2</v>
      </c>
      <c r="EW348">
        <v>-114.7</v>
      </c>
      <c r="EX348">
        <v>-0.2</v>
      </c>
      <c r="EY348">
        <v>0</v>
      </c>
      <c r="EZ348">
        <v>0</v>
      </c>
      <c r="FA348">
        <v>0</v>
      </c>
      <c r="FB348" t="s">
        <v>198</v>
      </c>
      <c r="FC348" t="s">
        <v>198</v>
      </c>
      <c r="FD348" t="s">
        <v>198</v>
      </c>
      <c r="FE348" t="s">
        <v>198</v>
      </c>
      <c r="FF348" t="s">
        <v>198</v>
      </c>
      <c r="FG348" t="s">
        <v>198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 t="s">
        <v>203</v>
      </c>
      <c r="FP348" t="s">
        <v>203</v>
      </c>
      <c r="FQ348" t="s">
        <v>203</v>
      </c>
      <c r="FR348" t="s">
        <v>203</v>
      </c>
      <c r="FS348" t="s">
        <v>203</v>
      </c>
      <c r="FT348" t="s">
        <v>203</v>
      </c>
      <c r="FU348" t="s">
        <v>198</v>
      </c>
      <c r="FV348" t="s">
        <v>198</v>
      </c>
      <c r="FW348" t="s">
        <v>198</v>
      </c>
      <c r="FX348" t="s">
        <v>198</v>
      </c>
      <c r="FY348" t="s">
        <v>198</v>
      </c>
      <c r="FZ348" t="s">
        <v>198</v>
      </c>
      <c r="GA348">
        <v>31.2</v>
      </c>
      <c r="GB348">
        <v>31.2</v>
      </c>
      <c r="GC348" t="s">
        <v>203</v>
      </c>
      <c r="GD348">
        <v>0</v>
      </c>
      <c r="GE348">
        <v>504</v>
      </c>
      <c r="GF348">
        <v>0</v>
      </c>
      <c r="GG348">
        <v>0</v>
      </c>
      <c r="GH348">
        <v>0</v>
      </c>
      <c r="GI348">
        <v>1</v>
      </c>
      <c r="GJ348">
        <v>1</v>
      </c>
      <c r="GK348">
        <v>0</v>
      </c>
      <c r="GL348" t="s">
        <v>198</v>
      </c>
      <c r="GM348" t="s">
        <v>198</v>
      </c>
      <c r="GN348" t="s">
        <v>198</v>
      </c>
    </row>
    <row r="349" spans="1:196">
      <c r="A349" s="19">
        <v>46316.90792063657</v>
      </c>
      <c r="B349">
        <v>0</v>
      </c>
      <c r="C349">
        <v>0</v>
      </c>
      <c r="D349">
        <v>277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584.2</v>
      </c>
      <c r="N349">
        <v>-0.5</v>
      </c>
      <c r="O349">
        <v>0</v>
      </c>
      <c r="P349">
        <v>0</v>
      </c>
      <c r="Q349">
        <v>0</v>
      </c>
      <c r="R349">
        <v>0</v>
      </c>
      <c r="S349">
        <v>115.6</v>
      </c>
      <c r="T349" t="s">
        <v>485</v>
      </c>
      <c r="U349">
        <v>115.7</v>
      </c>
      <c r="V349">
        <v>1762727256586.8</v>
      </c>
      <c r="W349">
        <v>1</v>
      </c>
      <c r="X349" t="s">
        <v>197</v>
      </c>
      <c r="Y349">
        <v>0</v>
      </c>
      <c r="Z349">
        <v>98</v>
      </c>
      <c r="AA349">
        <v>278</v>
      </c>
      <c r="AB349" t="s">
        <v>197</v>
      </c>
      <c r="AC349" t="s">
        <v>198</v>
      </c>
      <c r="AD349" t="s">
        <v>199</v>
      </c>
      <c r="AE349">
        <v>0</v>
      </c>
      <c r="AF349">
        <v>45</v>
      </c>
      <c r="AG349">
        <v>255</v>
      </c>
      <c r="AH349">
        <v>0</v>
      </c>
      <c r="AI349">
        <v>0</v>
      </c>
      <c r="AJ349">
        <v>0</v>
      </c>
      <c r="AK349">
        <v>12.6</v>
      </c>
      <c r="AL349">
        <v>0</v>
      </c>
      <c r="AM349">
        <v>0</v>
      </c>
      <c r="AN349" t="s">
        <v>197</v>
      </c>
      <c r="AO349">
        <v>100</v>
      </c>
      <c r="AP349" t="s">
        <v>197</v>
      </c>
      <c r="AQ349" t="s">
        <v>200</v>
      </c>
      <c r="AR349">
        <v>1</v>
      </c>
      <c r="AS349">
        <v>0</v>
      </c>
      <c r="AT349" t="s">
        <v>695</v>
      </c>
      <c r="AU349" t="s">
        <v>695</v>
      </c>
      <c r="AV349" t="s">
        <v>202</v>
      </c>
      <c r="AW349" t="s">
        <v>203</v>
      </c>
      <c r="AX349" t="s">
        <v>203</v>
      </c>
      <c r="AY349" t="s">
        <v>203</v>
      </c>
      <c r="AZ349" t="s">
        <v>203</v>
      </c>
      <c r="BA349" t="s">
        <v>203</v>
      </c>
      <c r="BB349" t="s">
        <v>203</v>
      </c>
      <c r="BC349" t="s">
        <v>203</v>
      </c>
      <c r="BD349" t="s">
        <v>203</v>
      </c>
      <c r="BE349" t="s">
        <v>203</v>
      </c>
      <c r="BF349">
        <v>0</v>
      </c>
      <c r="BG349">
        <v>0.2</v>
      </c>
      <c r="BH349">
        <v>50</v>
      </c>
      <c r="BI349">
        <v>0</v>
      </c>
      <c r="BJ349" t="s">
        <v>198</v>
      </c>
      <c r="BK349" t="s">
        <v>198</v>
      </c>
      <c r="BL349" t="s">
        <v>198</v>
      </c>
      <c r="BM349" t="s">
        <v>198</v>
      </c>
      <c r="BN349" t="s">
        <v>198</v>
      </c>
      <c r="BO349" t="s">
        <v>198</v>
      </c>
      <c r="BP349" t="s">
        <v>198</v>
      </c>
      <c r="BQ349" t="s">
        <v>198</v>
      </c>
      <c r="BR349" t="s">
        <v>198</v>
      </c>
      <c r="BS349" t="s">
        <v>198</v>
      </c>
      <c r="BT349" t="s">
        <v>198</v>
      </c>
      <c r="BU349" t="s">
        <v>198</v>
      </c>
      <c r="BV349" t="s">
        <v>198</v>
      </c>
      <c r="BW349" t="s">
        <v>198</v>
      </c>
      <c r="BX349" t="s">
        <v>198</v>
      </c>
      <c r="BY349" t="s">
        <v>198</v>
      </c>
      <c r="BZ349" t="s">
        <v>198</v>
      </c>
      <c r="CA349" t="s">
        <v>198</v>
      </c>
      <c r="CB349" t="s">
        <v>204</v>
      </c>
      <c r="CC349" t="s">
        <v>204</v>
      </c>
      <c r="CD349" t="s">
        <v>204</v>
      </c>
      <c r="CE349" t="s">
        <v>204</v>
      </c>
      <c r="CF349" t="s">
        <v>204</v>
      </c>
      <c r="CG349" t="s">
        <v>204</v>
      </c>
      <c r="CH349" t="s">
        <v>204</v>
      </c>
      <c r="CI349" t="s">
        <v>204</v>
      </c>
      <c r="CJ349" t="s">
        <v>204</v>
      </c>
      <c r="CK349" t="s">
        <v>204</v>
      </c>
      <c r="CL349" t="s">
        <v>204</v>
      </c>
      <c r="CM349" t="s">
        <v>204</v>
      </c>
      <c r="CN349" t="s">
        <v>203</v>
      </c>
      <c r="CO349" t="s">
        <v>203</v>
      </c>
      <c r="CP349" t="s">
        <v>203</v>
      </c>
      <c r="CQ349" t="s">
        <v>203</v>
      </c>
      <c r="CR349" t="s">
        <v>203</v>
      </c>
      <c r="CS349" t="s">
        <v>203</v>
      </c>
      <c r="CT349" t="s">
        <v>203</v>
      </c>
      <c r="CU349" t="s">
        <v>203</v>
      </c>
      <c r="CV349">
        <v>0</v>
      </c>
      <c r="CW349">
        <v>0</v>
      </c>
      <c r="CX349" t="s">
        <v>198</v>
      </c>
      <c r="CY349" t="s">
        <v>198</v>
      </c>
      <c r="CZ349" t="s">
        <v>198</v>
      </c>
      <c r="DA349" t="s">
        <v>198</v>
      </c>
      <c r="DB349" t="s">
        <v>198</v>
      </c>
      <c r="DC349">
        <v>0</v>
      </c>
      <c r="DD349">
        <v>0</v>
      </c>
      <c r="DE349">
        <v>0</v>
      </c>
      <c r="DF349">
        <v>0</v>
      </c>
      <c r="DG349">
        <v>-35.3631166</v>
      </c>
      <c r="DH349">
        <v>149.1639735</v>
      </c>
      <c r="DI349" t="s">
        <v>360</v>
      </c>
      <c r="DJ349">
        <v>1.2</v>
      </c>
      <c r="DK349">
        <v>2</v>
      </c>
      <c r="DL349">
        <v>159.8</v>
      </c>
      <c r="DM349">
        <v>0</v>
      </c>
      <c r="DN349">
        <v>6</v>
      </c>
      <c r="DO349">
        <v>10</v>
      </c>
      <c r="DP349">
        <v>0</v>
      </c>
      <c r="DQ349">
        <v>255</v>
      </c>
      <c r="DR349">
        <v>255</v>
      </c>
      <c r="DS349">
        <v>255</v>
      </c>
      <c r="DT349">
        <v>255</v>
      </c>
      <c r="DU349">
        <v>255</v>
      </c>
      <c r="DV349">
        <v>255</v>
      </c>
      <c r="DW349">
        <v>255</v>
      </c>
      <c r="DX349" t="s">
        <v>206</v>
      </c>
      <c r="DY349" t="s">
        <v>206</v>
      </c>
      <c r="DZ349" t="s">
        <v>207</v>
      </c>
      <c r="EA349" t="s">
        <v>198</v>
      </c>
      <c r="EB349" t="s">
        <v>198</v>
      </c>
      <c r="EC349" t="s">
        <v>198</v>
      </c>
      <c r="ED349">
        <v>0</v>
      </c>
      <c r="EE349">
        <v>0</v>
      </c>
      <c r="EF349">
        <v>0</v>
      </c>
      <c r="EG349">
        <v>0</v>
      </c>
      <c r="EH349">
        <v>255</v>
      </c>
      <c r="EI349">
        <v>255</v>
      </c>
      <c r="EJ349">
        <v>255</v>
      </c>
      <c r="EK349">
        <v>255</v>
      </c>
      <c r="EL349">
        <v>255</v>
      </c>
      <c r="EM349">
        <v>255</v>
      </c>
      <c r="EN349">
        <v>255</v>
      </c>
      <c r="EO349">
        <v>255</v>
      </c>
      <c r="EP349">
        <v>255</v>
      </c>
      <c r="EQ349">
        <v>255</v>
      </c>
      <c r="ER349" t="s">
        <v>208</v>
      </c>
      <c r="ES349" t="s">
        <v>209</v>
      </c>
      <c r="ET349" t="s">
        <v>209</v>
      </c>
      <c r="EU349">
        <v>0</v>
      </c>
      <c r="EV349">
        <v>16.2</v>
      </c>
      <c r="EW349">
        <v>-114.7</v>
      </c>
      <c r="EX349">
        <v>-0.2</v>
      </c>
      <c r="EY349">
        <v>0</v>
      </c>
      <c r="EZ349">
        <v>0</v>
      </c>
      <c r="FA349">
        <v>0</v>
      </c>
      <c r="FB349" t="s">
        <v>198</v>
      </c>
      <c r="FC349" t="s">
        <v>198</v>
      </c>
      <c r="FD349" t="s">
        <v>198</v>
      </c>
      <c r="FE349" t="s">
        <v>198</v>
      </c>
      <c r="FF349" t="s">
        <v>198</v>
      </c>
      <c r="FG349" t="s">
        <v>198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 t="s">
        <v>203</v>
      </c>
      <c r="FP349" t="s">
        <v>203</v>
      </c>
      <c r="FQ349" t="s">
        <v>203</v>
      </c>
      <c r="FR349" t="s">
        <v>203</v>
      </c>
      <c r="FS349" t="s">
        <v>203</v>
      </c>
      <c r="FT349" t="s">
        <v>203</v>
      </c>
      <c r="FU349" t="s">
        <v>198</v>
      </c>
      <c r="FV349" t="s">
        <v>198</v>
      </c>
      <c r="FW349" t="s">
        <v>198</v>
      </c>
      <c r="FX349" t="s">
        <v>198</v>
      </c>
      <c r="FY349" t="s">
        <v>198</v>
      </c>
      <c r="FZ349" t="s">
        <v>198</v>
      </c>
      <c r="GA349">
        <v>31.2</v>
      </c>
      <c r="GB349">
        <v>31.2</v>
      </c>
      <c r="GC349" t="s">
        <v>203</v>
      </c>
      <c r="GD349">
        <v>0</v>
      </c>
      <c r="GE349">
        <v>504</v>
      </c>
      <c r="GF349">
        <v>0</v>
      </c>
      <c r="GG349">
        <v>0</v>
      </c>
      <c r="GH349">
        <v>0</v>
      </c>
      <c r="GI349">
        <v>1</v>
      </c>
      <c r="GJ349">
        <v>1</v>
      </c>
      <c r="GK349">
        <v>0</v>
      </c>
      <c r="GL349" t="s">
        <v>198</v>
      </c>
      <c r="GM349" t="s">
        <v>198</v>
      </c>
      <c r="GN349" t="s">
        <v>198</v>
      </c>
    </row>
    <row r="350" spans="1:196">
      <c r="A350" s="19">
        <v>46316.90793221065</v>
      </c>
      <c r="B350">
        <v>0</v>
      </c>
      <c r="C350">
        <v>0</v>
      </c>
      <c r="D350">
        <v>277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584.2</v>
      </c>
      <c r="N350">
        <v>-0.5</v>
      </c>
      <c r="O350">
        <v>0</v>
      </c>
      <c r="P350">
        <v>0</v>
      </c>
      <c r="Q350">
        <v>0</v>
      </c>
      <c r="R350">
        <v>0</v>
      </c>
      <c r="S350">
        <v>115.6</v>
      </c>
      <c r="T350" t="s">
        <v>485</v>
      </c>
      <c r="U350">
        <v>115.7</v>
      </c>
      <c r="V350">
        <v>1762727256586.8</v>
      </c>
      <c r="W350">
        <v>1</v>
      </c>
      <c r="X350" t="s">
        <v>197</v>
      </c>
      <c r="Y350">
        <v>0</v>
      </c>
      <c r="Z350">
        <v>98</v>
      </c>
      <c r="AA350">
        <v>278</v>
      </c>
      <c r="AB350" t="s">
        <v>197</v>
      </c>
      <c r="AC350" t="s">
        <v>198</v>
      </c>
      <c r="AD350" t="s">
        <v>199</v>
      </c>
      <c r="AE350">
        <v>0</v>
      </c>
      <c r="AF350">
        <v>45</v>
      </c>
      <c r="AG350">
        <v>255</v>
      </c>
      <c r="AH350">
        <v>0</v>
      </c>
      <c r="AI350">
        <v>0</v>
      </c>
      <c r="AJ350">
        <v>0</v>
      </c>
      <c r="AK350">
        <v>12.6</v>
      </c>
      <c r="AL350">
        <v>0</v>
      </c>
      <c r="AM350">
        <v>0</v>
      </c>
      <c r="AN350" t="s">
        <v>197</v>
      </c>
      <c r="AO350">
        <v>100</v>
      </c>
      <c r="AP350" t="s">
        <v>197</v>
      </c>
      <c r="AQ350" t="s">
        <v>200</v>
      </c>
      <c r="AR350">
        <v>1</v>
      </c>
      <c r="AS350">
        <v>0</v>
      </c>
      <c r="AT350" t="s">
        <v>696</v>
      </c>
      <c r="AU350" t="s">
        <v>696</v>
      </c>
      <c r="AV350" t="s">
        <v>202</v>
      </c>
      <c r="AW350" t="s">
        <v>203</v>
      </c>
      <c r="AX350" t="s">
        <v>203</v>
      </c>
      <c r="AY350" t="s">
        <v>203</v>
      </c>
      <c r="AZ350" t="s">
        <v>203</v>
      </c>
      <c r="BA350" t="s">
        <v>203</v>
      </c>
      <c r="BB350" t="s">
        <v>203</v>
      </c>
      <c r="BC350" t="s">
        <v>203</v>
      </c>
      <c r="BD350" t="s">
        <v>203</v>
      </c>
      <c r="BE350" t="s">
        <v>203</v>
      </c>
      <c r="BF350">
        <v>0</v>
      </c>
      <c r="BG350">
        <v>0.2</v>
      </c>
      <c r="BH350">
        <v>50</v>
      </c>
      <c r="BI350">
        <v>0</v>
      </c>
      <c r="BJ350" t="s">
        <v>198</v>
      </c>
      <c r="BK350" t="s">
        <v>198</v>
      </c>
      <c r="BL350" t="s">
        <v>198</v>
      </c>
      <c r="BM350" t="s">
        <v>198</v>
      </c>
      <c r="BN350" t="s">
        <v>198</v>
      </c>
      <c r="BO350" t="s">
        <v>198</v>
      </c>
      <c r="BP350" t="s">
        <v>198</v>
      </c>
      <c r="BQ350" t="s">
        <v>198</v>
      </c>
      <c r="BR350" t="s">
        <v>198</v>
      </c>
      <c r="BS350" t="s">
        <v>198</v>
      </c>
      <c r="BT350" t="s">
        <v>198</v>
      </c>
      <c r="BU350" t="s">
        <v>198</v>
      </c>
      <c r="BV350" t="s">
        <v>198</v>
      </c>
      <c r="BW350" t="s">
        <v>198</v>
      </c>
      <c r="BX350" t="s">
        <v>198</v>
      </c>
      <c r="BY350" t="s">
        <v>198</v>
      </c>
      <c r="BZ350" t="s">
        <v>198</v>
      </c>
      <c r="CA350" t="s">
        <v>198</v>
      </c>
      <c r="CB350" t="s">
        <v>204</v>
      </c>
      <c r="CC350" t="s">
        <v>204</v>
      </c>
      <c r="CD350" t="s">
        <v>204</v>
      </c>
      <c r="CE350" t="s">
        <v>204</v>
      </c>
      <c r="CF350" t="s">
        <v>204</v>
      </c>
      <c r="CG350" t="s">
        <v>204</v>
      </c>
      <c r="CH350" t="s">
        <v>204</v>
      </c>
      <c r="CI350" t="s">
        <v>204</v>
      </c>
      <c r="CJ350" t="s">
        <v>204</v>
      </c>
      <c r="CK350" t="s">
        <v>204</v>
      </c>
      <c r="CL350" t="s">
        <v>204</v>
      </c>
      <c r="CM350" t="s">
        <v>204</v>
      </c>
      <c r="CN350" t="s">
        <v>203</v>
      </c>
      <c r="CO350" t="s">
        <v>203</v>
      </c>
      <c r="CP350" t="s">
        <v>203</v>
      </c>
      <c r="CQ350" t="s">
        <v>203</v>
      </c>
      <c r="CR350" t="s">
        <v>203</v>
      </c>
      <c r="CS350" t="s">
        <v>203</v>
      </c>
      <c r="CT350" t="s">
        <v>203</v>
      </c>
      <c r="CU350" t="s">
        <v>203</v>
      </c>
      <c r="CV350">
        <v>0</v>
      </c>
      <c r="CW350">
        <v>0</v>
      </c>
      <c r="CX350" t="s">
        <v>198</v>
      </c>
      <c r="CY350" t="s">
        <v>198</v>
      </c>
      <c r="CZ350" t="s">
        <v>198</v>
      </c>
      <c r="DA350" t="s">
        <v>198</v>
      </c>
      <c r="DB350" t="s">
        <v>198</v>
      </c>
      <c r="DC350">
        <v>0</v>
      </c>
      <c r="DD350">
        <v>0</v>
      </c>
      <c r="DE350">
        <v>0</v>
      </c>
      <c r="DF350">
        <v>0</v>
      </c>
      <c r="DG350">
        <v>-35.3631166</v>
      </c>
      <c r="DH350">
        <v>149.1639735</v>
      </c>
      <c r="DI350" t="s">
        <v>360</v>
      </c>
      <c r="DJ350">
        <v>1.2</v>
      </c>
      <c r="DK350">
        <v>2</v>
      </c>
      <c r="DL350">
        <v>159.8</v>
      </c>
      <c r="DM350">
        <v>0</v>
      </c>
      <c r="DN350">
        <v>6</v>
      </c>
      <c r="DO350">
        <v>10</v>
      </c>
      <c r="DP350">
        <v>0</v>
      </c>
      <c r="DQ350">
        <v>255</v>
      </c>
      <c r="DR350">
        <v>255</v>
      </c>
      <c r="DS350">
        <v>255</v>
      </c>
      <c r="DT350">
        <v>255</v>
      </c>
      <c r="DU350">
        <v>255</v>
      </c>
      <c r="DV350">
        <v>255</v>
      </c>
      <c r="DW350">
        <v>255</v>
      </c>
      <c r="DX350" t="s">
        <v>206</v>
      </c>
      <c r="DY350" t="s">
        <v>206</v>
      </c>
      <c r="DZ350" t="s">
        <v>207</v>
      </c>
      <c r="EA350" t="s">
        <v>198</v>
      </c>
      <c r="EB350" t="s">
        <v>198</v>
      </c>
      <c r="EC350" t="s">
        <v>198</v>
      </c>
      <c r="ED350">
        <v>0</v>
      </c>
      <c r="EE350">
        <v>0</v>
      </c>
      <c r="EF350">
        <v>0</v>
      </c>
      <c r="EG350">
        <v>0</v>
      </c>
      <c r="EH350">
        <v>255</v>
      </c>
      <c r="EI350">
        <v>255</v>
      </c>
      <c r="EJ350">
        <v>255</v>
      </c>
      <c r="EK350">
        <v>255</v>
      </c>
      <c r="EL350">
        <v>255</v>
      </c>
      <c r="EM350">
        <v>255</v>
      </c>
      <c r="EN350">
        <v>255</v>
      </c>
      <c r="EO350">
        <v>255</v>
      </c>
      <c r="EP350">
        <v>255</v>
      </c>
      <c r="EQ350">
        <v>255</v>
      </c>
      <c r="ER350" t="s">
        <v>208</v>
      </c>
      <c r="ES350" t="s">
        <v>209</v>
      </c>
      <c r="ET350" t="s">
        <v>209</v>
      </c>
      <c r="EU350">
        <v>0</v>
      </c>
      <c r="EV350">
        <v>16.2</v>
      </c>
      <c r="EW350">
        <v>-114.7</v>
      </c>
      <c r="EX350">
        <v>-0.2</v>
      </c>
      <c r="EY350">
        <v>0</v>
      </c>
      <c r="EZ350">
        <v>0</v>
      </c>
      <c r="FA350">
        <v>0</v>
      </c>
      <c r="FB350" t="s">
        <v>198</v>
      </c>
      <c r="FC350" t="s">
        <v>198</v>
      </c>
      <c r="FD350" t="s">
        <v>198</v>
      </c>
      <c r="FE350" t="s">
        <v>198</v>
      </c>
      <c r="FF350" t="s">
        <v>198</v>
      </c>
      <c r="FG350" t="s">
        <v>198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 t="s">
        <v>203</v>
      </c>
      <c r="FP350" t="s">
        <v>203</v>
      </c>
      <c r="FQ350" t="s">
        <v>203</v>
      </c>
      <c r="FR350" t="s">
        <v>203</v>
      </c>
      <c r="FS350" t="s">
        <v>203</v>
      </c>
      <c r="FT350" t="s">
        <v>203</v>
      </c>
      <c r="FU350" t="s">
        <v>198</v>
      </c>
      <c r="FV350" t="s">
        <v>198</v>
      </c>
      <c r="FW350" t="s">
        <v>198</v>
      </c>
      <c r="FX350" t="s">
        <v>198</v>
      </c>
      <c r="FY350" t="s">
        <v>198</v>
      </c>
      <c r="FZ350" t="s">
        <v>198</v>
      </c>
      <c r="GA350">
        <v>31.2</v>
      </c>
      <c r="GB350">
        <v>31.2</v>
      </c>
      <c r="GC350" t="s">
        <v>203</v>
      </c>
      <c r="GD350">
        <v>0</v>
      </c>
      <c r="GE350">
        <v>504</v>
      </c>
      <c r="GF350">
        <v>0</v>
      </c>
      <c r="GG350">
        <v>0</v>
      </c>
      <c r="GH350">
        <v>0</v>
      </c>
      <c r="GI350">
        <v>1</v>
      </c>
      <c r="GJ350">
        <v>1</v>
      </c>
      <c r="GK350">
        <v>0</v>
      </c>
      <c r="GL350" t="s">
        <v>198</v>
      </c>
      <c r="GM350" t="s">
        <v>198</v>
      </c>
      <c r="GN350" t="s">
        <v>198</v>
      </c>
    </row>
    <row r="351" spans="1:196">
      <c r="A351" s="19">
        <v>46316.90794378472</v>
      </c>
      <c r="B351">
        <v>0</v>
      </c>
      <c r="C351">
        <v>0</v>
      </c>
      <c r="D351">
        <v>277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584.2</v>
      </c>
      <c r="N351">
        <v>-0.5</v>
      </c>
      <c r="O351">
        <v>0</v>
      </c>
      <c r="P351">
        <v>0</v>
      </c>
      <c r="Q351">
        <v>0</v>
      </c>
      <c r="R351">
        <v>0</v>
      </c>
      <c r="S351">
        <v>115.6</v>
      </c>
      <c r="T351" t="s">
        <v>485</v>
      </c>
      <c r="U351">
        <v>115.7</v>
      </c>
      <c r="V351">
        <v>1762727256586.8</v>
      </c>
      <c r="W351">
        <v>1</v>
      </c>
      <c r="X351" t="s">
        <v>197</v>
      </c>
      <c r="Y351">
        <v>0</v>
      </c>
      <c r="Z351">
        <v>98</v>
      </c>
      <c r="AA351">
        <v>278</v>
      </c>
      <c r="AB351" t="s">
        <v>197</v>
      </c>
      <c r="AC351" t="s">
        <v>198</v>
      </c>
      <c r="AD351" t="s">
        <v>199</v>
      </c>
      <c r="AE351">
        <v>0</v>
      </c>
      <c r="AF351">
        <v>45</v>
      </c>
      <c r="AG351">
        <v>255</v>
      </c>
      <c r="AH351">
        <v>0</v>
      </c>
      <c r="AI351">
        <v>0</v>
      </c>
      <c r="AJ351">
        <v>0</v>
      </c>
      <c r="AK351">
        <v>12.6</v>
      </c>
      <c r="AL351">
        <v>0</v>
      </c>
      <c r="AM351">
        <v>0</v>
      </c>
      <c r="AN351" t="s">
        <v>197</v>
      </c>
      <c r="AO351">
        <v>100</v>
      </c>
      <c r="AP351" t="s">
        <v>197</v>
      </c>
      <c r="AQ351" t="s">
        <v>200</v>
      </c>
      <c r="AR351">
        <v>1</v>
      </c>
      <c r="AS351">
        <v>0</v>
      </c>
      <c r="AT351" t="s">
        <v>697</v>
      </c>
      <c r="AU351" t="s">
        <v>697</v>
      </c>
      <c r="AV351" t="s">
        <v>202</v>
      </c>
      <c r="AW351" t="s">
        <v>203</v>
      </c>
      <c r="AX351" t="s">
        <v>203</v>
      </c>
      <c r="AY351" t="s">
        <v>203</v>
      </c>
      <c r="AZ351" t="s">
        <v>203</v>
      </c>
      <c r="BA351" t="s">
        <v>203</v>
      </c>
      <c r="BB351" t="s">
        <v>203</v>
      </c>
      <c r="BC351" t="s">
        <v>203</v>
      </c>
      <c r="BD351" t="s">
        <v>203</v>
      </c>
      <c r="BE351" t="s">
        <v>203</v>
      </c>
      <c r="BF351">
        <v>0</v>
      </c>
      <c r="BG351">
        <v>0.2</v>
      </c>
      <c r="BH351">
        <v>50</v>
      </c>
      <c r="BI351">
        <v>0</v>
      </c>
      <c r="BJ351" t="s">
        <v>198</v>
      </c>
      <c r="BK351" t="s">
        <v>198</v>
      </c>
      <c r="BL351" t="s">
        <v>198</v>
      </c>
      <c r="BM351" t="s">
        <v>198</v>
      </c>
      <c r="BN351" t="s">
        <v>198</v>
      </c>
      <c r="BO351" t="s">
        <v>198</v>
      </c>
      <c r="BP351" t="s">
        <v>198</v>
      </c>
      <c r="BQ351" t="s">
        <v>198</v>
      </c>
      <c r="BR351" t="s">
        <v>198</v>
      </c>
      <c r="BS351" t="s">
        <v>198</v>
      </c>
      <c r="BT351" t="s">
        <v>198</v>
      </c>
      <c r="BU351" t="s">
        <v>198</v>
      </c>
      <c r="BV351" t="s">
        <v>198</v>
      </c>
      <c r="BW351" t="s">
        <v>198</v>
      </c>
      <c r="BX351" t="s">
        <v>198</v>
      </c>
      <c r="BY351" t="s">
        <v>198</v>
      </c>
      <c r="BZ351" t="s">
        <v>198</v>
      </c>
      <c r="CA351" t="s">
        <v>198</v>
      </c>
      <c r="CB351" t="s">
        <v>204</v>
      </c>
      <c r="CC351" t="s">
        <v>204</v>
      </c>
      <c r="CD351" t="s">
        <v>204</v>
      </c>
      <c r="CE351" t="s">
        <v>204</v>
      </c>
      <c r="CF351" t="s">
        <v>204</v>
      </c>
      <c r="CG351" t="s">
        <v>204</v>
      </c>
      <c r="CH351" t="s">
        <v>204</v>
      </c>
      <c r="CI351" t="s">
        <v>204</v>
      </c>
      <c r="CJ351" t="s">
        <v>204</v>
      </c>
      <c r="CK351" t="s">
        <v>204</v>
      </c>
      <c r="CL351" t="s">
        <v>204</v>
      </c>
      <c r="CM351" t="s">
        <v>204</v>
      </c>
      <c r="CN351" t="s">
        <v>203</v>
      </c>
      <c r="CO351" t="s">
        <v>203</v>
      </c>
      <c r="CP351" t="s">
        <v>203</v>
      </c>
      <c r="CQ351" t="s">
        <v>203</v>
      </c>
      <c r="CR351" t="s">
        <v>203</v>
      </c>
      <c r="CS351" t="s">
        <v>203</v>
      </c>
      <c r="CT351" t="s">
        <v>203</v>
      </c>
      <c r="CU351" t="s">
        <v>203</v>
      </c>
      <c r="CV351">
        <v>0</v>
      </c>
      <c r="CW351">
        <v>0</v>
      </c>
      <c r="CX351" t="s">
        <v>198</v>
      </c>
      <c r="CY351" t="s">
        <v>198</v>
      </c>
      <c r="CZ351" t="s">
        <v>198</v>
      </c>
      <c r="DA351" t="s">
        <v>198</v>
      </c>
      <c r="DB351" t="s">
        <v>198</v>
      </c>
      <c r="DC351">
        <v>0</v>
      </c>
      <c r="DD351">
        <v>0</v>
      </c>
      <c r="DE351">
        <v>0</v>
      </c>
      <c r="DF351">
        <v>0</v>
      </c>
      <c r="DG351">
        <v>-35.3631166</v>
      </c>
      <c r="DH351">
        <v>149.1639735</v>
      </c>
      <c r="DI351" t="s">
        <v>360</v>
      </c>
      <c r="DJ351">
        <v>1.2</v>
      </c>
      <c r="DK351">
        <v>2</v>
      </c>
      <c r="DL351">
        <v>159.8</v>
      </c>
      <c r="DM351">
        <v>0</v>
      </c>
      <c r="DN351">
        <v>6</v>
      </c>
      <c r="DO351">
        <v>10</v>
      </c>
      <c r="DP351">
        <v>0</v>
      </c>
      <c r="DQ351">
        <v>255</v>
      </c>
      <c r="DR351">
        <v>255</v>
      </c>
      <c r="DS351">
        <v>255</v>
      </c>
      <c r="DT351">
        <v>255</v>
      </c>
      <c r="DU351">
        <v>255</v>
      </c>
      <c r="DV351">
        <v>255</v>
      </c>
      <c r="DW351">
        <v>255</v>
      </c>
      <c r="DX351" t="s">
        <v>206</v>
      </c>
      <c r="DY351" t="s">
        <v>206</v>
      </c>
      <c r="DZ351" t="s">
        <v>207</v>
      </c>
      <c r="EA351" t="s">
        <v>198</v>
      </c>
      <c r="EB351" t="s">
        <v>198</v>
      </c>
      <c r="EC351" t="s">
        <v>198</v>
      </c>
      <c r="ED351">
        <v>0</v>
      </c>
      <c r="EE351">
        <v>0</v>
      </c>
      <c r="EF351">
        <v>0</v>
      </c>
      <c r="EG351">
        <v>0</v>
      </c>
      <c r="EH351">
        <v>255</v>
      </c>
      <c r="EI351">
        <v>255</v>
      </c>
      <c r="EJ351">
        <v>255</v>
      </c>
      <c r="EK351">
        <v>255</v>
      </c>
      <c r="EL351">
        <v>255</v>
      </c>
      <c r="EM351">
        <v>255</v>
      </c>
      <c r="EN351">
        <v>255</v>
      </c>
      <c r="EO351">
        <v>255</v>
      </c>
      <c r="EP351">
        <v>255</v>
      </c>
      <c r="EQ351">
        <v>255</v>
      </c>
      <c r="ER351" t="s">
        <v>208</v>
      </c>
      <c r="ES351" t="s">
        <v>209</v>
      </c>
      <c r="ET351" t="s">
        <v>209</v>
      </c>
      <c r="EU351">
        <v>0</v>
      </c>
      <c r="EV351">
        <v>16.2</v>
      </c>
      <c r="EW351">
        <v>-114.7</v>
      </c>
      <c r="EX351">
        <v>-0.2</v>
      </c>
      <c r="EY351">
        <v>0</v>
      </c>
      <c r="EZ351">
        <v>0</v>
      </c>
      <c r="FA351">
        <v>0</v>
      </c>
      <c r="FB351" t="s">
        <v>198</v>
      </c>
      <c r="FC351" t="s">
        <v>198</v>
      </c>
      <c r="FD351" t="s">
        <v>198</v>
      </c>
      <c r="FE351" t="s">
        <v>198</v>
      </c>
      <c r="FF351" t="s">
        <v>198</v>
      </c>
      <c r="FG351" t="s">
        <v>198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 t="s">
        <v>203</v>
      </c>
      <c r="FP351" t="s">
        <v>203</v>
      </c>
      <c r="FQ351" t="s">
        <v>203</v>
      </c>
      <c r="FR351" t="s">
        <v>203</v>
      </c>
      <c r="FS351" t="s">
        <v>203</v>
      </c>
      <c r="FT351" t="s">
        <v>203</v>
      </c>
      <c r="FU351" t="s">
        <v>198</v>
      </c>
      <c r="FV351" t="s">
        <v>198</v>
      </c>
      <c r="FW351" t="s">
        <v>198</v>
      </c>
      <c r="FX351" t="s">
        <v>198</v>
      </c>
      <c r="FY351" t="s">
        <v>198</v>
      </c>
      <c r="FZ351" t="s">
        <v>198</v>
      </c>
      <c r="GA351">
        <v>31.2</v>
      </c>
      <c r="GB351">
        <v>31.2</v>
      </c>
      <c r="GC351" t="s">
        <v>203</v>
      </c>
      <c r="GD351">
        <v>0</v>
      </c>
      <c r="GE351">
        <v>504</v>
      </c>
      <c r="GF351">
        <v>0</v>
      </c>
      <c r="GG351">
        <v>0</v>
      </c>
      <c r="GH351">
        <v>0</v>
      </c>
      <c r="GI351">
        <v>1</v>
      </c>
      <c r="GJ351">
        <v>1</v>
      </c>
      <c r="GK351">
        <v>0</v>
      </c>
      <c r="GL351" t="s">
        <v>198</v>
      </c>
      <c r="GM351" t="s">
        <v>198</v>
      </c>
      <c r="GN351" t="s">
        <v>198</v>
      </c>
    </row>
    <row r="352" spans="1:196">
      <c r="A352" s="19">
        <v>46316.90795535879</v>
      </c>
      <c r="B352">
        <v>0</v>
      </c>
      <c r="C352">
        <v>0</v>
      </c>
      <c r="D352">
        <v>277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584.2</v>
      </c>
      <c r="N352">
        <v>-0.5</v>
      </c>
      <c r="O352">
        <v>0</v>
      </c>
      <c r="P352">
        <v>0</v>
      </c>
      <c r="Q352">
        <v>0</v>
      </c>
      <c r="R352">
        <v>0</v>
      </c>
      <c r="S352">
        <v>115.6</v>
      </c>
      <c r="T352" t="s">
        <v>485</v>
      </c>
      <c r="U352">
        <v>115.7</v>
      </c>
      <c r="V352">
        <v>1762727256586.8</v>
      </c>
      <c r="W352">
        <v>1</v>
      </c>
      <c r="X352" t="s">
        <v>197</v>
      </c>
      <c r="Y352">
        <v>0</v>
      </c>
      <c r="Z352">
        <v>98</v>
      </c>
      <c r="AA352">
        <v>278</v>
      </c>
      <c r="AB352" t="s">
        <v>197</v>
      </c>
      <c r="AC352" t="s">
        <v>198</v>
      </c>
      <c r="AD352" t="s">
        <v>199</v>
      </c>
      <c r="AE352">
        <v>0</v>
      </c>
      <c r="AF352">
        <v>45</v>
      </c>
      <c r="AG352">
        <v>255</v>
      </c>
      <c r="AH352">
        <v>0</v>
      </c>
      <c r="AI352">
        <v>0</v>
      </c>
      <c r="AJ352">
        <v>0</v>
      </c>
      <c r="AK352">
        <v>12.6</v>
      </c>
      <c r="AL352">
        <v>0</v>
      </c>
      <c r="AM352">
        <v>0</v>
      </c>
      <c r="AN352" t="s">
        <v>197</v>
      </c>
      <c r="AO352">
        <v>100</v>
      </c>
      <c r="AP352" t="s">
        <v>197</v>
      </c>
      <c r="AQ352" t="s">
        <v>200</v>
      </c>
      <c r="AR352">
        <v>1</v>
      </c>
      <c r="AS352">
        <v>0</v>
      </c>
      <c r="AT352" t="s">
        <v>698</v>
      </c>
      <c r="AU352" t="s">
        <v>698</v>
      </c>
      <c r="AV352" t="s">
        <v>202</v>
      </c>
      <c r="AW352" t="s">
        <v>203</v>
      </c>
      <c r="AX352" t="s">
        <v>203</v>
      </c>
      <c r="AY352" t="s">
        <v>203</v>
      </c>
      <c r="AZ352" t="s">
        <v>203</v>
      </c>
      <c r="BA352" t="s">
        <v>203</v>
      </c>
      <c r="BB352" t="s">
        <v>203</v>
      </c>
      <c r="BC352" t="s">
        <v>203</v>
      </c>
      <c r="BD352" t="s">
        <v>203</v>
      </c>
      <c r="BE352" t="s">
        <v>203</v>
      </c>
      <c r="BF352">
        <v>0</v>
      </c>
      <c r="BG352">
        <v>0.2</v>
      </c>
      <c r="BH352">
        <v>50</v>
      </c>
      <c r="BI352">
        <v>0</v>
      </c>
      <c r="BJ352" t="s">
        <v>198</v>
      </c>
      <c r="BK352" t="s">
        <v>198</v>
      </c>
      <c r="BL352" t="s">
        <v>198</v>
      </c>
      <c r="BM352" t="s">
        <v>198</v>
      </c>
      <c r="BN352" t="s">
        <v>198</v>
      </c>
      <c r="BO352" t="s">
        <v>198</v>
      </c>
      <c r="BP352" t="s">
        <v>198</v>
      </c>
      <c r="BQ352" t="s">
        <v>198</v>
      </c>
      <c r="BR352" t="s">
        <v>198</v>
      </c>
      <c r="BS352" t="s">
        <v>198</v>
      </c>
      <c r="BT352" t="s">
        <v>198</v>
      </c>
      <c r="BU352" t="s">
        <v>198</v>
      </c>
      <c r="BV352" t="s">
        <v>198</v>
      </c>
      <c r="BW352" t="s">
        <v>198</v>
      </c>
      <c r="BX352" t="s">
        <v>198</v>
      </c>
      <c r="BY352" t="s">
        <v>198</v>
      </c>
      <c r="BZ352" t="s">
        <v>198</v>
      </c>
      <c r="CA352" t="s">
        <v>198</v>
      </c>
      <c r="CB352" t="s">
        <v>204</v>
      </c>
      <c r="CC352" t="s">
        <v>204</v>
      </c>
      <c r="CD352" t="s">
        <v>204</v>
      </c>
      <c r="CE352" t="s">
        <v>204</v>
      </c>
      <c r="CF352" t="s">
        <v>204</v>
      </c>
      <c r="CG352" t="s">
        <v>204</v>
      </c>
      <c r="CH352" t="s">
        <v>204</v>
      </c>
      <c r="CI352" t="s">
        <v>204</v>
      </c>
      <c r="CJ352" t="s">
        <v>204</v>
      </c>
      <c r="CK352" t="s">
        <v>204</v>
      </c>
      <c r="CL352" t="s">
        <v>204</v>
      </c>
      <c r="CM352" t="s">
        <v>204</v>
      </c>
      <c r="CN352" t="s">
        <v>203</v>
      </c>
      <c r="CO352" t="s">
        <v>203</v>
      </c>
      <c r="CP352" t="s">
        <v>203</v>
      </c>
      <c r="CQ352" t="s">
        <v>203</v>
      </c>
      <c r="CR352" t="s">
        <v>203</v>
      </c>
      <c r="CS352" t="s">
        <v>203</v>
      </c>
      <c r="CT352" t="s">
        <v>203</v>
      </c>
      <c r="CU352" t="s">
        <v>203</v>
      </c>
      <c r="CV352">
        <v>0</v>
      </c>
      <c r="CW352">
        <v>0</v>
      </c>
      <c r="CX352" t="s">
        <v>198</v>
      </c>
      <c r="CY352" t="s">
        <v>198</v>
      </c>
      <c r="CZ352" t="s">
        <v>198</v>
      </c>
      <c r="DA352" t="s">
        <v>198</v>
      </c>
      <c r="DB352" t="s">
        <v>198</v>
      </c>
      <c r="DC352">
        <v>0</v>
      </c>
      <c r="DD352">
        <v>0</v>
      </c>
      <c r="DE352">
        <v>0</v>
      </c>
      <c r="DF352">
        <v>0</v>
      </c>
      <c r="DG352">
        <v>-35.3631166</v>
      </c>
      <c r="DH352">
        <v>149.1639735</v>
      </c>
      <c r="DI352" t="s">
        <v>360</v>
      </c>
      <c r="DJ352">
        <v>1.2</v>
      </c>
      <c r="DK352">
        <v>2</v>
      </c>
      <c r="DL352">
        <v>159.8</v>
      </c>
      <c r="DM352">
        <v>0</v>
      </c>
      <c r="DN352">
        <v>6</v>
      </c>
      <c r="DO352">
        <v>10</v>
      </c>
      <c r="DP352">
        <v>0</v>
      </c>
      <c r="DQ352">
        <v>255</v>
      </c>
      <c r="DR352">
        <v>255</v>
      </c>
      <c r="DS352">
        <v>255</v>
      </c>
      <c r="DT352">
        <v>255</v>
      </c>
      <c r="DU352">
        <v>255</v>
      </c>
      <c r="DV352">
        <v>255</v>
      </c>
      <c r="DW352">
        <v>255</v>
      </c>
      <c r="DX352" t="s">
        <v>206</v>
      </c>
      <c r="DY352" t="s">
        <v>206</v>
      </c>
      <c r="DZ352" t="s">
        <v>207</v>
      </c>
      <c r="EA352" t="s">
        <v>198</v>
      </c>
      <c r="EB352" t="s">
        <v>198</v>
      </c>
      <c r="EC352" t="s">
        <v>198</v>
      </c>
      <c r="ED352">
        <v>0</v>
      </c>
      <c r="EE352">
        <v>0</v>
      </c>
      <c r="EF352">
        <v>0</v>
      </c>
      <c r="EG352">
        <v>0</v>
      </c>
      <c r="EH352">
        <v>255</v>
      </c>
      <c r="EI352">
        <v>255</v>
      </c>
      <c r="EJ352">
        <v>255</v>
      </c>
      <c r="EK352">
        <v>255</v>
      </c>
      <c r="EL352">
        <v>255</v>
      </c>
      <c r="EM352">
        <v>255</v>
      </c>
      <c r="EN352">
        <v>255</v>
      </c>
      <c r="EO352">
        <v>255</v>
      </c>
      <c r="EP352">
        <v>255</v>
      </c>
      <c r="EQ352">
        <v>255</v>
      </c>
      <c r="ER352" t="s">
        <v>208</v>
      </c>
      <c r="ES352" t="s">
        <v>209</v>
      </c>
      <c r="ET352" t="s">
        <v>209</v>
      </c>
      <c r="EU352">
        <v>0</v>
      </c>
      <c r="EV352">
        <v>16.2</v>
      </c>
      <c r="EW352">
        <v>-114.7</v>
      </c>
      <c r="EX352">
        <v>-0.2</v>
      </c>
      <c r="EY352">
        <v>0</v>
      </c>
      <c r="EZ352">
        <v>0</v>
      </c>
      <c r="FA352">
        <v>0</v>
      </c>
      <c r="FB352" t="s">
        <v>198</v>
      </c>
      <c r="FC352" t="s">
        <v>198</v>
      </c>
      <c r="FD352" t="s">
        <v>198</v>
      </c>
      <c r="FE352" t="s">
        <v>198</v>
      </c>
      <c r="FF352" t="s">
        <v>198</v>
      </c>
      <c r="FG352" t="s">
        <v>198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 t="s">
        <v>203</v>
      </c>
      <c r="FP352" t="s">
        <v>203</v>
      </c>
      <c r="FQ352" t="s">
        <v>203</v>
      </c>
      <c r="FR352" t="s">
        <v>203</v>
      </c>
      <c r="FS352" t="s">
        <v>203</v>
      </c>
      <c r="FT352" t="s">
        <v>203</v>
      </c>
      <c r="FU352" t="s">
        <v>198</v>
      </c>
      <c r="FV352" t="s">
        <v>198</v>
      </c>
      <c r="FW352" t="s">
        <v>198</v>
      </c>
      <c r="FX352" t="s">
        <v>198</v>
      </c>
      <c r="FY352" t="s">
        <v>198</v>
      </c>
      <c r="FZ352" t="s">
        <v>198</v>
      </c>
      <c r="GA352">
        <v>31.2</v>
      </c>
      <c r="GB352">
        <v>31.2</v>
      </c>
      <c r="GC352" t="s">
        <v>203</v>
      </c>
      <c r="GD352">
        <v>0</v>
      </c>
      <c r="GE352">
        <v>504</v>
      </c>
      <c r="GF352">
        <v>0</v>
      </c>
      <c r="GG352">
        <v>0</v>
      </c>
      <c r="GH352">
        <v>0</v>
      </c>
      <c r="GI352">
        <v>1</v>
      </c>
      <c r="GJ352">
        <v>1</v>
      </c>
      <c r="GK352">
        <v>0</v>
      </c>
      <c r="GL352" t="s">
        <v>198</v>
      </c>
      <c r="GM352" t="s">
        <v>198</v>
      </c>
      <c r="GN352" t="s">
        <v>198</v>
      </c>
    </row>
    <row r="353" spans="1:196">
      <c r="A353" s="19">
        <v>46316.90796693287</v>
      </c>
      <c r="B353">
        <v>0</v>
      </c>
      <c r="C353">
        <v>0</v>
      </c>
      <c r="D353">
        <v>277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584.2</v>
      </c>
      <c r="N353">
        <v>-0.5</v>
      </c>
      <c r="O353">
        <v>0</v>
      </c>
      <c r="P353">
        <v>0</v>
      </c>
      <c r="Q353">
        <v>0</v>
      </c>
      <c r="R353">
        <v>0</v>
      </c>
      <c r="S353">
        <v>115.6</v>
      </c>
      <c r="T353" t="s">
        <v>485</v>
      </c>
      <c r="U353">
        <v>115.7</v>
      </c>
      <c r="V353">
        <v>1762727256586.8</v>
      </c>
      <c r="W353">
        <v>1</v>
      </c>
      <c r="X353" t="s">
        <v>197</v>
      </c>
      <c r="Y353">
        <v>0</v>
      </c>
      <c r="Z353">
        <v>98</v>
      </c>
      <c r="AA353">
        <v>278</v>
      </c>
      <c r="AB353" t="s">
        <v>197</v>
      </c>
      <c r="AC353" t="s">
        <v>198</v>
      </c>
      <c r="AD353" t="s">
        <v>199</v>
      </c>
      <c r="AE353">
        <v>0</v>
      </c>
      <c r="AF353">
        <v>45</v>
      </c>
      <c r="AG353">
        <v>255</v>
      </c>
      <c r="AH353">
        <v>0</v>
      </c>
      <c r="AI353">
        <v>0</v>
      </c>
      <c r="AJ353">
        <v>0</v>
      </c>
      <c r="AK353">
        <v>12.6</v>
      </c>
      <c r="AL353">
        <v>0</v>
      </c>
      <c r="AM353">
        <v>0</v>
      </c>
      <c r="AN353" t="s">
        <v>197</v>
      </c>
      <c r="AO353">
        <v>100</v>
      </c>
      <c r="AP353" t="s">
        <v>197</v>
      </c>
      <c r="AQ353" t="s">
        <v>200</v>
      </c>
      <c r="AR353">
        <v>1</v>
      </c>
      <c r="AS353">
        <v>0</v>
      </c>
      <c r="AT353" t="s">
        <v>699</v>
      </c>
      <c r="AU353" t="s">
        <v>699</v>
      </c>
      <c r="AV353" t="s">
        <v>202</v>
      </c>
      <c r="AW353" t="s">
        <v>203</v>
      </c>
      <c r="AX353" t="s">
        <v>203</v>
      </c>
      <c r="AY353" t="s">
        <v>203</v>
      </c>
      <c r="AZ353" t="s">
        <v>203</v>
      </c>
      <c r="BA353" t="s">
        <v>203</v>
      </c>
      <c r="BB353" t="s">
        <v>203</v>
      </c>
      <c r="BC353" t="s">
        <v>203</v>
      </c>
      <c r="BD353" t="s">
        <v>203</v>
      </c>
      <c r="BE353" t="s">
        <v>203</v>
      </c>
      <c r="BF353">
        <v>0</v>
      </c>
      <c r="BG353">
        <v>0.2</v>
      </c>
      <c r="BH353">
        <v>50</v>
      </c>
      <c r="BI353">
        <v>0</v>
      </c>
      <c r="BJ353" t="s">
        <v>198</v>
      </c>
      <c r="BK353" t="s">
        <v>198</v>
      </c>
      <c r="BL353" t="s">
        <v>198</v>
      </c>
      <c r="BM353" t="s">
        <v>198</v>
      </c>
      <c r="BN353" t="s">
        <v>198</v>
      </c>
      <c r="BO353" t="s">
        <v>198</v>
      </c>
      <c r="BP353" t="s">
        <v>198</v>
      </c>
      <c r="BQ353" t="s">
        <v>198</v>
      </c>
      <c r="BR353" t="s">
        <v>198</v>
      </c>
      <c r="BS353" t="s">
        <v>198</v>
      </c>
      <c r="BT353" t="s">
        <v>198</v>
      </c>
      <c r="BU353" t="s">
        <v>198</v>
      </c>
      <c r="BV353" t="s">
        <v>198</v>
      </c>
      <c r="BW353" t="s">
        <v>198</v>
      </c>
      <c r="BX353" t="s">
        <v>198</v>
      </c>
      <c r="BY353" t="s">
        <v>198</v>
      </c>
      <c r="BZ353" t="s">
        <v>198</v>
      </c>
      <c r="CA353" t="s">
        <v>198</v>
      </c>
      <c r="CB353" t="s">
        <v>204</v>
      </c>
      <c r="CC353" t="s">
        <v>204</v>
      </c>
      <c r="CD353" t="s">
        <v>204</v>
      </c>
      <c r="CE353" t="s">
        <v>204</v>
      </c>
      <c r="CF353" t="s">
        <v>204</v>
      </c>
      <c r="CG353" t="s">
        <v>204</v>
      </c>
      <c r="CH353" t="s">
        <v>204</v>
      </c>
      <c r="CI353" t="s">
        <v>204</v>
      </c>
      <c r="CJ353" t="s">
        <v>204</v>
      </c>
      <c r="CK353" t="s">
        <v>204</v>
      </c>
      <c r="CL353" t="s">
        <v>204</v>
      </c>
      <c r="CM353" t="s">
        <v>204</v>
      </c>
      <c r="CN353" t="s">
        <v>203</v>
      </c>
      <c r="CO353" t="s">
        <v>203</v>
      </c>
      <c r="CP353" t="s">
        <v>203</v>
      </c>
      <c r="CQ353" t="s">
        <v>203</v>
      </c>
      <c r="CR353" t="s">
        <v>203</v>
      </c>
      <c r="CS353" t="s">
        <v>203</v>
      </c>
      <c r="CT353" t="s">
        <v>203</v>
      </c>
      <c r="CU353" t="s">
        <v>203</v>
      </c>
      <c r="CV353">
        <v>0</v>
      </c>
      <c r="CW353">
        <v>0</v>
      </c>
      <c r="CX353" t="s">
        <v>198</v>
      </c>
      <c r="CY353" t="s">
        <v>198</v>
      </c>
      <c r="CZ353" t="s">
        <v>198</v>
      </c>
      <c r="DA353" t="s">
        <v>198</v>
      </c>
      <c r="DB353" t="s">
        <v>198</v>
      </c>
      <c r="DC353">
        <v>0</v>
      </c>
      <c r="DD353">
        <v>0</v>
      </c>
      <c r="DE353">
        <v>0</v>
      </c>
      <c r="DF353">
        <v>0</v>
      </c>
      <c r="DG353">
        <v>-35.3631166</v>
      </c>
      <c r="DH353">
        <v>149.1639735</v>
      </c>
      <c r="DI353" t="s">
        <v>360</v>
      </c>
      <c r="DJ353">
        <v>1.2</v>
      </c>
      <c r="DK353">
        <v>2</v>
      </c>
      <c r="DL353">
        <v>159.8</v>
      </c>
      <c r="DM353">
        <v>0</v>
      </c>
      <c r="DN353">
        <v>6</v>
      </c>
      <c r="DO353">
        <v>10</v>
      </c>
      <c r="DP353">
        <v>0</v>
      </c>
      <c r="DQ353">
        <v>255</v>
      </c>
      <c r="DR353">
        <v>255</v>
      </c>
      <c r="DS353">
        <v>255</v>
      </c>
      <c r="DT353">
        <v>255</v>
      </c>
      <c r="DU353">
        <v>255</v>
      </c>
      <c r="DV353">
        <v>255</v>
      </c>
      <c r="DW353">
        <v>255</v>
      </c>
      <c r="DX353" t="s">
        <v>206</v>
      </c>
      <c r="DY353" t="s">
        <v>206</v>
      </c>
      <c r="DZ353" t="s">
        <v>207</v>
      </c>
      <c r="EA353" t="s">
        <v>198</v>
      </c>
      <c r="EB353" t="s">
        <v>198</v>
      </c>
      <c r="EC353" t="s">
        <v>198</v>
      </c>
      <c r="ED353">
        <v>0</v>
      </c>
      <c r="EE353">
        <v>0</v>
      </c>
      <c r="EF353">
        <v>0</v>
      </c>
      <c r="EG353">
        <v>0</v>
      </c>
      <c r="EH353">
        <v>255</v>
      </c>
      <c r="EI353">
        <v>255</v>
      </c>
      <c r="EJ353">
        <v>255</v>
      </c>
      <c r="EK353">
        <v>255</v>
      </c>
      <c r="EL353">
        <v>255</v>
      </c>
      <c r="EM353">
        <v>255</v>
      </c>
      <c r="EN353">
        <v>255</v>
      </c>
      <c r="EO353">
        <v>255</v>
      </c>
      <c r="EP353">
        <v>255</v>
      </c>
      <c r="EQ353">
        <v>255</v>
      </c>
      <c r="ER353" t="s">
        <v>208</v>
      </c>
      <c r="ES353" t="s">
        <v>209</v>
      </c>
      <c r="ET353" t="s">
        <v>209</v>
      </c>
      <c r="EU353">
        <v>0</v>
      </c>
      <c r="EV353">
        <v>16.2</v>
      </c>
      <c r="EW353">
        <v>-114.7</v>
      </c>
      <c r="EX353">
        <v>-0.2</v>
      </c>
      <c r="EY353">
        <v>0</v>
      </c>
      <c r="EZ353">
        <v>0</v>
      </c>
      <c r="FA353">
        <v>0</v>
      </c>
      <c r="FB353" t="s">
        <v>198</v>
      </c>
      <c r="FC353" t="s">
        <v>198</v>
      </c>
      <c r="FD353" t="s">
        <v>198</v>
      </c>
      <c r="FE353" t="s">
        <v>198</v>
      </c>
      <c r="FF353" t="s">
        <v>198</v>
      </c>
      <c r="FG353" t="s">
        <v>198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 t="s">
        <v>203</v>
      </c>
      <c r="FP353" t="s">
        <v>203</v>
      </c>
      <c r="FQ353" t="s">
        <v>203</v>
      </c>
      <c r="FR353" t="s">
        <v>203</v>
      </c>
      <c r="FS353" t="s">
        <v>203</v>
      </c>
      <c r="FT353" t="s">
        <v>203</v>
      </c>
      <c r="FU353" t="s">
        <v>198</v>
      </c>
      <c r="FV353" t="s">
        <v>198</v>
      </c>
      <c r="FW353" t="s">
        <v>198</v>
      </c>
      <c r="FX353" t="s">
        <v>198</v>
      </c>
      <c r="FY353" t="s">
        <v>198</v>
      </c>
      <c r="FZ353" t="s">
        <v>198</v>
      </c>
      <c r="GA353">
        <v>31.2</v>
      </c>
      <c r="GB353">
        <v>31.2</v>
      </c>
      <c r="GC353" t="s">
        <v>203</v>
      </c>
      <c r="GD353">
        <v>0</v>
      </c>
      <c r="GE353">
        <v>504</v>
      </c>
      <c r="GF353">
        <v>0</v>
      </c>
      <c r="GG353">
        <v>0</v>
      </c>
      <c r="GH353">
        <v>0</v>
      </c>
      <c r="GI353">
        <v>1</v>
      </c>
      <c r="GJ353">
        <v>1</v>
      </c>
      <c r="GK353">
        <v>0</v>
      </c>
      <c r="GL353" t="s">
        <v>198</v>
      </c>
      <c r="GM353" t="s">
        <v>198</v>
      </c>
      <c r="GN353" t="s">
        <v>198</v>
      </c>
    </row>
    <row r="354" spans="1:196">
      <c r="A354" s="19">
        <v>46316.90797850695</v>
      </c>
      <c r="B354">
        <v>0</v>
      </c>
      <c r="C354">
        <v>0</v>
      </c>
      <c r="D354">
        <v>277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584.2</v>
      </c>
      <c r="N354">
        <v>-0.5</v>
      </c>
      <c r="O354">
        <v>0</v>
      </c>
      <c r="P354">
        <v>0</v>
      </c>
      <c r="Q354">
        <v>0</v>
      </c>
      <c r="R354">
        <v>0</v>
      </c>
      <c r="S354">
        <v>115.6</v>
      </c>
      <c r="T354" t="s">
        <v>485</v>
      </c>
      <c r="U354">
        <v>115.7</v>
      </c>
      <c r="V354">
        <v>1762727256586.8</v>
      </c>
      <c r="W354">
        <v>1</v>
      </c>
      <c r="X354" t="s">
        <v>197</v>
      </c>
      <c r="Y354">
        <v>0</v>
      </c>
      <c r="Z354">
        <v>98</v>
      </c>
      <c r="AA354">
        <v>278</v>
      </c>
      <c r="AB354" t="s">
        <v>197</v>
      </c>
      <c r="AC354" t="s">
        <v>198</v>
      </c>
      <c r="AD354" t="s">
        <v>199</v>
      </c>
      <c r="AE354">
        <v>0</v>
      </c>
      <c r="AF354">
        <v>45</v>
      </c>
      <c r="AG354">
        <v>255</v>
      </c>
      <c r="AH354">
        <v>0</v>
      </c>
      <c r="AI354">
        <v>0</v>
      </c>
      <c r="AJ354">
        <v>0</v>
      </c>
      <c r="AK354">
        <v>12.6</v>
      </c>
      <c r="AL354">
        <v>0</v>
      </c>
      <c r="AM354">
        <v>0</v>
      </c>
      <c r="AN354" t="s">
        <v>197</v>
      </c>
      <c r="AO354">
        <v>100</v>
      </c>
      <c r="AP354" t="s">
        <v>197</v>
      </c>
      <c r="AQ354" t="s">
        <v>200</v>
      </c>
      <c r="AR354">
        <v>1</v>
      </c>
      <c r="AS354">
        <v>0</v>
      </c>
      <c r="AT354" t="s">
        <v>700</v>
      </c>
      <c r="AU354" t="s">
        <v>700</v>
      </c>
      <c r="AV354" t="s">
        <v>202</v>
      </c>
      <c r="AW354" t="s">
        <v>203</v>
      </c>
      <c r="AX354" t="s">
        <v>203</v>
      </c>
      <c r="AY354" t="s">
        <v>203</v>
      </c>
      <c r="AZ354" t="s">
        <v>203</v>
      </c>
      <c r="BA354" t="s">
        <v>203</v>
      </c>
      <c r="BB354" t="s">
        <v>203</v>
      </c>
      <c r="BC354" t="s">
        <v>203</v>
      </c>
      <c r="BD354" t="s">
        <v>203</v>
      </c>
      <c r="BE354" t="s">
        <v>203</v>
      </c>
      <c r="BF354">
        <v>0</v>
      </c>
      <c r="BG354">
        <v>0.2</v>
      </c>
      <c r="BH354">
        <v>50</v>
      </c>
      <c r="BI354">
        <v>0</v>
      </c>
      <c r="BJ354" t="s">
        <v>198</v>
      </c>
      <c r="BK354" t="s">
        <v>198</v>
      </c>
      <c r="BL354" t="s">
        <v>198</v>
      </c>
      <c r="BM354" t="s">
        <v>198</v>
      </c>
      <c r="BN354" t="s">
        <v>198</v>
      </c>
      <c r="BO354" t="s">
        <v>198</v>
      </c>
      <c r="BP354" t="s">
        <v>198</v>
      </c>
      <c r="BQ354" t="s">
        <v>198</v>
      </c>
      <c r="BR354" t="s">
        <v>198</v>
      </c>
      <c r="BS354" t="s">
        <v>198</v>
      </c>
      <c r="BT354" t="s">
        <v>198</v>
      </c>
      <c r="BU354" t="s">
        <v>198</v>
      </c>
      <c r="BV354" t="s">
        <v>198</v>
      </c>
      <c r="BW354" t="s">
        <v>198</v>
      </c>
      <c r="BX354" t="s">
        <v>198</v>
      </c>
      <c r="BY354" t="s">
        <v>198</v>
      </c>
      <c r="BZ354" t="s">
        <v>198</v>
      </c>
      <c r="CA354" t="s">
        <v>198</v>
      </c>
      <c r="CB354" t="s">
        <v>204</v>
      </c>
      <c r="CC354" t="s">
        <v>204</v>
      </c>
      <c r="CD354" t="s">
        <v>204</v>
      </c>
      <c r="CE354" t="s">
        <v>204</v>
      </c>
      <c r="CF354" t="s">
        <v>204</v>
      </c>
      <c r="CG354" t="s">
        <v>204</v>
      </c>
      <c r="CH354" t="s">
        <v>204</v>
      </c>
      <c r="CI354" t="s">
        <v>204</v>
      </c>
      <c r="CJ354" t="s">
        <v>204</v>
      </c>
      <c r="CK354" t="s">
        <v>204</v>
      </c>
      <c r="CL354" t="s">
        <v>204</v>
      </c>
      <c r="CM354" t="s">
        <v>204</v>
      </c>
      <c r="CN354" t="s">
        <v>203</v>
      </c>
      <c r="CO354" t="s">
        <v>203</v>
      </c>
      <c r="CP354" t="s">
        <v>203</v>
      </c>
      <c r="CQ354" t="s">
        <v>203</v>
      </c>
      <c r="CR354" t="s">
        <v>203</v>
      </c>
      <c r="CS354" t="s">
        <v>203</v>
      </c>
      <c r="CT354" t="s">
        <v>203</v>
      </c>
      <c r="CU354" t="s">
        <v>203</v>
      </c>
      <c r="CV354">
        <v>0</v>
      </c>
      <c r="CW354">
        <v>0</v>
      </c>
      <c r="CX354" t="s">
        <v>198</v>
      </c>
      <c r="CY354" t="s">
        <v>198</v>
      </c>
      <c r="CZ354" t="s">
        <v>198</v>
      </c>
      <c r="DA354" t="s">
        <v>198</v>
      </c>
      <c r="DB354" t="s">
        <v>198</v>
      </c>
      <c r="DC354">
        <v>0</v>
      </c>
      <c r="DD354">
        <v>0</v>
      </c>
      <c r="DE354">
        <v>0</v>
      </c>
      <c r="DF354">
        <v>0</v>
      </c>
      <c r="DG354">
        <v>-35.3631166</v>
      </c>
      <c r="DH354">
        <v>149.1639735</v>
      </c>
      <c r="DI354" t="s">
        <v>360</v>
      </c>
      <c r="DJ354">
        <v>1.2</v>
      </c>
      <c r="DK354">
        <v>2</v>
      </c>
      <c r="DL354">
        <v>159.8</v>
      </c>
      <c r="DM354">
        <v>0</v>
      </c>
      <c r="DN354">
        <v>6</v>
      </c>
      <c r="DO354">
        <v>10</v>
      </c>
      <c r="DP354">
        <v>0</v>
      </c>
      <c r="DQ354">
        <v>255</v>
      </c>
      <c r="DR354">
        <v>255</v>
      </c>
      <c r="DS354">
        <v>255</v>
      </c>
      <c r="DT354">
        <v>255</v>
      </c>
      <c r="DU354">
        <v>255</v>
      </c>
      <c r="DV354">
        <v>255</v>
      </c>
      <c r="DW354">
        <v>255</v>
      </c>
      <c r="DX354" t="s">
        <v>206</v>
      </c>
      <c r="DY354" t="s">
        <v>206</v>
      </c>
      <c r="DZ354" t="s">
        <v>207</v>
      </c>
      <c r="EA354" t="s">
        <v>198</v>
      </c>
      <c r="EB354" t="s">
        <v>198</v>
      </c>
      <c r="EC354" t="s">
        <v>198</v>
      </c>
      <c r="ED354">
        <v>0</v>
      </c>
      <c r="EE354">
        <v>0</v>
      </c>
      <c r="EF354">
        <v>0</v>
      </c>
      <c r="EG354">
        <v>0</v>
      </c>
      <c r="EH354">
        <v>255</v>
      </c>
      <c r="EI354">
        <v>255</v>
      </c>
      <c r="EJ354">
        <v>255</v>
      </c>
      <c r="EK354">
        <v>255</v>
      </c>
      <c r="EL354">
        <v>255</v>
      </c>
      <c r="EM354">
        <v>255</v>
      </c>
      <c r="EN354">
        <v>255</v>
      </c>
      <c r="EO354">
        <v>255</v>
      </c>
      <c r="EP354">
        <v>255</v>
      </c>
      <c r="EQ354">
        <v>255</v>
      </c>
      <c r="ER354" t="s">
        <v>208</v>
      </c>
      <c r="ES354" t="s">
        <v>209</v>
      </c>
      <c r="ET354" t="s">
        <v>209</v>
      </c>
      <c r="EU354">
        <v>0</v>
      </c>
      <c r="EV354">
        <v>16.2</v>
      </c>
      <c r="EW354">
        <v>-114.7</v>
      </c>
      <c r="EX354">
        <v>-0.2</v>
      </c>
      <c r="EY354">
        <v>0</v>
      </c>
      <c r="EZ354">
        <v>0</v>
      </c>
      <c r="FA354">
        <v>0</v>
      </c>
      <c r="FB354" t="s">
        <v>198</v>
      </c>
      <c r="FC354" t="s">
        <v>198</v>
      </c>
      <c r="FD354" t="s">
        <v>198</v>
      </c>
      <c r="FE354" t="s">
        <v>198</v>
      </c>
      <c r="FF354" t="s">
        <v>198</v>
      </c>
      <c r="FG354" t="s">
        <v>198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 t="s">
        <v>203</v>
      </c>
      <c r="FP354" t="s">
        <v>203</v>
      </c>
      <c r="FQ354" t="s">
        <v>203</v>
      </c>
      <c r="FR354" t="s">
        <v>203</v>
      </c>
      <c r="FS354" t="s">
        <v>203</v>
      </c>
      <c r="FT354" t="s">
        <v>203</v>
      </c>
      <c r="FU354" t="s">
        <v>198</v>
      </c>
      <c r="FV354" t="s">
        <v>198</v>
      </c>
      <c r="FW354" t="s">
        <v>198</v>
      </c>
      <c r="FX354" t="s">
        <v>198</v>
      </c>
      <c r="FY354" t="s">
        <v>198</v>
      </c>
      <c r="FZ354" t="s">
        <v>198</v>
      </c>
      <c r="GA354">
        <v>31.2</v>
      </c>
      <c r="GB354">
        <v>31.2</v>
      </c>
      <c r="GC354" t="s">
        <v>203</v>
      </c>
      <c r="GD354">
        <v>0</v>
      </c>
      <c r="GE354">
        <v>504</v>
      </c>
      <c r="GF354">
        <v>0</v>
      </c>
      <c r="GG354">
        <v>0</v>
      </c>
      <c r="GH354">
        <v>0</v>
      </c>
      <c r="GI354">
        <v>1</v>
      </c>
      <c r="GJ354">
        <v>1</v>
      </c>
      <c r="GK354">
        <v>0</v>
      </c>
      <c r="GL354" t="s">
        <v>198</v>
      </c>
      <c r="GM354" t="s">
        <v>198</v>
      </c>
      <c r="GN354" t="s">
        <v>198</v>
      </c>
    </row>
    <row r="355" spans="1:196">
      <c r="A355" s="19">
        <v>46316.90799008102</v>
      </c>
      <c r="B355">
        <v>0</v>
      </c>
      <c r="C355">
        <v>0</v>
      </c>
      <c r="D355">
        <v>277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584.2</v>
      </c>
      <c r="N355">
        <v>-0.5</v>
      </c>
      <c r="O355">
        <v>0</v>
      </c>
      <c r="P355">
        <v>0</v>
      </c>
      <c r="Q355">
        <v>0</v>
      </c>
      <c r="R355">
        <v>0</v>
      </c>
      <c r="S355">
        <v>115.6</v>
      </c>
      <c r="T355" t="s">
        <v>485</v>
      </c>
      <c r="U355">
        <v>115.7</v>
      </c>
      <c r="V355">
        <v>1762727256586.8</v>
      </c>
      <c r="W355">
        <v>1</v>
      </c>
      <c r="X355" t="s">
        <v>197</v>
      </c>
      <c r="Y355">
        <v>0</v>
      </c>
      <c r="Z355">
        <v>98</v>
      </c>
      <c r="AA355">
        <v>278</v>
      </c>
      <c r="AB355" t="s">
        <v>197</v>
      </c>
      <c r="AC355" t="s">
        <v>198</v>
      </c>
      <c r="AD355" t="s">
        <v>199</v>
      </c>
      <c r="AE355">
        <v>0</v>
      </c>
      <c r="AF355">
        <v>45</v>
      </c>
      <c r="AG355">
        <v>255</v>
      </c>
      <c r="AH355">
        <v>0</v>
      </c>
      <c r="AI355">
        <v>0</v>
      </c>
      <c r="AJ355">
        <v>0</v>
      </c>
      <c r="AK355">
        <v>12.6</v>
      </c>
      <c r="AL355">
        <v>0</v>
      </c>
      <c r="AM355">
        <v>0</v>
      </c>
      <c r="AN355" t="s">
        <v>197</v>
      </c>
      <c r="AO355">
        <v>100</v>
      </c>
      <c r="AP355" t="s">
        <v>197</v>
      </c>
      <c r="AQ355" t="s">
        <v>200</v>
      </c>
      <c r="AR355">
        <v>1</v>
      </c>
      <c r="AS355">
        <v>0</v>
      </c>
      <c r="AT355" t="s">
        <v>701</v>
      </c>
      <c r="AU355" t="s">
        <v>701</v>
      </c>
      <c r="AV355" t="s">
        <v>202</v>
      </c>
      <c r="AW355" t="s">
        <v>203</v>
      </c>
      <c r="AX355" t="s">
        <v>203</v>
      </c>
      <c r="AY355" t="s">
        <v>203</v>
      </c>
      <c r="AZ355" t="s">
        <v>203</v>
      </c>
      <c r="BA355" t="s">
        <v>203</v>
      </c>
      <c r="BB355" t="s">
        <v>203</v>
      </c>
      <c r="BC355" t="s">
        <v>203</v>
      </c>
      <c r="BD355" t="s">
        <v>203</v>
      </c>
      <c r="BE355" t="s">
        <v>203</v>
      </c>
      <c r="BF355">
        <v>0</v>
      </c>
      <c r="BG355">
        <v>0.2</v>
      </c>
      <c r="BH355">
        <v>50</v>
      </c>
      <c r="BI355">
        <v>0</v>
      </c>
      <c r="BJ355" t="s">
        <v>198</v>
      </c>
      <c r="BK355" t="s">
        <v>198</v>
      </c>
      <c r="BL355" t="s">
        <v>198</v>
      </c>
      <c r="BM355" t="s">
        <v>198</v>
      </c>
      <c r="BN355" t="s">
        <v>198</v>
      </c>
      <c r="BO355" t="s">
        <v>198</v>
      </c>
      <c r="BP355" t="s">
        <v>198</v>
      </c>
      <c r="BQ355" t="s">
        <v>198</v>
      </c>
      <c r="BR355" t="s">
        <v>198</v>
      </c>
      <c r="BS355" t="s">
        <v>198</v>
      </c>
      <c r="BT355" t="s">
        <v>198</v>
      </c>
      <c r="BU355" t="s">
        <v>198</v>
      </c>
      <c r="BV355" t="s">
        <v>198</v>
      </c>
      <c r="BW355" t="s">
        <v>198</v>
      </c>
      <c r="BX355" t="s">
        <v>198</v>
      </c>
      <c r="BY355" t="s">
        <v>198</v>
      </c>
      <c r="BZ355" t="s">
        <v>198</v>
      </c>
      <c r="CA355" t="s">
        <v>198</v>
      </c>
      <c r="CB355" t="s">
        <v>204</v>
      </c>
      <c r="CC355" t="s">
        <v>204</v>
      </c>
      <c r="CD355" t="s">
        <v>204</v>
      </c>
      <c r="CE355" t="s">
        <v>204</v>
      </c>
      <c r="CF355" t="s">
        <v>204</v>
      </c>
      <c r="CG355" t="s">
        <v>204</v>
      </c>
      <c r="CH355" t="s">
        <v>204</v>
      </c>
      <c r="CI355" t="s">
        <v>204</v>
      </c>
      <c r="CJ355" t="s">
        <v>204</v>
      </c>
      <c r="CK355" t="s">
        <v>204</v>
      </c>
      <c r="CL355" t="s">
        <v>204</v>
      </c>
      <c r="CM355" t="s">
        <v>204</v>
      </c>
      <c r="CN355" t="s">
        <v>203</v>
      </c>
      <c r="CO355" t="s">
        <v>203</v>
      </c>
      <c r="CP355" t="s">
        <v>203</v>
      </c>
      <c r="CQ355" t="s">
        <v>203</v>
      </c>
      <c r="CR355" t="s">
        <v>203</v>
      </c>
      <c r="CS355" t="s">
        <v>203</v>
      </c>
      <c r="CT355" t="s">
        <v>203</v>
      </c>
      <c r="CU355" t="s">
        <v>203</v>
      </c>
      <c r="CV355">
        <v>0</v>
      </c>
      <c r="CW355">
        <v>0</v>
      </c>
      <c r="CX355" t="s">
        <v>198</v>
      </c>
      <c r="CY355" t="s">
        <v>198</v>
      </c>
      <c r="CZ355" t="s">
        <v>198</v>
      </c>
      <c r="DA355" t="s">
        <v>198</v>
      </c>
      <c r="DB355" t="s">
        <v>198</v>
      </c>
      <c r="DC355">
        <v>0</v>
      </c>
      <c r="DD355">
        <v>0</v>
      </c>
      <c r="DE355">
        <v>0</v>
      </c>
      <c r="DF355">
        <v>0</v>
      </c>
      <c r="DG355">
        <v>-35.3631166</v>
      </c>
      <c r="DH355">
        <v>149.1639735</v>
      </c>
      <c r="DI355" t="s">
        <v>360</v>
      </c>
      <c r="DJ355">
        <v>1.2</v>
      </c>
      <c r="DK355">
        <v>2</v>
      </c>
      <c r="DL355">
        <v>159.8</v>
      </c>
      <c r="DM355">
        <v>0</v>
      </c>
      <c r="DN355">
        <v>6</v>
      </c>
      <c r="DO355">
        <v>10</v>
      </c>
      <c r="DP355">
        <v>0</v>
      </c>
      <c r="DQ355">
        <v>255</v>
      </c>
      <c r="DR355">
        <v>255</v>
      </c>
      <c r="DS355">
        <v>255</v>
      </c>
      <c r="DT355">
        <v>255</v>
      </c>
      <c r="DU355">
        <v>255</v>
      </c>
      <c r="DV355">
        <v>255</v>
      </c>
      <c r="DW355">
        <v>255</v>
      </c>
      <c r="DX355" t="s">
        <v>206</v>
      </c>
      <c r="DY355" t="s">
        <v>206</v>
      </c>
      <c r="DZ355" t="s">
        <v>207</v>
      </c>
      <c r="EA355" t="s">
        <v>198</v>
      </c>
      <c r="EB355" t="s">
        <v>198</v>
      </c>
      <c r="EC355" t="s">
        <v>198</v>
      </c>
      <c r="ED355">
        <v>0</v>
      </c>
      <c r="EE355">
        <v>0</v>
      </c>
      <c r="EF355">
        <v>0</v>
      </c>
      <c r="EG355">
        <v>0</v>
      </c>
      <c r="EH355">
        <v>255</v>
      </c>
      <c r="EI355">
        <v>255</v>
      </c>
      <c r="EJ355">
        <v>255</v>
      </c>
      <c r="EK355">
        <v>255</v>
      </c>
      <c r="EL355">
        <v>255</v>
      </c>
      <c r="EM355">
        <v>255</v>
      </c>
      <c r="EN355">
        <v>255</v>
      </c>
      <c r="EO355">
        <v>255</v>
      </c>
      <c r="EP355">
        <v>255</v>
      </c>
      <c r="EQ355">
        <v>255</v>
      </c>
      <c r="ER355" t="s">
        <v>208</v>
      </c>
      <c r="ES355" t="s">
        <v>209</v>
      </c>
      <c r="ET355" t="s">
        <v>209</v>
      </c>
      <c r="EU355">
        <v>0</v>
      </c>
      <c r="EV355">
        <v>16.2</v>
      </c>
      <c r="EW355">
        <v>-114.7</v>
      </c>
      <c r="EX355">
        <v>-0.2</v>
      </c>
      <c r="EY355">
        <v>0</v>
      </c>
      <c r="EZ355">
        <v>0</v>
      </c>
      <c r="FA355">
        <v>0</v>
      </c>
      <c r="FB355" t="s">
        <v>198</v>
      </c>
      <c r="FC355" t="s">
        <v>198</v>
      </c>
      <c r="FD355" t="s">
        <v>198</v>
      </c>
      <c r="FE355" t="s">
        <v>198</v>
      </c>
      <c r="FF355" t="s">
        <v>198</v>
      </c>
      <c r="FG355" t="s">
        <v>198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 t="s">
        <v>203</v>
      </c>
      <c r="FP355" t="s">
        <v>203</v>
      </c>
      <c r="FQ355" t="s">
        <v>203</v>
      </c>
      <c r="FR355" t="s">
        <v>203</v>
      </c>
      <c r="FS355" t="s">
        <v>203</v>
      </c>
      <c r="FT355" t="s">
        <v>203</v>
      </c>
      <c r="FU355" t="s">
        <v>198</v>
      </c>
      <c r="FV355" t="s">
        <v>198</v>
      </c>
      <c r="FW355" t="s">
        <v>198</v>
      </c>
      <c r="FX355" t="s">
        <v>198</v>
      </c>
      <c r="FY355" t="s">
        <v>198</v>
      </c>
      <c r="FZ355" t="s">
        <v>198</v>
      </c>
      <c r="GA355">
        <v>31.2</v>
      </c>
      <c r="GB355">
        <v>31.2</v>
      </c>
      <c r="GC355" t="s">
        <v>203</v>
      </c>
      <c r="GD355">
        <v>0</v>
      </c>
      <c r="GE355">
        <v>504</v>
      </c>
      <c r="GF355">
        <v>0</v>
      </c>
      <c r="GG355">
        <v>0</v>
      </c>
      <c r="GH355">
        <v>0</v>
      </c>
      <c r="GI355">
        <v>1</v>
      </c>
      <c r="GJ355">
        <v>1</v>
      </c>
      <c r="GK355">
        <v>0</v>
      </c>
      <c r="GL355" t="s">
        <v>198</v>
      </c>
      <c r="GM355" t="s">
        <v>198</v>
      </c>
      <c r="GN355" t="s">
        <v>198</v>
      </c>
    </row>
    <row r="356" spans="1:196">
      <c r="A356" s="19">
        <v>46316.90800165509</v>
      </c>
      <c r="B356">
        <v>0</v>
      </c>
      <c r="C356">
        <v>0</v>
      </c>
      <c r="D356">
        <v>277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584.2</v>
      </c>
      <c r="N356">
        <v>-0.5</v>
      </c>
      <c r="O356">
        <v>0</v>
      </c>
      <c r="P356">
        <v>0</v>
      </c>
      <c r="Q356">
        <v>0</v>
      </c>
      <c r="R356">
        <v>0</v>
      </c>
      <c r="S356">
        <v>115.6</v>
      </c>
      <c r="T356" t="s">
        <v>485</v>
      </c>
      <c r="U356">
        <v>115.7</v>
      </c>
      <c r="V356">
        <v>1762727256586.8</v>
      </c>
      <c r="W356">
        <v>1</v>
      </c>
      <c r="X356" t="s">
        <v>197</v>
      </c>
      <c r="Y356">
        <v>0</v>
      </c>
      <c r="Z356">
        <v>98</v>
      </c>
      <c r="AA356">
        <v>278</v>
      </c>
      <c r="AB356" t="s">
        <v>197</v>
      </c>
      <c r="AC356" t="s">
        <v>198</v>
      </c>
      <c r="AD356" t="s">
        <v>199</v>
      </c>
      <c r="AE356">
        <v>0</v>
      </c>
      <c r="AF356">
        <v>45</v>
      </c>
      <c r="AG356">
        <v>255</v>
      </c>
      <c r="AH356">
        <v>0</v>
      </c>
      <c r="AI356">
        <v>0</v>
      </c>
      <c r="AJ356">
        <v>0</v>
      </c>
      <c r="AK356">
        <v>12.6</v>
      </c>
      <c r="AL356">
        <v>0</v>
      </c>
      <c r="AM356">
        <v>0</v>
      </c>
      <c r="AN356" t="s">
        <v>197</v>
      </c>
      <c r="AO356">
        <v>100</v>
      </c>
      <c r="AP356" t="s">
        <v>197</v>
      </c>
      <c r="AQ356" t="s">
        <v>200</v>
      </c>
      <c r="AR356">
        <v>1</v>
      </c>
      <c r="AS356">
        <v>0</v>
      </c>
      <c r="AT356" t="s">
        <v>702</v>
      </c>
      <c r="AU356" t="s">
        <v>702</v>
      </c>
      <c r="AV356" t="s">
        <v>202</v>
      </c>
      <c r="AW356" t="s">
        <v>203</v>
      </c>
      <c r="AX356" t="s">
        <v>203</v>
      </c>
      <c r="AY356" t="s">
        <v>203</v>
      </c>
      <c r="AZ356" t="s">
        <v>203</v>
      </c>
      <c r="BA356" t="s">
        <v>203</v>
      </c>
      <c r="BB356" t="s">
        <v>203</v>
      </c>
      <c r="BC356" t="s">
        <v>203</v>
      </c>
      <c r="BD356" t="s">
        <v>203</v>
      </c>
      <c r="BE356" t="s">
        <v>203</v>
      </c>
      <c r="BF356">
        <v>0</v>
      </c>
      <c r="BG356">
        <v>0.2</v>
      </c>
      <c r="BH356">
        <v>50</v>
      </c>
      <c r="BI356">
        <v>0</v>
      </c>
      <c r="BJ356" t="s">
        <v>198</v>
      </c>
      <c r="BK356" t="s">
        <v>198</v>
      </c>
      <c r="BL356" t="s">
        <v>198</v>
      </c>
      <c r="BM356" t="s">
        <v>198</v>
      </c>
      <c r="BN356" t="s">
        <v>198</v>
      </c>
      <c r="BO356" t="s">
        <v>198</v>
      </c>
      <c r="BP356" t="s">
        <v>198</v>
      </c>
      <c r="BQ356" t="s">
        <v>198</v>
      </c>
      <c r="BR356" t="s">
        <v>198</v>
      </c>
      <c r="BS356" t="s">
        <v>198</v>
      </c>
      <c r="BT356" t="s">
        <v>198</v>
      </c>
      <c r="BU356" t="s">
        <v>198</v>
      </c>
      <c r="BV356" t="s">
        <v>198</v>
      </c>
      <c r="BW356" t="s">
        <v>198</v>
      </c>
      <c r="BX356" t="s">
        <v>198</v>
      </c>
      <c r="BY356" t="s">
        <v>198</v>
      </c>
      <c r="BZ356" t="s">
        <v>198</v>
      </c>
      <c r="CA356" t="s">
        <v>198</v>
      </c>
      <c r="CB356" t="s">
        <v>204</v>
      </c>
      <c r="CC356" t="s">
        <v>204</v>
      </c>
      <c r="CD356" t="s">
        <v>204</v>
      </c>
      <c r="CE356" t="s">
        <v>204</v>
      </c>
      <c r="CF356" t="s">
        <v>204</v>
      </c>
      <c r="CG356" t="s">
        <v>204</v>
      </c>
      <c r="CH356" t="s">
        <v>204</v>
      </c>
      <c r="CI356" t="s">
        <v>204</v>
      </c>
      <c r="CJ356" t="s">
        <v>204</v>
      </c>
      <c r="CK356" t="s">
        <v>204</v>
      </c>
      <c r="CL356" t="s">
        <v>204</v>
      </c>
      <c r="CM356" t="s">
        <v>204</v>
      </c>
      <c r="CN356" t="s">
        <v>203</v>
      </c>
      <c r="CO356" t="s">
        <v>203</v>
      </c>
      <c r="CP356" t="s">
        <v>203</v>
      </c>
      <c r="CQ356" t="s">
        <v>203</v>
      </c>
      <c r="CR356" t="s">
        <v>203</v>
      </c>
      <c r="CS356" t="s">
        <v>203</v>
      </c>
      <c r="CT356" t="s">
        <v>203</v>
      </c>
      <c r="CU356" t="s">
        <v>203</v>
      </c>
      <c r="CV356">
        <v>0</v>
      </c>
      <c r="CW356">
        <v>0</v>
      </c>
      <c r="CX356" t="s">
        <v>198</v>
      </c>
      <c r="CY356" t="s">
        <v>198</v>
      </c>
      <c r="CZ356" t="s">
        <v>198</v>
      </c>
      <c r="DA356" t="s">
        <v>198</v>
      </c>
      <c r="DB356" t="s">
        <v>198</v>
      </c>
      <c r="DC356">
        <v>0</v>
      </c>
      <c r="DD356">
        <v>0</v>
      </c>
      <c r="DE356">
        <v>0</v>
      </c>
      <c r="DF356">
        <v>0</v>
      </c>
      <c r="DG356">
        <v>-35.3631166</v>
      </c>
      <c r="DH356">
        <v>149.1639735</v>
      </c>
      <c r="DI356" t="s">
        <v>360</v>
      </c>
      <c r="DJ356">
        <v>1.2</v>
      </c>
      <c r="DK356">
        <v>2</v>
      </c>
      <c r="DL356">
        <v>159.8</v>
      </c>
      <c r="DM356">
        <v>0</v>
      </c>
      <c r="DN356">
        <v>6</v>
      </c>
      <c r="DO356">
        <v>10</v>
      </c>
      <c r="DP356">
        <v>0</v>
      </c>
      <c r="DQ356">
        <v>255</v>
      </c>
      <c r="DR356">
        <v>255</v>
      </c>
      <c r="DS356">
        <v>255</v>
      </c>
      <c r="DT356">
        <v>255</v>
      </c>
      <c r="DU356">
        <v>255</v>
      </c>
      <c r="DV356">
        <v>255</v>
      </c>
      <c r="DW356">
        <v>255</v>
      </c>
      <c r="DX356" t="s">
        <v>206</v>
      </c>
      <c r="DY356" t="s">
        <v>206</v>
      </c>
      <c r="DZ356" t="s">
        <v>207</v>
      </c>
      <c r="EA356" t="s">
        <v>198</v>
      </c>
      <c r="EB356" t="s">
        <v>198</v>
      </c>
      <c r="EC356" t="s">
        <v>198</v>
      </c>
      <c r="ED356">
        <v>0</v>
      </c>
      <c r="EE356">
        <v>0</v>
      </c>
      <c r="EF356">
        <v>0</v>
      </c>
      <c r="EG356">
        <v>0</v>
      </c>
      <c r="EH356">
        <v>255</v>
      </c>
      <c r="EI356">
        <v>255</v>
      </c>
      <c r="EJ356">
        <v>255</v>
      </c>
      <c r="EK356">
        <v>255</v>
      </c>
      <c r="EL356">
        <v>255</v>
      </c>
      <c r="EM356">
        <v>255</v>
      </c>
      <c r="EN356">
        <v>255</v>
      </c>
      <c r="EO356">
        <v>255</v>
      </c>
      <c r="EP356">
        <v>255</v>
      </c>
      <c r="EQ356">
        <v>255</v>
      </c>
      <c r="ER356" t="s">
        <v>208</v>
      </c>
      <c r="ES356" t="s">
        <v>209</v>
      </c>
      <c r="ET356" t="s">
        <v>209</v>
      </c>
      <c r="EU356">
        <v>0</v>
      </c>
      <c r="EV356">
        <v>16.2</v>
      </c>
      <c r="EW356">
        <v>-114.7</v>
      </c>
      <c r="EX356">
        <v>-0.2</v>
      </c>
      <c r="EY356">
        <v>0</v>
      </c>
      <c r="EZ356">
        <v>0</v>
      </c>
      <c r="FA356">
        <v>0</v>
      </c>
      <c r="FB356" t="s">
        <v>198</v>
      </c>
      <c r="FC356" t="s">
        <v>198</v>
      </c>
      <c r="FD356" t="s">
        <v>198</v>
      </c>
      <c r="FE356" t="s">
        <v>198</v>
      </c>
      <c r="FF356" t="s">
        <v>198</v>
      </c>
      <c r="FG356" t="s">
        <v>198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 t="s">
        <v>203</v>
      </c>
      <c r="FP356" t="s">
        <v>203</v>
      </c>
      <c r="FQ356" t="s">
        <v>203</v>
      </c>
      <c r="FR356" t="s">
        <v>203</v>
      </c>
      <c r="FS356" t="s">
        <v>203</v>
      </c>
      <c r="FT356" t="s">
        <v>203</v>
      </c>
      <c r="FU356" t="s">
        <v>198</v>
      </c>
      <c r="FV356" t="s">
        <v>198</v>
      </c>
      <c r="FW356" t="s">
        <v>198</v>
      </c>
      <c r="FX356" t="s">
        <v>198</v>
      </c>
      <c r="FY356" t="s">
        <v>198</v>
      </c>
      <c r="FZ356" t="s">
        <v>198</v>
      </c>
      <c r="GA356">
        <v>31.2</v>
      </c>
      <c r="GB356">
        <v>31.2</v>
      </c>
      <c r="GC356" t="s">
        <v>203</v>
      </c>
      <c r="GD356">
        <v>0</v>
      </c>
      <c r="GE356">
        <v>504</v>
      </c>
      <c r="GF356">
        <v>0</v>
      </c>
      <c r="GG356">
        <v>0</v>
      </c>
      <c r="GH356">
        <v>0</v>
      </c>
      <c r="GI356">
        <v>1</v>
      </c>
      <c r="GJ356">
        <v>1</v>
      </c>
      <c r="GK356">
        <v>0</v>
      </c>
      <c r="GL356" t="s">
        <v>198</v>
      </c>
      <c r="GM356" t="s">
        <v>198</v>
      </c>
      <c r="GN356" t="s">
        <v>198</v>
      </c>
    </row>
    <row r="357" spans="1:196">
      <c r="A357" s="19">
        <v>46316.90801321759</v>
      </c>
      <c r="B357">
        <v>0</v>
      </c>
      <c r="C357">
        <v>0</v>
      </c>
      <c r="D357">
        <v>277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584.2</v>
      </c>
      <c r="N357">
        <v>-0.5</v>
      </c>
      <c r="O357">
        <v>0</v>
      </c>
      <c r="P357">
        <v>0</v>
      </c>
      <c r="Q357">
        <v>0</v>
      </c>
      <c r="R357">
        <v>0</v>
      </c>
      <c r="S357">
        <v>115.6</v>
      </c>
      <c r="T357" t="s">
        <v>485</v>
      </c>
      <c r="U357">
        <v>115.7</v>
      </c>
      <c r="V357">
        <v>1762727256586.8</v>
      </c>
      <c r="W357">
        <v>1</v>
      </c>
      <c r="X357" t="s">
        <v>197</v>
      </c>
      <c r="Y357">
        <v>0</v>
      </c>
      <c r="Z357">
        <v>98</v>
      </c>
      <c r="AA357">
        <v>278</v>
      </c>
      <c r="AB357" t="s">
        <v>197</v>
      </c>
      <c r="AC357" t="s">
        <v>198</v>
      </c>
      <c r="AD357" t="s">
        <v>199</v>
      </c>
      <c r="AE357">
        <v>0</v>
      </c>
      <c r="AF357">
        <v>45</v>
      </c>
      <c r="AG357">
        <v>255</v>
      </c>
      <c r="AH357">
        <v>0</v>
      </c>
      <c r="AI357">
        <v>0</v>
      </c>
      <c r="AJ357">
        <v>0</v>
      </c>
      <c r="AK357">
        <v>12.6</v>
      </c>
      <c r="AL357">
        <v>0</v>
      </c>
      <c r="AM357">
        <v>0</v>
      </c>
      <c r="AN357" t="s">
        <v>197</v>
      </c>
      <c r="AO357">
        <v>100</v>
      </c>
      <c r="AP357" t="s">
        <v>197</v>
      </c>
      <c r="AQ357" t="s">
        <v>200</v>
      </c>
      <c r="AR357">
        <v>1</v>
      </c>
      <c r="AS357">
        <v>0</v>
      </c>
      <c r="AT357" t="s">
        <v>703</v>
      </c>
      <c r="AU357" t="s">
        <v>703</v>
      </c>
      <c r="AV357" t="s">
        <v>202</v>
      </c>
      <c r="AW357" t="s">
        <v>203</v>
      </c>
      <c r="AX357" t="s">
        <v>203</v>
      </c>
      <c r="AY357" t="s">
        <v>203</v>
      </c>
      <c r="AZ357" t="s">
        <v>203</v>
      </c>
      <c r="BA357" t="s">
        <v>203</v>
      </c>
      <c r="BB357" t="s">
        <v>203</v>
      </c>
      <c r="BC357" t="s">
        <v>203</v>
      </c>
      <c r="BD357" t="s">
        <v>203</v>
      </c>
      <c r="BE357" t="s">
        <v>203</v>
      </c>
      <c r="BF357">
        <v>0</v>
      </c>
      <c r="BG357">
        <v>0.2</v>
      </c>
      <c r="BH357">
        <v>50</v>
      </c>
      <c r="BI357">
        <v>0</v>
      </c>
      <c r="BJ357" t="s">
        <v>198</v>
      </c>
      <c r="BK357" t="s">
        <v>198</v>
      </c>
      <c r="BL357" t="s">
        <v>198</v>
      </c>
      <c r="BM357" t="s">
        <v>198</v>
      </c>
      <c r="BN357" t="s">
        <v>198</v>
      </c>
      <c r="BO357" t="s">
        <v>198</v>
      </c>
      <c r="BP357" t="s">
        <v>198</v>
      </c>
      <c r="BQ357" t="s">
        <v>198</v>
      </c>
      <c r="BR357" t="s">
        <v>198</v>
      </c>
      <c r="BS357" t="s">
        <v>198</v>
      </c>
      <c r="BT357" t="s">
        <v>198</v>
      </c>
      <c r="BU357" t="s">
        <v>198</v>
      </c>
      <c r="BV357" t="s">
        <v>198</v>
      </c>
      <c r="BW357" t="s">
        <v>198</v>
      </c>
      <c r="BX357" t="s">
        <v>198</v>
      </c>
      <c r="BY357" t="s">
        <v>198</v>
      </c>
      <c r="BZ357" t="s">
        <v>198</v>
      </c>
      <c r="CA357" t="s">
        <v>198</v>
      </c>
      <c r="CB357" t="s">
        <v>204</v>
      </c>
      <c r="CC357" t="s">
        <v>204</v>
      </c>
      <c r="CD357" t="s">
        <v>204</v>
      </c>
      <c r="CE357" t="s">
        <v>204</v>
      </c>
      <c r="CF357" t="s">
        <v>204</v>
      </c>
      <c r="CG357" t="s">
        <v>204</v>
      </c>
      <c r="CH357" t="s">
        <v>204</v>
      </c>
      <c r="CI357" t="s">
        <v>204</v>
      </c>
      <c r="CJ357" t="s">
        <v>204</v>
      </c>
      <c r="CK357" t="s">
        <v>204</v>
      </c>
      <c r="CL357" t="s">
        <v>204</v>
      </c>
      <c r="CM357" t="s">
        <v>204</v>
      </c>
      <c r="CN357" t="s">
        <v>203</v>
      </c>
      <c r="CO357" t="s">
        <v>203</v>
      </c>
      <c r="CP357" t="s">
        <v>203</v>
      </c>
      <c r="CQ357" t="s">
        <v>203</v>
      </c>
      <c r="CR357" t="s">
        <v>203</v>
      </c>
      <c r="CS357" t="s">
        <v>203</v>
      </c>
      <c r="CT357" t="s">
        <v>203</v>
      </c>
      <c r="CU357" t="s">
        <v>203</v>
      </c>
      <c r="CV357">
        <v>0</v>
      </c>
      <c r="CW357">
        <v>0</v>
      </c>
      <c r="CX357" t="s">
        <v>198</v>
      </c>
      <c r="CY357" t="s">
        <v>198</v>
      </c>
      <c r="CZ357" t="s">
        <v>198</v>
      </c>
      <c r="DA357" t="s">
        <v>198</v>
      </c>
      <c r="DB357" t="s">
        <v>198</v>
      </c>
      <c r="DC357">
        <v>0</v>
      </c>
      <c r="DD357">
        <v>0</v>
      </c>
      <c r="DE357">
        <v>0</v>
      </c>
      <c r="DF357">
        <v>0</v>
      </c>
      <c r="DG357">
        <v>-35.3631166</v>
      </c>
      <c r="DH357">
        <v>149.1639735</v>
      </c>
      <c r="DI357" t="s">
        <v>360</v>
      </c>
      <c r="DJ357">
        <v>1.2</v>
      </c>
      <c r="DK357">
        <v>2</v>
      </c>
      <c r="DL357">
        <v>159.8</v>
      </c>
      <c r="DM357">
        <v>0</v>
      </c>
      <c r="DN357">
        <v>6</v>
      </c>
      <c r="DO357">
        <v>10</v>
      </c>
      <c r="DP357">
        <v>0</v>
      </c>
      <c r="DQ357">
        <v>255</v>
      </c>
      <c r="DR357">
        <v>255</v>
      </c>
      <c r="DS357">
        <v>255</v>
      </c>
      <c r="DT357">
        <v>255</v>
      </c>
      <c r="DU357">
        <v>255</v>
      </c>
      <c r="DV357">
        <v>255</v>
      </c>
      <c r="DW357">
        <v>255</v>
      </c>
      <c r="DX357" t="s">
        <v>206</v>
      </c>
      <c r="DY357" t="s">
        <v>206</v>
      </c>
      <c r="DZ357" t="s">
        <v>207</v>
      </c>
      <c r="EA357" t="s">
        <v>198</v>
      </c>
      <c r="EB357" t="s">
        <v>198</v>
      </c>
      <c r="EC357" t="s">
        <v>198</v>
      </c>
      <c r="ED357">
        <v>0</v>
      </c>
      <c r="EE357">
        <v>0</v>
      </c>
      <c r="EF357">
        <v>0</v>
      </c>
      <c r="EG357">
        <v>0</v>
      </c>
      <c r="EH357">
        <v>255</v>
      </c>
      <c r="EI357">
        <v>255</v>
      </c>
      <c r="EJ357">
        <v>255</v>
      </c>
      <c r="EK357">
        <v>255</v>
      </c>
      <c r="EL357">
        <v>255</v>
      </c>
      <c r="EM357">
        <v>255</v>
      </c>
      <c r="EN357">
        <v>255</v>
      </c>
      <c r="EO357">
        <v>255</v>
      </c>
      <c r="EP357">
        <v>255</v>
      </c>
      <c r="EQ357">
        <v>255</v>
      </c>
      <c r="ER357" t="s">
        <v>208</v>
      </c>
      <c r="ES357" t="s">
        <v>209</v>
      </c>
      <c r="ET357" t="s">
        <v>209</v>
      </c>
      <c r="EU357">
        <v>0</v>
      </c>
      <c r="EV357">
        <v>16.2</v>
      </c>
      <c r="EW357">
        <v>-114.7</v>
      </c>
      <c r="EX357">
        <v>-0.2</v>
      </c>
      <c r="EY357">
        <v>0</v>
      </c>
      <c r="EZ357">
        <v>0</v>
      </c>
      <c r="FA357">
        <v>0</v>
      </c>
      <c r="FB357" t="s">
        <v>198</v>
      </c>
      <c r="FC357" t="s">
        <v>198</v>
      </c>
      <c r="FD357" t="s">
        <v>198</v>
      </c>
      <c r="FE357" t="s">
        <v>198</v>
      </c>
      <c r="FF357" t="s">
        <v>198</v>
      </c>
      <c r="FG357" t="s">
        <v>198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203</v>
      </c>
      <c r="FP357" t="s">
        <v>203</v>
      </c>
      <c r="FQ357" t="s">
        <v>203</v>
      </c>
      <c r="FR357" t="s">
        <v>203</v>
      </c>
      <c r="FS357" t="s">
        <v>203</v>
      </c>
      <c r="FT357" t="s">
        <v>203</v>
      </c>
      <c r="FU357" t="s">
        <v>198</v>
      </c>
      <c r="FV357" t="s">
        <v>198</v>
      </c>
      <c r="FW357" t="s">
        <v>198</v>
      </c>
      <c r="FX357" t="s">
        <v>198</v>
      </c>
      <c r="FY357" t="s">
        <v>198</v>
      </c>
      <c r="FZ357" t="s">
        <v>198</v>
      </c>
      <c r="GA357">
        <v>31.2</v>
      </c>
      <c r="GB357">
        <v>31.2</v>
      </c>
      <c r="GC357" t="s">
        <v>203</v>
      </c>
      <c r="GD357">
        <v>0</v>
      </c>
      <c r="GE357">
        <v>504</v>
      </c>
      <c r="GF357">
        <v>0</v>
      </c>
      <c r="GG357">
        <v>0</v>
      </c>
      <c r="GH357">
        <v>0</v>
      </c>
      <c r="GI357">
        <v>1</v>
      </c>
      <c r="GJ357">
        <v>1</v>
      </c>
      <c r="GK357">
        <v>0</v>
      </c>
      <c r="GL357" t="s">
        <v>198</v>
      </c>
      <c r="GM357" t="s">
        <v>198</v>
      </c>
      <c r="GN357" t="s">
        <v>198</v>
      </c>
    </row>
    <row r="358" spans="1:196">
      <c r="A358" s="19">
        <v>46316.90802480324</v>
      </c>
      <c r="B358">
        <v>0</v>
      </c>
      <c r="C358">
        <v>0</v>
      </c>
      <c r="D358">
        <v>277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584.2</v>
      </c>
      <c r="N358">
        <v>-0.5</v>
      </c>
      <c r="O358">
        <v>0</v>
      </c>
      <c r="P358">
        <v>0</v>
      </c>
      <c r="Q358">
        <v>0</v>
      </c>
      <c r="R358">
        <v>0</v>
      </c>
      <c r="S358">
        <v>115.6</v>
      </c>
      <c r="T358" t="s">
        <v>485</v>
      </c>
      <c r="U358">
        <v>115.7</v>
      </c>
      <c r="V358">
        <v>1762727256586.8</v>
      </c>
      <c r="W358">
        <v>1</v>
      </c>
      <c r="X358" t="s">
        <v>197</v>
      </c>
      <c r="Y358">
        <v>0</v>
      </c>
      <c r="Z358">
        <v>98</v>
      </c>
      <c r="AA358">
        <v>278</v>
      </c>
      <c r="AB358" t="s">
        <v>197</v>
      </c>
      <c r="AC358" t="s">
        <v>198</v>
      </c>
      <c r="AD358" t="s">
        <v>199</v>
      </c>
      <c r="AE358">
        <v>0</v>
      </c>
      <c r="AF358">
        <v>45</v>
      </c>
      <c r="AG358">
        <v>255</v>
      </c>
      <c r="AH358">
        <v>0</v>
      </c>
      <c r="AI358">
        <v>0</v>
      </c>
      <c r="AJ358">
        <v>0</v>
      </c>
      <c r="AK358">
        <v>12.6</v>
      </c>
      <c r="AL358">
        <v>0</v>
      </c>
      <c r="AM358">
        <v>0</v>
      </c>
      <c r="AN358" t="s">
        <v>197</v>
      </c>
      <c r="AO358">
        <v>100</v>
      </c>
      <c r="AP358" t="s">
        <v>197</v>
      </c>
      <c r="AQ358" t="s">
        <v>200</v>
      </c>
      <c r="AR358">
        <v>1</v>
      </c>
      <c r="AS358">
        <v>0</v>
      </c>
      <c r="AT358" t="s">
        <v>704</v>
      </c>
      <c r="AU358" t="s">
        <v>704</v>
      </c>
      <c r="AV358" t="s">
        <v>202</v>
      </c>
      <c r="AW358" t="s">
        <v>203</v>
      </c>
      <c r="AX358" t="s">
        <v>203</v>
      </c>
      <c r="AY358" t="s">
        <v>203</v>
      </c>
      <c r="AZ358" t="s">
        <v>203</v>
      </c>
      <c r="BA358" t="s">
        <v>203</v>
      </c>
      <c r="BB358" t="s">
        <v>203</v>
      </c>
      <c r="BC358" t="s">
        <v>203</v>
      </c>
      <c r="BD358" t="s">
        <v>203</v>
      </c>
      <c r="BE358" t="s">
        <v>203</v>
      </c>
      <c r="BF358">
        <v>0</v>
      </c>
      <c r="BG358">
        <v>0.2</v>
      </c>
      <c r="BH358">
        <v>50</v>
      </c>
      <c r="BI358">
        <v>0</v>
      </c>
      <c r="BJ358" t="s">
        <v>198</v>
      </c>
      <c r="BK358" t="s">
        <v>198</v>
      </c>
      <c r="BL358" t="s">
        <v>198</v>
      </c>
      <c r="BM358" t="s">
        <v>198</v>
      </c>
      <c r="BN358" t="s">
        <v>198</v>
      </c>
      <c r="BO358" t="s">
        <v>198</v>
      </c>
      <c r="BP358" t="s">
        <v>198</v>
      </c>
      <c r="BQ358" t="s">
        <v>198</v>
      </c>
      <c r="BR358" t="s">
        <v>198</v>
      </c>
      <c r="BS358" t="s">
        <v>198</v>
      </c>
      <c r="BT358" t="s">
        <v>198</v>
      </c>
      <c r="BU358" t="s">
        <v>198</v>
      </c>
      <c r="BV358" t="s">
        <v>198</v>
      </c>
      <c r="BW358" t="s">
        <v>198</v>
      </c>
      <c r="BX358" t="s">
        <v>198</v>
      </c>
      <c r="BY358" t="s">
        <v>198</v>
      </c>
      <c r="BZ358" t="s">
        <v>198</v>
      </c>
      <c r="CA358" t="s">
        <v>198</v>
      </c>
      <c r="CB358" t="s">
        <v>204</v>
      </c>
      <c r="CC358" t="s">
        <v>204</v>
      </c>
      <c r="CD358" t="s">
        <v>204</v>
      </c>
      <c r="CE358" t="s">
        <v>204</v>
      </c>
      <c r="CF358" t="s">
        <v>204</v>
      </c>
      <c r="CG358" t="s">
        <v>204</v>
      </c>
      <c r="CH358" t="s">
        <v>204</v>
      </c>
      <c r="CI358" t="s">
        <v>204</v>
      </c>
      <c r="CJ358" t="s">
        <v>204</v>
      </c>
      <c r="CK358" t="s">
        <v>204</v>
      </c>
      <c r="CL358" t="s">
        <v>204</v>
      </c>
      <c r="CM358" t="s">
        <v>204</v>
      </c>
      <c r="CN358" t="s">
        <v>203</v>
      </c>
      <c r="CO358" t="s">
        <v>203</v>
      </c>
      <c r="CP358" t="s">
        <v>203</v>
      </c>
      <c r="CQ358" t="s">
        <v>203</v>
      </c>
      <c r="CR358" t="s">
        <v>203</v>
      </c>
      <c r="CS358" t="s">
        <v>203</v>
      </c>
      <c r="CT358" t="s">
        <v>203</v>
      </c>
      <c r="CU358" t="s">
        <v>203</v>
      </c>
      <c r="CV358">
        <v>0</v>
      </c>
      <c r="CW358">
        <v>0</v>
      </c>
      <c r="CX358" t="s">
        <v>198</v>
      </c>
      <c r="CY358" t="s">
        <v>198</v>
      </c>
      <c r="CZ358" t="s">
        <v>198</v>
      </c>
      <c r="DA358" t="s">
        <v>198</v>
      </c>
      <c r="DB358" t="s">
        <v>198</v>
      </c>
      <c r="DC358">
        <v>0</v>
      </c>
      <c r="DD358">
        <v>0</v>
      </c>
      <c r="DE358">
        <v>0</v>
      </c>
      <c r="DF358">
        <v>0</v>
      </c>
      <c r="DG358">
        <v>-35.3631166</v>
      </c>
      <c r="DH358">
        <v>149.1639735</v>
      </c>
      <c r="DI358" t="s">
        <v>360</v>
      </c>
      <c r="DJ358">
        <v>1.2</v>
      </c>
      <c r="DK358">
        <v>2</v>
      </c>
      <c r="DL358">
        <v>159.8</v>
      </c>
      <c r="DM358">
        <v>0</v>
      </c>
      <c r="DN358">
        <v>6</v>
      </c>
      <c r="DO358">
        <v>10</v>
      </c>
      <c r="DP358">
        <v>0</v>
      </c>
      <c r="DQ358">
        <v>255</v>
      </c>
      <c r="DR358">
        <v>255</v>
      </c>
      <c r="DS358">
        <v>255</v>
      </c>
      <c r="DT358">
        <v>255</v>
      </c>
      <c r="DU358">
        <v>255</v>
      </c>
      <c r="DV358">
        <v>255</v>
      </c>
      <c r="DW358">
        <v>255</v>
      </c>
      <c r="DX358" t="s">
        <v>206</v>
      </c>
      <c r="DY358" t="s">
        <v>206</v>
      </c>
      <c r="DZ358" t="s">
        <v>207</v>
      </c>
      <c r="EA358" t="s">
        <v>198</v>
      </c>
      <c r="EB358" t="s">
        <v>198</v>
      </c>
      <c r="EC358" t="s">
        <v>198</v>
      </c>
      <c r="ED358">
        <v>0</v>
      </c>
      <c r="EE358">
        <v>0</v>
      </c>
      <c r="EF358">
        <v>0</v>
      </c>
      <c r="EG358">
        <v>0</v>
      </c>
      <c r="EH358">
        <v>255</v>
      </c>
      <c r="EI358">
        <v>255</v>
      </c>
      <c r="EJ358">
        <v>255</v>
      </c>
      <c r="EK358">
        <v>255</v>
      </c>
      <c r="EL358">
        <v>255</v>
      </c>
      <c r="EM358">
        <v>255</v>
      </c>
      <c r="EN358">
        <v>255</v>
      </c>
      <c r="EO358">
        <v>255</v>
      </c>
      <c r="EP358">
        <v>255</v>
      </c>
      <c r="EQ358">
        <v>255</v>
      </c>
      <c r="ER358" t="s">
        <v>208</v>
      </c>
      <c r="ES358" t="s">
        <v>209</v>
      </c>
      <c r="ET358" t="s">
        <v>209</v>
      </c>
      <c r="EU358">
        <v>0</v>
      </c>
      <c r="EV358">
        <v>16.2</v>
      </c>
      <c r="EW358">
        <v>-114.7</v>
      </c>
      <c r="EX358">
        <v>-0.2</v>
      </c>
      <c r="EY358">
        <v>0</v>
      </c>
      <c r="EZ358">
        <v>0</v>
      </c>
      <c r="FA358">
        <v>0</v>
      </c>
      <c r="FB358" t="s">
        <v>198</v>
      </c>
      <c r="FC358" t="s">
        <v>198</v>
      </c>
      <c r="FD358" t="s">
        <v>198</v>
      </c>
      <c r="FE358" t="s">
        <v>198</v>
      </c>
      <c r="FF358" t="s">
        <v>198</v>
      </c>
      <c r="FG358" t="s">
        <v>198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 t="s">
        <v>203</v>
      </c>
      <c r="FP358" t="s">
        <v>203</v>
      </c>
      <c r="FQ358" t="s">
        <v>203</v>
      </c>
      <c r="FR358" t="s">
        <v>203</v>
      </c>
      <c r="FS358" t="s">
        <v>203</v>
      </c>
      <c r="FT358" t="s">
        <v>203</v>
      </c>
      <c r="FU358" t="s">
        <v>198</v>
      </c>
      <c r="FV358" t="s">
        <v>198</v>
      </c>
      <c r="FW358" t="s">
        <v>198</v>
      </c>
      <c r="FX358" t="s">
        <v>198</v>
      </c>
      <c r="FY358" t="s">
        <v>198</v>
      </c>
      <c r="FZ358" t="s">
        <v>198</v>
      </c>
      <c r="GA358">
        <v>31.2</v>
      </c>
      <c r="GB358">
        <v>31.2</v>
      </c>
      <c r="GC358" t="s">
        <v>203</v>
      </c>
      <c r="GD358">
        <v>0</v>
      </c>
      <c r="GE358">
        <v>504</v>
      </c>
      <c r="GF358">
        <v>0</v>
      </c>
      <c r="GG358">
        <v>0</v>
      </c>
      <c r="GH358">
        <v>0</v>
      </c>
      <c r="GI358">
        <v>1</v>
      </c>
      <c r="GJ358">
        <v>1</v>
      </c>
      <c r="GK358">
        <v>0</v>
      </c>
      <c r="GL358" t="s">
        <v>198</v>
      </c>
      <c r="GM358" t="s">
        <v>198</v>
      </c>
      <c r="GN358" t="s">
        <v>198</v>
      </c>
    </row>
    <row r="359" spans="1:196">
      <c r="A359" s="19">
        <v>46316.90803637732</v>
      </c>
      <c r="B359">
        <v>0</v>
      </c>
      <c r="C359">
        <v>0</v>
      </c>
      <c r="D359">
        <v>277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584.2</v>
      </c>
      <c r="N359">
        <v>-0.5</v>
      </c>
      <c r="O359">
        <v>0</v>
      </c>
      <c r="P359">
        <v>0</v>
      </c>
      <c r="Q359">
        <v>0</v>
      </c>
      <c r="R359">
        <v>0</v>
      </c>
      <c r="S359">
        <v>115.6</v>
      </c>
      <c r="T359" t="s">
        <v>485</v>
      </c>
      <c r="U359">
        <v>115.7</v>
      </c>
      <c r="V359">
        <v>1762727256586.8</v>
      </c>
      <c r="W359">
        <v>1</v>
      </c>
      <c r="X359" t="s">
        <v>197</v>
      </c>
      <c r="Y359">
        <v>0</v>
      </c>
      <c r="Z359">
        <v>98</v>
      </c>
      <c r="AA359">
        <v>278</v>
      </c>
      <c r="AB359" t="s">
        <v>197</v>
      </c>
      <c r="AC359" t="s">
        <v>198</v>
      </c>
      <c r="AD359" t="s">
        <v>199</v>
      </c>
      <c r="AE359">
        <v>0</v>
      </c>
      <c r="AF359">
        <v>45</v>
      </c>
      <c r="AG359">
        <v>255</v>
      </c>
      <c r="AH359">
        <v>0</v>
      </c>
      <c r="AI359">
        <v>0</v>
      </c>
      <c r="AJ359">
        <v>0</v>
      </c>
      <c r="AK359">
        <v>12.6</v>
      </c>
      <c r="AL359">
        <v>0</v>
      </c>
      <c r="AM359">
        <v>0</v>
      </c>
      <c r="AN359" t="s">
        <v>197</v>
      </c>
      <c r="AO359">
        <v>100</v>
      </c>
      <c r="AP359" t="s">
        <v>197</v>
      </c>
      <c r="AQ359" t="s">
        <v>200</v>
      </c>
      <c r="AR359">
        <v>1</v>
      </c>
      <c r="AS359">
        <v>0</v>
      </c>
      <c r="AT359" t="s">
        <v>705</v>
      </c>
      <c r="AU359" t="s">
        <v>705</v>
      </c>
      <c r="AV359" t="s">
        <v>202</v>
      </c>
      <c r="AW359" t="s">
        <v>203</v>
      </c>
      <c r="AX359" t="s">
        <v>203</v>
      </c>
      <c r="AY359" t="s">
        <v>203</v>
      </c>
      <c r="AZ359" t="s">
        <v>203</v>
      </c>
      <c r="BA359" t="s">
        <v>203</v>
      </c>
      <c r="BB359" t="s">
        <v>203</v>
      </c>
      <c r="BC359" t="s">
        <v>203</v>
      </c>
      <c r="BD359" t="s">
        <v>203</v>
      </c>
      <c r="BE359" t="s">
        <v>203</v>
      </c>
      <c r="BF359">
        <v>0</v>
      </c>
      <c r="BG359">
        <v>0.2</v>
      </c>
      <c r="BH359">
        <v>50</v>
      </c>
      <c r="BI359">
        <v>0</v>
      </c>
      <c r="BJ359" t="s">
        <v>198</v>
      </c>
      <c r="BK359" t="s">
        <v>198</v>
      </c>
      <c r="BL359" t="s">
        <v>198</v>
      </c>
      <c r="BM359" t="s">
        <v>198</v>
      </c>
      <c r="BN359" t="s">
        <v>198</v>
      </c>
      <c r="BO359" t="s">
        <v>198</v>
      </c>
      <c r="BP359" t="s">
        <v>198</v>
      </c>
      <c r="BQ359" t="s">
        <v>198</v>
      </c>
      <c r="BR359" t="s">
        <v>198</v>
      </c>
      <c r="BS359" t="s">
        <v>198</v>
      </c>
      <c r="BT359" t="s">
        <v>198</v>
      </c>
      <c r="BU359" t="s">
        <v>198</v>
      </c>
      <c r="BV359" t="s">
        <v>198</v>
      </c>
      <c r="BW359" t="s">
        <v>198</v>
      </c>
      <c r="BX359" t="s">
        <v>198</v>
      </c>
      <c r="BY359" t="s">
        <v>198</v>
      </c>
      <c r="BZ359" t="s">
        <v>198</v>
      </c>
      <c r="CA359" t="s">
        <v>198</v>
      </c>
      <c r="CB359" t="s">
        <v>204</v>
      </c>
      <c r="CC359" t="s">
        <v>204</v>
      </c>
      <c r="CD359" t="s">
        <v>204</v>
      </c>
      <c r="CE359" t="s">
        <v>204</v>
      </c>
      <c r="CF359" t="s">
        <v>204</v>
      </c>
      <c r="CG359" t="s">
        <v>204</v>
      </c>
      <c r="CH359" t="s">
        <v>204</v>
      </c>
      <c r="CI359" t="s">
        <v>204</v>
      </c>
      <c r="CJ359" t="s">
        <v>204</v>
      </c>
      <c r="CK359" t="s">
        <v>204</v>
      </c>
      <c r="CL359" t="s">
        <v>204</v>
      </c>
      <c r="CM359" t="s">
        <v>204</v>
      </c>
      <c r="CN359" t="s">
        <v>203</v>
      </c>
      <c r="CO359" t="s">
        <v>203</v>
      </c>
      <c r="CP359" t="s">
        <v>203</v>
      </c>
      <c r="CQ359" t="s">
        <v>203</v>
      </c>
      <c r="CR359" t="s">
        <v>203</v>
      </c>
      <c r="CS359" t="s">
        <v>203</v>
      </c>
      <c r="CT359" t="s">
        <v>203</v>
      </c>
      <c r="CU359" t="s">
        <v>203</v>
      </c>
      <c r="CV359">
        <v>0</v>
      </c>
      <c r="CW359">
        <v>0</v>
      </c>
      <c r="CX359" t="s">
        <v>198</v>
      </c>
      <c r="CY359" t="s">
        <v>198</v>
      </c>
      <c r="CZ359" t="s">
        <v>198</v>
      </c>
      <c r="DA359" t="s">
        <v>198</v>
      </c>
      <c r="DB359" t="s">
        <v>198</v>
      </c>
      <c r="DC359">
        <v>0</v>
      </c>
      <c r="DD359">
        <v>0</v>
      </c>
      <c r="DE359">
        <v>0</v>
      </c>
      <c r="DF359">
        <v>0</v>
      </c>
      <c r="DG359">
        <v>-35.3631166</v>
      </c>
      <c r="DH359">
        <v>149.1639735</v>
      </c>
      <c r="DI359" t="s">
        <v>360</v>
      </c>
      <c r="DJ359">
        <v>1.2</v>
      </c>
      <c r="DK359">
        <v>2</v>
      </c>
      <c r="DL359">
        <v>159.8</v>
      </c>
      <c r="DM359">
        <v>0</v>
      </c>
      <c r="DN359">
        <v>6</v>
      </c>
      <c r="DO359">
        <v>10</v>
      </c>
      <c r="DP359">
        <v>0</v>
      </c>
      <c r="DQ359">
        <v>255</v>
      </c>
      <c r="DR359">
        <v>255</v>
      </c>
      <c r="DS359">
        <v>255</v>
      </c>
      <c r="DT359">
        <v>255</v>
      </c>
      <c r="DU359">
        <v>255</v>
      </c>
      <c r="DV359">
        <v>255</v>
      </c>
      <c r="DW359">
        <v>255</v>
      </c>
      <c r="DX359" t="s">
        <v>206</v>
      </c>
      <c r="DY359" t="s">
        <v>206</v>
      </c>
      <c r="DZ359" t="s">
        <v>207</v>
      </c>
      <c r="EA359" t="s">
        <v>198</v>
      </c>
      <c r="EB359" t="s">
        <v>198</v>
      </c>
      <c r="EC359" t="s">
        <v>198</v>
      </c>
      <c r="ED359">
        <v>0</v>
      </c>
      <c r="EE359">
        <v>0</v>
      </c>
      <c r="EF359">
        <v>0</v>
      </c>
      <c r="EG359">
        <v>0</v>
      </c>
      <c r="EH359">
        <v>255</v>
      </c>
      <c r="EI359">
        <v>255</v>
      </c>
      <c r="EJ359">
        <v>255</v>
      </c>
      <c r="EK359">
        <v>255</v>
      </c>
      <c r="EL359">
        <v>255</v>
      </c>
      <c r="EM359">
        <v>255</v>
      </c>
      <c r="EN359">
        <v>255</v>
      </c>
      <c r="EO359">
        <v>255</v>
      </c>
      <c r="EP359">
        <v>255</v>
      </c>
      <c r="EQ359">
        <v>255</v>
      </c>
      <c r="ER359" t="s">
        <v>208</v>
      </c>
      <c r="ES359" t="s">
        <v>209</v>
      </c>
      <c r="ET359" t="s">
        <v>209</v>
      </c>
      <c r="EU359">
        <v>0</v>
      </c>
      <c r="EV359">
        <v>16.2</v>
      </c>
      <c r="EW359">
        <v>-114.7</v>
      </c>
      <c r="EX359">
        <v>-0.2</v>
      </c>
      <c r="EY359">
        <v>0</v>
      </c>
      <c r="EZ359">
        <v>0</v>
      </c>
      <c r="FA359">
        <v>0</v>
      </c>
      <c r="FB359" t="s">
        <v>198</v>
      </c>
      <c r="FC359" t="s">
        <v>198</v>
      </c>
      <c r="FD359" t="s">
        <v>198</v>
      </c>
      <c r="FE359" t="s">
        <v>198</v>
      </c>
      <c r="FF359" t="s">
        <v>198</v>
      </c>
      <c r="FG359" t="s">
        <v>198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203</v>
      </c>
      <c r="FP359" t="s">
        <v>203</v>
      </c>
      <c r="FQ359" t="s">
        <v>203</v>
      </c>
      <c r="FR359" t="s">
        <v>203</v>
      </c>
      <c r="FS359" t="s">
        <v>203</v>
      </c>
      <c r="FT359" t="s">
        <v>203</v>
      </c>
      <c r="FU359" t="s">
        <v>198</v>
      </c>
      <c r="FV359" t="s">
        <v>198</v>
      </c>
      <c r="FW359" t="s">
        <v>198</v>
      </c>
      <c r="FX359" t="s">
        <v>198</v>
      </c>
      <c r="FY359" t="s">
        <v>198</v>
      </c>
      <c r="FZ359" t="s">
        <v>198</v>
      </c>
      <c r="GA359">
        <v>31.2</v>
      </c>
      <c r="GB359">
        <v>31.2</v>
      </c>
      <c r="GC359" t="s">
        <v>203</v>
      </c>
      <c r="GD359">
        <v>0</v>
      </c>
      <c r="GE359">
        <v>504</v>
      </c>
      <c r="GF359">
        <v>0</v>
      </c>
      <c r="GG359">
        <v>0</v>
      </c>
      <c r="GH359">
        <v>0</v>
      </c>
      <c r="GI359">
        <v>1</v>
      </c>
      <c r="GJ359">
        <v>1</v>
      </c>
      <c r="GK359">
        <v>0</v>
      </c>
      <c r="GL359" t="s">
        <v>198</v>
      </c>
      <c r="GM359" t="s">
        <v>198</v>
      </c>
      <c r="GN359" t="s">
        <v>198</v>
      </c>
    </row>
    <row r="360" spans="1:196">
      <c r="A360" s="19">
        <v>46316.90804795139</v>
      </c>
      <c r="B360">
        <v>0</v>
      </c>
      <c r="C360">
        <v>0</v>
      </c>
      <c r="D360">
        <v>277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584.2</v>
      </c>
      <c r="N360">
        <v>-0.5</v>
      </c>
      <c r="O360">
        <v>0</v>
      </c>
      <c r="P360">
        <v>0</v>
      </c>
      <c r="Q360">
        <v>0</v>
      </c>
      <c r="R360">
        <v>0</v>
      </c>
      <c r="S360">
        <v>115.6</v>
      </c>
      <c r="T360" t="s">
        <v>485</v>
      </c>
      <c r="U360">
        <v>115.7</v>
      </c>
      <c r="V360">
        <v>1762727256586.8</v>
      </c>
      <c r="W360">
        <v>1</v>
      </c>
      <c r="X360" t="s">
        <v>197</v>
      </c>
      <c r="Y360">
        <v>0</v>
      </c>
      <c r="Z360">
        <v>98</v>
      </c>
      <c r="AA360">
        <v>278</v>
      </c>
      <c r="AB360" t="s">
        <v>197</v>
      </c>
      <c r="AC360" t="s">
        <v>198</v>
      </c>
      <c r="AD360" t="s">
        <v>199</v>
      </c>
      <c r="AE360">
        <v>0</v>
      </c>
      <c r="AF360">
        <v>45</v>
      </c>
      <c r="AG360">
        <v>255</v>
      </c>
      <c r="AH360">
        <v>0</v>
      </c>
      <c r="AI360">
        <v>0</v>
      </c>
      <c r="AJ360">
        <v>0</v>
      </c>
      <c r="AK360">
        <v>12.6</v>
      </c>
      <c r="AL360">
        <v>0</v>
      </c>
      <c r="AM360">
        <v>0</v>
      </c>
      <c r="AN360" t="s">
        <v>197</v>
      </c>
      <c r="AO360">
        <v>100</v>
      </c>
      <c r="AP360" t="s">
        <v>197</v>
      </c>
      <c r="AQ360" t="s">
        <v>200</v>
      </c>
      <c r="AR360">
        <v>1</v>
      </c>
      <c r="AS360">
        <v>0</v>
      </c>
      <c r="AT360" t="s">
        <v>706</v>
      </c>
      <c r="AU360" t="s">
        <v>706</v>
      </c>
      <c r="AV360" t="s">
        <v>202</v>
      </c>
      <c r="AW360" t="s">
        <v>203</v>
      </c>
      <c r="AX360" t="s">
        <v>203</v>
      </c>
      <c r="AY360" t="s">
        <v>203</v>
      </c>
      <c r="AZ360" t="s">
        <v>203</v>
      </c>
      <c r="BA360" t="s">
        <v>203</v>
      </c>
      <c r="BB360" t="s">
        <v>203</v>
      </c>
      <c r="BC360" t="s">
        <v>203</v>
      </c>
      <c r="BD360" t="s">
        <v>203</v>
      </c>
      <c r="BE360" t="s">
        <v>203</v>
      </c>
      <c r="BF360">
        <v>0</v>
      </c>
      <c r="BG360">
        <v>0.2</v>
      </c>
      <c r="BH360">
        <v>50</v>
      </c>
      <c r="BI360">
        <v>0</v>
      </c>
      <c r="BJ360" t="s">
        <v>198</v>
      </c>
      <c r="BK360" t="s">
        <v>198</v>
      </c>
      <c r="BL360" t="s">
        <v>198</v>
      </c>
      <c r="BM360" t="s">
        <v>198</v>
      </c>
      <c r="BN360" t="s">
        <v>198</v>
      </c>
      <c r="BO360" t="s">
        <v>198</v>
      </c>
      <c r="BP360" t="s">
        <v>198</v>
      </c>
      <c r="BQ360" t="s">
        <v>198</v>
      </c>
      <c r="BR360" t="s">
        <v>198</v>
      </c>
      <c r="BS360" t="s">
        <v>198</v>
      </c>
      <c r="BT360" t="s">
        <v>198</v>
      </c>
      <c r="BU360" t="s">
        <v>198</v>
      </c>
      <c r="BV360" t="s">
        <v>198</v>
      </c>
      <c r="BW360" t="s">
        <v>198</v>
      </c>
      <c r="BX360" t="s">
        <v>198</v>
      </c>
      <c r="BY360" t="s">
        <v>198</v>
      </c>
      <c r="BZ360" t="s">
        <v>198</v>
      </c>
      <c r="CA360" t="s">
        <v>198</v>
      </c>
      <c r="CB360" t="s">
        <v>204</v>
      </c>
      <c r="CC360" t="s">
        <v>204</v>
      </c>
      <c r="CD360" t="s">
        <v>204</v>
      </c>
      <c r="CE360" t="s">
        <v>204</v>
      </c>
      <c r="CF360" t="s">
        <v>204</v>
      </c>
      <c r="CG360" t="s">
        <v>204</v>
      </c>
      <c r="CH360" t="s">
        <v>204</v>
      </c>
      <c r="CI360" t="s">
        <v>204</v>
      </c>
      <c r="CJ360" t="s">
        <v>204</v>
      </c>
      <c r="CK360" t="s">
        <v>204</v>
      </c>
      <c r="CL360" t="s">
        <v>204</v>
      </c>
      <c r="CM360" t="s">
        <v>204</v>
      </c>
      <c r="CN360" t="s">
        <v>203</v>
      </c>
      <c r="CO360" t="s">
        <v>203</v>
      </c>
      <c r="CP360" t="s">
        <v>203</v>
      </c>
      <c r="CQ360" t="s">
        <v>203</v>
      </c>
      <c r="CR360" t="s">
        <v>203</v>
      </c>
      <c r="CS360" t="s">
        <v>203</v>
      </c>
      <c r="CT360" t="s">
        <v>203</v>
      </c>
      <c r="CU360" t="s">
        <v>203</v>
      </c>
      <c r="CV360">
        <v>0</v>
      </c>
      <c r="CW360">
        <v>0</v>
      </c>
      <c r="CX360" t="s">
        <v>198</v>
      </c>
      <c r="CY360" t="s">
        <v>198</v>
      </c>
      <c r="CZ360" t="s">
        <v>198</v>
      </c>
      <c r="DA360" t="s">
        <v>198</v>
      </c>
      <c r="DB360" t="s">
        <v>198</v>
      </c>
      <c r="DC360">
        <v>0</v>
      </c>
      <c r="DD360">
        <v>0</v>
      </c>
      <c r="DE360">
        <v>0</v>
      </c>
      <c r="DF360">
        <v>0</v>
      </c>
      <c r="DG360">
        <v>-35.3631166</v>
      </c>
      <c r="DH360">
        <v>149.1639735</v>
      </c>
      <c r="DI360" t="s">
        <v>360</v>
      </c>
      <c r="DJ360">
        <v>1.2</v>
      </c>
      <c r="DK360">
        <v>2</v>
      </c>
      <c r="DL360">
        <v>159.8</v>
      </c>
      <c r="DM360">
        <v>0</v>
      </c>
      <c r="DN360">
        <v>6</v>
      </c>
      <c r="DO360">
        <v>10</v>
      </c>
      <c r="DP360">
        <v>0</v>
      </c>
      <c r="DQ360">
        <v>255</v>
      </c>
      <c r="DR360">
        <v>255</v>
      </c>
      <c r="DS360">
        <v>255</v>
      </c>
      <c r="DT360">
        <v>255</v>
      </c>
      <c r="DU360">
        <v>255</v>
      </c>
      <c r="DV360">
        <v>255</v>
      </c>
      <c r="DW360">
        <v>255</v>
      </c>
      <c r="DX360" t="s">
        <v>206</v>
      </c>
      <c r="DY360" t="s">
        <v>206</v>
      </c>
      <c r="DZ360" t="s">
        <v>207</v>
      </c>
      <c r="EA360" t="s">
        <v>198</v>
      </c>
      <c r="EB360" t="s">
        <v>198</v>
      </c>
      <c r="EC360" t="s">
        <v>198</v>
      </c>
      <c r="ED360">
        <v>0</v>
      </c>
      <c r="EE360">
        <v>0</v>
      </c>
      <c r="EF360">
        <v>0</v>
      </c>
      <c r="EG360">
        <v>0</v>
      </c>
      <c r="EH360">
        <v>255</v>
      </c>
      <c r="EI360">
        <v>255</v>
      </c>
      <c r="EJ360">
        <v>255</v>
      </c>
      <c r="EK360">
        <v>255</v>
      </c>
      <c r="EL360">
        <v>255</v>
      </c>
      <c r="EM360">
        <v>255</v>
      </c>
      <c r="EN360">
        <v>255</v>
      </c>
      <c r="EO360">
        <v>255</v>
      </c>
      <c r="EP360">
        <v>255</v>
      </c>
      <c r="EQ360">
        <v>255</v>
      </c>
      <c r="ER360" t="s">
        <v>208</v>
      </c>
      <c r="ES360" t="s">
        <v>209</v>
      </c>
      <c r="ET360" t="s">
        <v>209</v>
      </c>
      <c r="EU360">
        <v>0</v>
      </c>
      <c r="EV360">
        <v>16.2</v>
      </c>
      <c r="EW360">
        <v>-114.7</v>
      </c>
      <c r="EX360">
        <v>-0.2</v>
      </c>
      <c r="EY360">
        <v>0</v>
      </c>
      <c r="EZ360">
        <v>0</v>
      </c>
      <c r="FA360">
        <v>0</v>
      </c>
      <c r="FB360" t="s">
        <v>198</v>
      </c>
      <c r="FC360" t="s">
        <v>198</v>
      </c>
      <c r="FD360" t="s">
        <v>198</v>
      </c>
      <c r="FE360" t="s">
        <v>198</v>
      </c>
      <c r="FF360" t="s">
        <v>198</v>
      </c>
      <c r="FG360" t="s">
        <v>198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 t="s">
        <v>203</v>
      </c>
      <c r="FP360" t="s">
        <v>203</v>
      </c>
      <c r="FQ360" t="s">
        <v>203</v>
      </c>
      <c r="FR360" t="s">
        <v>203</v>
      </c>
      <c r="FS360" t="s">
        <v>203</v>
      </c>
      <c r="FT360" t="s">
        <v>203</v>
      </c>
      <c r="FU360" t="s">
        <v>198</v>
      </c>
      <c r="FV360" t="s">
        <v>198</v>
      </c>
      <c r="FW360" t="s">
        <v>198</v>
      </c>
      <c r="FX360" t="s">
        <v>198</v>
      </c>
      <c r="FY360" t="s">
        <v>198</v>
      </c>
      <c r="FZ360" t="s">
        <v>198</v>
      </c>
      <c r="GA360">
        <v>31.2</v>
      </c>
      <c r="GB360">
        <v>31.2</v>
      </c>
      <c r="GC360" t="s">
        <v>203</v>
      </c>
      <c r="GD360">
        <v>0</v>
      </c>
      <c r="GE360">
        <v>504</v>
      </c>
      <c r="GF360">
        <v>0</v>
      </c>
      <c r="GG360">
        <v>0</v>
      </c>
      <c r="GH360">
        <v>0</v>
      </c>
      <c r="GI360">
        <v>1</v>
      </c>
      <c r="GJ360">
        <v>1</v>
      </c>
      <c r="GK360">
        <v>0</v>
      </c>
      <c r="GL360" t="s">
        <v>198</v>
      </c>
      <c r="GM360" t="s">
        <v>198</v>
      </c>
      <c r="GN360" t="s">
        <v>198</v>
      </c>
    </row>
    <row r="361" spans="1:196">
      <c r="A361" s="19">
        <v>46316.90805952546</v>
      </c>
      <c r="B361">
        <v>0</v>
      </c>
      <c r="C361">
        <v>0</v>
      </c>
      <c r="D361">
        <v>277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584.2</v>
      </c>
      <c r="N361">
        <v>-0.5</v>
      </c>
      <c r="O361">
        <v>0</v>
      </c>
      <c r="P361">
        <v>0</v>
      </c>
      <c r="Q361">
        <v>0</v>
      </c>
      <c r="R361">
        <v>0</v>
      </c>
      <c r="S361">
        <v>115.6</v>
      </c>
      <c r="T361" t="s">
        <v>485</v>
      </c>
      <c r="U361">
        <v>115.7</v>
      </c>
      <c r="V361">
        <v>1762727256586.8</v>
      </c>
      <c r="W361">
        <v>1</v>
      </c>
      <c r="X361" t="s">
        <v>197</v>
      </c>
      <c r="Y361">
        <v>0</v>
      </c>
      <c r="Z361">
        <v>98</v>
      </c>
      <c r="AA361">
        <v>278</v>
      </c>
      <c r="AB361" t="s">
        <v>197</v>
      </c>
      <c r="AC361" t="s">
        <v>198</v>
      </c>
      <c r="AD361" t="s">
        <v>199</v>
      </c>
      <c r="AE361">
        <v>0</v>
      </c>
      <c r="AF361">
        <v>45</v>
      </c>
      <c r="AG361">
        <v>255</v>
      </c>
      <c r="AH361">
        <v>0</v>
      </c>
      <c r="AI361">
        <v>0</v>
      </c>
      <c r="AJ361">
        <v>0</v>
      </c>
      <c r="AK361">
        <v>12.6</v>
      </c>
      <c r="AL361">
        <v>0</v>
      </c>
      <c r="AM361">
        <v>0</v>
      </c>
      <c r="AN361" t="s">
        <v>197</v>
      </c>
      <c r="AO361">
        <v>100</v>
      </c>
      <c r="AP361" t="s">
        <v>197</v>
      </c>
      <c r="AQ361" t="s">
        <v>200</v>
      </c>
      <c r="AR361">
        <v>1</v>
      </c>
      <c r="AS361">
        <v>0</v>
      </c>
      <c r="AT361" t="s">
        <v>707</v>
      </c>
      <c r="AU361" t="s">
        <v>707</v>
      </c>
      <c r="AV361" t="s">
        <v>202</v>
      </c>
      <c r="AW361" t="s">
        <v>203</v>
      </c>
      <c r="AX361" t="s">
        <v>203</v>
      </c>
      <c r="AY361" t="s">
        <v>203</v>
      </c>
      <c r="AZ361" t="s">
        <v>203</v>
      </c>
      <c r="BA361" t="s">
        <v>203</v>
      </c>
      <c r="BB361" t="s">
        <v>203</v>
      </c>
      <c r="BC361" t="s">
        <v>203</v>
      </c>
      <c r="BD361" t="s">
        <v>203</v>
      </c>
      <c r="BE361" t="s">
        <v>203</v>
      </c>
      <c r="BF361">
        <v>0</v>
      </c>
      <c r="BG361">
        <v>0.2</v>
      </c>
      <c r="BH361">
        <v>50</v>
      </c>
      <c r="BI361">
        <v>0</v>
      </c>
      <c r="BJ361" t="s">
        <v>198</v>
      </c>
      <c r="BK361" t="s">
        <v>198</v>
      </c>
      <c r="BL361" t="s">
        <v>198</v>
      </c>
      <c r="BM361" t="s">
        <v>198</v>
      </c>
      <c r="BN361" t="s">
        <v>198</v>
      </c>
      <c r="BO361" t="s">
        <v>198</v>
      </c>
      <c r="BP361" t="s">
        <v>198</v>
      </c>
      <c r="BQ361" t="s">
        <v>198</v>
      </c>
      <c r="BR361" t="s">
        <v>198</v>
      </c>
      <c r="BS361" t="s">
        <v>198</v>
      </c>
      <c r="BT361" t="s">
        <v>198</v>
      </c>
      <c r="BU361" t="s">
        <v>198</v>
      </c>
      <c r="BV361" t="s">
        <v>198</v>
      </c>
      <c r="BW361" t="s">
        <v>198</v>
      </c>
      <c r="BX361" t="s">
        <v>198</v>
      </c>
      <c r="BY361" t="s">
        <v>198</v>
      </c>
      <c r="BZ361" t="s">
        <v>198</v>
      </c>
      <c r="CA361" t="s">
        <v>198</v>
      </c>
      <c r="CB361" t="s">
        <v>204</v>
      </c>
      <c r="CC361" t="s">
        <v>204</v>
      </c>
      <c r="CD361" t="s">
        <v>204</v>
      </c>
      <c r="CE361" t="s">
        <v>204</v>
      </c>
      <c r="CF361" t="s">
        <v>204</v>
      </c>
      <c r="CG361" t="s">
        <v>204</v>
      </c>
      <c r="CH361" t="s">
        <v>204</v>
      </c>
      <c r="CI361" t="s">
        <v>204</v>
      </c>
      <c r="CJ361" t="s">
        <v>204</v>
      </c>
      <c r="CK361" t="s">
        <v>204</v>
      </c>
      <c r="CL361" t="s">
        <v>204</v>
      </c>
      <c r="CM361" t="s">
        <v>204</v>
      </c>
      <c r="CN361" t="s">
        <v>203</v>
      </c>
      <c r="CO361" t="s">
        <v>203</v>
      </c>
      <c r="CP361" t="s">
        <v>203</v>
      </c>
      <c r="CQ361" t="s">
        <v>203</v>
      </c>
      <c r="CR361" t="s">
        <v>203</v>
      </c>
      <c r="CS361" t="s">
        <v>203</v>
      </c>
      <c r="CT361" t="s">
        <v>203</v>
      </c>
      <c r="CU361" t="s">
        <v>203</v>
      </c>
      <c r="CV361">
        <v>0</v>
      </c>
      <c r="CW361">
        <v>0</v>
      </c>
      <c r="CX361" t="s">
        <v>198</v>
      </c>
      <c r="CY361" t="s">
        <v>198</v>
      </c>
      <c r="CZ361" t="s">
        <v>198</v>
      </c>
      <c r="DA361" t="s">
        <v>198</v>
      </c>
      <c r="DB361" t="s">
        <v>198</v>
      </c>
      <c r="DC361">
        <v>0</v>
      </c>
      <c r="DD361">
        <v>0</v>
      </c>
      <c r="DE361">
        <v>0</v>
      </c>
      <c r="DF361">
        <v>0</v>
      </c>
      <c r="DG361">
        <v>-35.3631166</v>
      </c>
      <c r="DH361">
        <v>149.1639735</v>
      </c>
      <c r="DI361" t="s">
        <v>360</v>
      </c>
      <c r="DJ361">
        <v>1.2</v>
      </c>
      <c r="DK361">
        <v>2</v>
      </c>
      <c r="DL361">
        <v>159.8</v>
      </c>
      <c r="DM361">
        <v>0</v>
      </c>
      <c r="DN361">
        <v>6</v>
      </c>
      <c r="DO361">
        <v>10</v>
      </c>
      <c r="DP361">
        <v>0</v>
      </c>
      <c r="DQ361">
        <v>255</v>
      </c>
      <c r="DR361">
        <v>255</v>
      </c>
      <c r="DS361">
        <v>255</v>
      </c>
      <c r="DT361">
        <v>255</v>
      </c>
      <c r="DU361">
        <v>255</v>
      </c>
      <c r="DV361">
        <v>255</v>
      </c>
      <c r="DW361">
        <v>255</v>
      </c>
      <c r="DX361" t="s">
        <v>206</v>
      </c>
      <c r="DY361" t="s">
        <v>206</v>
      </c>
      <c r="DZ361" t="s">
        <v>207</v>
      </c>
      <c r="EA361" t="s">
        <v>198</v>
      </c>
      <c r="EB361" t="s">
        <v>198</v>
      </c>
      <c r="EC361" t="s">
        <v>198</v>
      </c>
      <c r="ED361">
        <v>0</v>
      </c>
      <c r="EE361">
        <v>0</v>
      </c>
      <c r="EF361">
        <v>0</v>
      </c>
      <c r="EG361">
        <v>0</v>
      </c>
      <c r="EH361">
        <v>255</v>
      </c>
      <c r="EI361">
        <v>255</v>
      </c>
      <c r="EJ361">
        <v>255</v>
      </c>
      <c r="EK361">
        <v>255</v>
      </c>
      <c r="EL361">
        <v>255</v>
      </c>
      <c r="EM361">
        <v>255</v>
      </c>
      <c r="EN361">
        <v>255</v>
      </c>
      <c r="EO361">
        <v>255</v>
      </c>
      <c r="EP361">
        <v>255</v>
      </c>
      <c r="EQ361">
        <v>255</v>
      </c>
      <c r="ER361" t="s">
        <v>208</v>
      </c>
      <c r="ES361" t="s">
        <v>209</v>
      </c>
      <c r="ET361" t="s">
        <v>209</v>
      </c>
      <c r="EU361">
        <v>0</v>
      </c>
      <c r="EV361">
        <v>16.2</v>
      </c>
      <c r="EW361">
        <v>-114.7</v>
      </c>
      <c r="EX361">
        <v>-0.2</v>
      </c>
      <c r="EY361">
        <v>0</v>
      </c>
      <c r="EZ361">
        <v>0</v>
      </c>
      <c r="FA361">
        <v>0</v>
      </c>
      <c r="FB361" t="s">
        <v>198</v>
      </c>
      <c r="FC361" t="s">
        <v>198</v>
      </c>
      <c r="FD361" t="s">
        <v>198</v>
      </c>
      <c r="FE361" t="s">
        <v>198</v>
      </c>
      <c r="FF361" t="s">
        <v>198</v>
      </c>
      <c r="FG361" t="s">
        <v>198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203</v>
      </c>
      <c r="FP361" t="s">
        <v>203</v>
      </c>
      <c r="FQ361" t="s">
        <v>203</v>
      </c>
      <c r="FR361" t="s">
        <v>203</v>
      </c>
      <c r="FS361" t="s">
        <v>203</v>
      </c>
      <c r="FT361" t="s">
        <v>203</v>
      </c>
      <c r="FU361" t="s">
        <v>198</v>
      </c>
      <c r="FV361" t="s">
        <v>198</v>
      </c>
      <c r="FW361" t="s">
        <v>198</v>
      </c>
      <c r="FX361" t="s">
        <v>198</v>
      </c>
      <c r="FY361" t="s">
        <v>198</v>
      </c>
      <c r="FZ361" t="s">
        <v>198</v>
      </c>
      <c r="GA361">
        <v>31.2</v>
      </c>
      <c r="GB361">
        <v>31.2</v>
      </c>
      <c r="GC361" t="s">
        <v>203</v>
      </c>
      <c r="GD361">
        <v>0</v>
      </c>
      <c r="GE361">
        <v>504</v>
      </c>
      <c r="GF361">
        <v>0</v>
      </c>
      <c r="GG361">
        <v>0</v>
      </c>
      <c r="GH361">
        <v>0</v>
      </c>
      <c r="GI361">
        <v>1</v>
      </c>
      <c r="GJ361">
        <v>1</v>
      </c>
      <c r="GK361">
        <v>0</v>
      </c>
      <c r="GL361" t="s">
        <v>198</v>
      </c>
      <c r="GM361" t="s">
        <v>198</v>
      </c>
      <c r="GN361" t="s">
        <v>198</v>
      </c>
    </row>
    <row r="362" spans="1:196">
      <c r="A362" s="19">
        <v>46316.90807109954</v>
      </c>
      <c r="B362">
        <v>0</v>
      </c>
      <c r="C362">
        <v>0</v>
      </c>
      <c r="D362">
        <v>277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584.2</v>
      </c>
      <c r="N362">
        <v>-0.5</v>
      </c>
      <c r="O362">
        <v>0</v>
      </c>
      <c r="P362">
        <v>0</v>
      </c>
      <c r="Q362">
        <v>0</v>
      </c>
      <c r="R362">
        <v>0</v>
      </c>
      <c r="S362">
        <v>115.6</v>
      </c>
      <c r="T362" t="s">
        <v>485</v>
      </c>
      <c r="U362">
        <v>115.7</v>
      </c>
      <c r="V362">
        <v>1762727256586.8</v>
      </c>
      <c r="W362">
        <v>1</v>
      </c>
      <c r="X362" t="s">
        <v>197</v>
      </c>
      <c r="Y362">
        <v>0</v>
      </c>
      <c r="Z362">
        <v>98</v>
      </c>
      <c r="AA362">
        <v>278</v>
      </c>
      <c r="AB362" t="s">
        <v>197</v>
      </c>
      <c r="AC362" t="s">
        <v>198</v>
      </c>
      <c r="AD362" t="s">
        <v>199</v>
      </c>
      <c r="AE362">
        <v>0</v>
      </c>
      <c r="AF362">
        <v>45</v>
      </c>
      <c r="AG362">
        <v>255</v>
      </c>
      <c r="AH362">
        <v>0</v>
      </c>
      <c r="AI362">
        <v>0</v>
      </c>
      <c r="AJ362">
        <v>0</v>
      </c>
      <c r="AK362">
        <v>12.6</v>
      </c>
      <c r="AL362">
        <v>0</v>
      </c>
      <c r="AM362">
        <v>0</v>
      </c>
      <c r="AN362" t="s">
        <v>197</v>
      </c>
      <c r="AO362">
        <v>100</v>
      </c>
      <c r="AP362" t="s">
        <v>197</v>
      </c>
      <c r="AQ362" t="s">
        <v>200</v>
      </c>
      <c r="AR362">
        <v>1</v>
      </c>
      <c r="AS362">
        <v>0</v>
      </c>
      <c r="AT362" t="s">
        <v>708</v>
      </c>
      <c r="AU362" t="s">
        <v>708</v>
      </c>
      <c r="AV362" t="s">
        <v>202</v>
      </c>
      <c r="AW362" t="s">
        <v>203</v>
      </c>
      <c r="AX362" t="s">
        <v>203</v>
      </c>
      <c r="AY362" t="s">
        <v>203</v>
      </c>
      <c r="AZ362" t="s">
        <v>203</v>
      </c>
      <c r="BA362" t="s">
        <v>203</v>
      </c>
      <c r="BB362" t="s">
        <v>203</v>
      </c>
      <c r="BC362" t="s">
        <v>203</v>
      </c>
      <c r="BD362" t="s">
        <v>203</v>
      </c>
      <c r="BE362" t="s">
        <v>203</v>
      </c>
      <c r="BF362">
        <v>0</v>
      </c>
      <c r="BG362">
        <v>0.2</v>
      </c>
      <c r="BH362">
        <v>50</v>
      </c>
      <c r="BI362">
        <v>0</v>
      </c>
      <c r="BJ362" t="s">
        <v>198</v>
      </c>
      <c r="BK362" t="s">
        <v>198</v>
      </c>
      <c r="BL362" t="s">
        <v>198</v>
      </c>
      <c r="BM362" t="s">
        <v>198</v>
      </c>
      <c r="BN362" t="s">
        <v>198</v>
      </c>
      <c r="BO362" t="s">
        <v>198</v>
      </c>
      <c r="BP362" t="s">
        <v>198</v>
      </c>
      <c r="BQ362" t="s">
        <v>198</v>
      </c>
      <c r="BR362" t="s">
        <v>198</v>
      </c>
      <c r="BS362" t="s">
        <v>198</v>
      </c>
      <c r="BT362" t="s">
        <v>198</v>
      </c>
      <c r="BU362" t="s">
        <v>198</v>
      </c>
      <c r="BV362" t="s">
        <v>198</v>
      </c>
      <c r="BW362" t="s">
        <v>198</v>
      </c>
      <c r="BX362" t="s">
        <v>198</v>
      </c>
      <c r="BY362" t="s">
        <v>198</v>
      </c>
      <c r="BZ362" t="s">
        <v>198</v>
      </c>
      <c r="CA362" t="s">
        <v>198</v>
      </c>
      <c r="CB362" t="s">
        <v>204</v>
      </c>
      <c r="CC362" t="s">
        <v>204</v>
      </c>
      <c r="CD362" t="s">
        <v>204</v>
      </c>
      <c r="CE362" t="s">
        <v>204</v>
      </c>
      <c r="CF362" t="s">
        <v>204</v>
      </c>
      <c r="CG362" t="s">
        <v>204</v>
      </c>
      <c r="CH362" t="s">
        <v>204</v>
      </c>
      <c r="CI362" t="s">
        <v>204</v>
      </c>
      <c r="CJ362" t="s">
        <v>204</v>
      </c>
      <c r="CK362" t="s">
        <v>204</v>
      </c>
      <c r="CL362" t="s">
        <v>204</v>
      </c>
      <c r="CM362" t="s">
        <v>204</v>
      </c>
      <c r="CN362" t="s">
        <v>203</v>
      </c>
      <c r="CO362" t="s">
        <v>203</v>
      </c>
      <c r="CP362" t="s">
        <v>203</v>
      </c>
      <c r="CQ362" t="s">
        <v>203</v>
      </c>
      <c r="CR362" t="s">
        <v>203</v>
      </c>
      <c r="CS362" t="s">
        <v>203</v>
      </c>
      <c r="CT362" t="s">
        <v>203</v>
      </c>
      <c r="CU362" t="s">
        <v>203</v>
      </c>
      <c r="CV362">
        <v>0</v>
      </c>
      <c r="CW362">
        <v>0</v>
      </c>
      <c r="CX362" t="s">
        <v>198</v>
      </c>
      <c r="CY362" t="s">
        <v>198</v>
      </c>
      <c r="CZ362" t="s">
        <v>198</v>
      </c>
      <c r="DA362" t="s">
        <v>198</v>
      </c>
      <c r="DB362" t="s">
        <v>198</v>
      </c>
      <c r="DC362">
        <v>0</v>
      </c>
      <c r="DD362">
        <v>0</v>
      </c>
      <c r="DE362">
        <v>0</v>
      </c>
      <c r="DF362">
        <v>0</v>
      </c>
      <c r="DG362">
        <v>-35.3631166</v>
      </c>
      <c r="DH362">
        <v>149.1639735</v>
      </c>
      <c r="DI362" t="s">
        <v>360</v>
      </c>
      <c r="DJ362">
        <v>1.2</v>
      </c>
      <c r="DK362">
        <v>2</v>
      </c>
      <c r="DL362">
        <v>159.8</v>
      </c>
      <c r="DM362">
        <v>0</v>
      </c>
      <c r="DN362">
        <v>6</v>
      </c>
      <c r="DO362">
        <v>10</v>
      </c>
      <c r="DP362">
        <v>0</v>
      </c>
      <c r="DQ362">
        <v>255</v>
      </c>
      <c r="DR362">
        <v>255</v>
      </c>
      <c r="DS362">
        <v>255</v>
      </c>
      <c r="DT362">
        <v>255</v>
      </c>
      <c r="DU362">
        <v>255</v>
      </c>
      <c r="DV362">
        <v>255</v>
      </c>
      <c r="DW362">
        <v>255</v>
      </c>
      <c r="DX362" t="s">
        <v>206</v>
      </c>
      <c r="DY362" t="s">
        <v>206</v>
      </c>
      <c r="DZ362" t="s">
        <v>207</v>
      </c>
      <c r="EA362" t="s">
        <v>198</v>
      </c>
      <c r="EB362" t="s">
        <v>198</v>
      </c>
      <c r="EC362" t="s">
        <v>198</v>
      </c>
      <c r="ED362">
        <v>0</v>
      </c>
      <c r="EE362">
        <v>0</v>
      </c>
      <c r="EF362">
        <v>0</v>
      </c>
      <c r="EG362">
        <v>0</v>
      </c>
      <c r="EH362">
        <v>255</v>
      </c>
      <c r="EI362">
        <v>255</v>
      </c>
      <c r="EJ362">
        <v>255</v>
      </c>
      <c r="EK362">
        <v>255</v>
      </c>
      <c r="EL362">
        <v>255</v>
      </c>
      <c r="EM362">
        <v>255</v>
      </c>
      <c r="EN362">
        <v>255</v>
      </c>
      <c r="EO362">
        <v>255</v>
      </c>
      <c r="EP362">
        <v>255</v>
      </c>
      <c r="EQ362">
        <v>255</v>
      </c>
      <c r="ER362" t="s">
        <v>208</v>
      </c>
      <c r="ES362" t="s">
        <v>209</v>
      </c>
      <c r="ET362" t="s">
        <v>209</v>
      </c>
      <c r="EU362">
        <v>0</v>
      </c>
      <c r="EV362">
        <v>16.2</v>
      </c>
      <c r="EW362">
        <v>-114.7</v>
      </c>
      <c r="EX362">
        <v>-0.2</v>
      </c>
      <c r="EY362">
        <v>0</v>
      </c>
      <c r="EZ362">
        <v>0</v>
      </c>
      <c r="FA362">
        <v>0</v>
      </c>
      <c r="FB362" t="s">
        <v>198</v>
      </c>
      <c r="FC362" t="s">
        <v>198</v>
      </c>
      <c r="FD362" t="s">
        <v>198</v>
      </c>
      <c r="FE362" t="s">
        <v>198</v>
      </c>
      <c r="FF362" t="s">
        <v>198</v>
      </c>
      <c r="FG362" t="s">
        <v>198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 t="s">
        <v>203</v>
      </c>
      <c r="FP362" t="s">
        <v>203</v>
      </c>
      <c r="FQ362" t="s">
        <v>203</v>
      </c>
      <c r="FR362" t="s">
        <v>203</v>
      </c>
      <c r="FS362" t="s">
        <v>203</v>
      </c>
      <c r="FT362" t="s">
        <v>203</v>
      </c>
      <c r="FU362" t="s">
        <v>198</v>
      </c>
      <c r="FV362" t="s">
        <v>198</v>
      </c>
      <c r="FW362" t="s">
        <v>198</v>
      </c>
      <c r="FX362" t="s">
        <v>198</v>
      </c>
      <c r="FY362" t="s">
        <v>198</v>
      </c>
      <c r="FZ362" t="s">
        <v>198</v>
      </c>
      <c r="GA362">
        <v>31.2</v>
      </c>
      <c r="GB362">
        <v>31.2</v>
      </c>
      <c r="GC362" t="s">
        <v>203</v>
      </c>
      <c r="GD362">
        <v>0</v>
      </c>
      <c r="GE362">
        <v>504</v>
      </c>
      <c r="GF362">
        <v>0</v>
      </c>
      <c r="GG362">
        <v>0</v>
      </c>
      <c r="GH362">
        <v>0</v>
      </c>
      <c r="GI362">
        <v>1</v>
      </c>
      <c r="GJ362">
        <v>1</v>
      </c>
      <c r="GK362">
        <v>0</v>
      </c>
      <c r="GL362" t="s">
        <v>198</v>
      </c>
      <c r="GM362" t="s">
        <v>198</v>
      </c>
      <c r="GN362" t="s">
        <v>198</v>
      </c>
    </row>
    <row r="363" spans="1:196">
      <c r="A363" s="19">
        <v>46316.90808267361</v>
      </c>
      <c r="B363">
        <v>0</v>
      </c>
      <c r="C363">
        <v>0</v>
      </c>
      <c r="D363">
        <v>277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584.2</v>
      </c>
      <c r="N363">
        <v>-0.5</v>
      </c>
      <c r="O363">
        <v>0</v>
      </c>
      <c r="P363">
        <v>0</v>
      </c>
      <c r="Q363">
        <v>0</v>
      </c>
      <c r="R363">
        <v>0</v>
      </c>
      <c r="S363">
        <v>115.6</v>
      </c>
      <c r="T363" t="s">
        <v>485</v>
      </c>
      <c r="U363">
        <v>115.7</v>
      </c>
      <c r="V363">
        <v>1762727256586.8</v>
      </c>
      <c r="W363">
        <v>1</v>
      </c>
      <c r="X363" t="s">
        <v>197</v>
      </c>
      <c r="Y363">
        <v>0</v>
      </c>
      <c r="Z363">
        <v>98</v>
      </c>
      <c r="AA363">
        <v>278</v>
      </c>
      <c r="AB363" t="s">
        <v>197</v>
      </c>
      <c r="AC363" t="s">
        <v>198</v>
      </c>
      <c r="AD363" t="s">
        <v>199</v>
      </c>
      <c r="AE363">
        <v>0</v>
      </c>
      <c r="AF363">
        <v>45</v>
      </c>
      <c r="AG363">
        <v>255</v>
      </c>
      <c r="AH363">
        <v>0</v>
      </c>
      <c r="AI363">
        <v>0</v>
      </c>
      <c r="AJ363">
        <v>0</v>
      </c>
      <c r="AK363">
        <v>12.6</v>
      </c>
      <c r="AL363">
        <v>0</v>
      </c>
      <c r="AM363">
        <v>0</v>
      </c>
      <c r="AN363" t="s">
        <v>197</v>
      </c>
      <c r="AO363">
        <v>100</v>
      </c>
      <c r="AP363" t="s">
        <v>197</v>
      </c>
      <c r="AQ363" t="s">
        <v>200</v>
      </c>
      <c r="AR363">
        <v>1</v>
      </c>
      <c r="AS363">
        <v>0</v>
      </c>
      <c r="AT363" t="s">
        <v>709</v>
      </c>
      <c r="AU363" t="s">
        <v>709</v>
      </c>
      <c r="AV363" t="s">
        <v>202</v>
      </c>
      <c r="AW363" t="s">
        <v>203</v>
      </c>
      <c r="AX363" t="s">
        <v>203</v>
      </c>
      <c r="AY363" t="s">
        <v>203</v>
      </c>
      <c r="AZ363" t="s">
        <v>203</v>
      </c>
      <c r="BA363" t="s">
        <v>203</v>
      </c>
      <c r="BB363" t="s">
        <v>203</v>
      </c>
      <c r="BC363" t="s">
        <v>203</v>
      </c>
      <c r="BD363" t="s">
        <v>203</v>
      </c>
      <c r="BE363" t="s">
        <v>203</v>
      </c>
      <c r="BF363">
        <v>0</v>
      </c>
      <c r="BG363">
        <v>0.2</v>
      </c>
      <c r="BH363">
        <v>50</v>
      </c>
      <c r="BI363">
        <v>0</v>
      </c>
      <c r="BJ363" t="s">
        <v>198</v>
      </c>
      <c r="BK363" t="s">
        <v>198</v>
      </c>
      <c r="BL363" t="s">
        <v>198</v>
      </c>
      <c r="BM363" t="s">
        <v>198</v>
      </c>
      <c r="BN363" t="s">
        <v>198</v>
      </c>
      <c r="BO363" t="s">
        <v>198</v>
      </c>
      <c r="BP363" t="s">
        <v>198</v>
      </c>
      <c r="BQ363" t="s">
        <v>198</v>
      </c>
      <c r="BR363" t="s">
        <v>198</v>
      </c>
      <c r="BS363" t="s">
        <v>198</v>
      </c>
      <c r="BT363" t="s">
        <v>198</v>
      </c>
      <c r="BU363" t="s">
        <v>198</v>
      </c>
      <c r="BV363" t="s">
        <v>198</v>
      </c>
      <c r="BW363" t="s">
        <v>198</v>
      </c>
      <c r="BX363" t="s">
        <v>198</v>
      </c>
      <c r="BY363" t="s">
        <v>198</v>
      </c>
      <c r="BZ363" t="s">
        <v>198</v>
      </c>
      <c r="CA363" t="s">
        <v>198</v>
      </c>
      <c r="CB363" t="s">
        <v>204</v>
      </c>
      <c r="CC363" t="s">
        <v>204</v>
      </c>
      <c r="CD363" t="s">
        <v>204</v>
      </c>
      <c r="CE363" t="s">
        <v>204</v>
      </c>
      <c r="CF363" t="s">
        <v>204</v>
      </c>
      <c r="CG363" t="s">
        <v>204</v>
      </c>
      <c r="CH363" t="s">
        <v>204</v>
      </c>
      <c r="CI363" t="s">
        <v>204</v>
      </c>
      <c r="CJ363" t="s">
        <v>204</v>
      </c>
      <c r="CK363" t="s">
        <v>204</v>
      </c>
      <c r="CL363" t="s">
        <v>204</v>
      </c>
      <c r="CM363" t="s">
        <v>204</v>
      </c>
      <c r="CN363" t="s">
        <v>203</v>
      </c>
      <c r="CO363" t="s">
        <v>203</v>
      </c>
      <c r="CP363" t="s">
        <v>203</v>
      </c>
      <c r="CQ363" t="s">
        <v>203</v>
      </c>
      <c r="CR363" t="s">
        <v>203</v>
      </c>
      <c r="CS363" t="s">
        <v>203</v>
      </c>
      <c r="CT363" t="s">
        <v>203</v>
      </c>
      <c r="CU363" t="s">
        <v>203</v>
      </c>
      <c r="CV363">
        <v>0</v>
      </c>
      <c r="CW363">
        <v>0</v>
      </c>
      <c r="CX363" t="s">
        <v>198</v>
      </c>
      <c r="CY363" t="s">
        <v>198</v>
      </c>
      <c r="CZ363" t="s">
        <v>198</v>
      </c>
      <c r="DA363" t="s">
        <v>198</v>
      </c>
      <c r="DB363" t="s">
        <v>198</v>
      </c>
      <c r="DC363">
        <v>0</v>
      </c>
      <c r="DD363">
        <v>0</v>
      </c>
      <c r="DE363">
        <v>0</v>
      </c>
      <c r="DF363">
        <v>0</v>
      </c>
      <c r="DG363">
        <v>-35.3631166</v>
      </c>
      <c r="DH363">
        <v>149.1639735</v>
      </c>
      <c r="DI363" t="s">
        <v>360</v>
      </c>
      <c r="DJ363">
        <v>1.2</v>
      </c>
      <c r="DK363">
        <v>2</v>
      </c>
      <c r="DL363">
        <v>159.8</v>
      </c>
      <c r="DM363">
        <v>0</v>
      </c>
      <c r="DN363">
        <v>6</v>
      </c>
      <c r="DO363">
        <v>10</v>
      </c>
      <c r="DP363">
        <v>0</v>
      </c>
      <c r="DQ363">
        <v>255</v>
      </c>
      <c r="DR363">
        <v>255</v>
      </c>
      <c r="DS363">
        <v>255</v>
      </c>
      <c r="DT363">
        <v>255</v>
      </c>
      <c r="DU363">
        <v>255</v>
      </c>
      <c r="DV363">
        <v>255</v>
      </c>
      <c r="DW363">
        <v>255</v>
      </c>
      <c r="DX363" t="s">
        <v>206</v>
      </c>
      <c r="DY363" t="s">
        <v>206</v>
      </c>
      <c r="DZ363" t="s">
        <v>207</v>
      </c>
      <c r="EA363" t="s">
        <v>198</v>
      </c>
      <c r="EB363" t="s">
        <v>198</v>
      </c>
      <c r="EC363" t="s">
        <v>198</v>
      </c>
      <c r="ED363">
        <v>0</v>
      </c>
      <c r="EE363">
        <v>0</v>
      </c>
      <c r="EF363">
        <v>0</v>
      </c>
      <c r="EG363">
        <v>0</v>
      </c>
      <c r="EH363">
        <v>255</v>
      </c>
      <c r="EI363">
        <v>255</v>
      </c>
      <c r="EJ363">
        <v>255</v>
      </c>
      <c r="EK363">
        <v>255</v>
      </c>
      <c r="EL363">
        <v>255</v>
      </c>
      <c r="EM363">
        <v>255</v>
      </c>
      <c r="EN363">
        <v>255</v>
      </c>
      <c r="EO363">
        <v>255</v>
      </c>
      <c r="EP363">
        <v>255</v>
      </c>
      <c r="EQ363">
        <v>255</v>
      </c>
      <c r="ER363" t="s">
        <v>208</v>
      </c>
      <c r="ES363" t="s">
        <v>209</v>
      </c>
      <c r="ET363" t="s">
        <v>209</v>
      </c>
      <c r="EU363">
        <v>0</v>
      </c>
      <c r="EV363">
        <v>16.2</v>
      </c>
      <c r="EW363">
        <v>-114.7</v>
      </c>
      <c r="EX363">
        <v>-0.2</v>
      </c>
      <c r="EY363">
        <v>0</v>
      </c>
      <c r="EZ363">
        <v>0</v>
      </c>
      <c r="FA363">
        <v>0</v>
      </c>
      <c r="FB363" t="s">
        <v>198</v>
      </c>
      <c r="FC363" t="s">
        <v>198</v>
      </c>
      <c r="FD363" t="s">
        <v>198</v>
      </c>
      <c r="FE363" t="s">
        <v>198</v>
      </c>
      <c r="FF363" t="s">
        <v>198</v>
      </c>
      <c r="FG363" t="s">
        <v>198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 t="s">
        <v>203</v>
      </c>
      <c r="FP363" t="s">
        <v>203</v>
      </c>
      <c r="FQ363" t="s">
        <v>203</v>
      </c>
      <c r="FR363" t="s">
        <v>203</v>
      </c>
      <c r="FS363" t="s">
        <v>203</v>
      </c>
      <c r="FT363" t="s">
        <v>203</v>
      </c>
      <c r="FU363" t="s">
        <v>198</v>
      </c>
      <c r="FV363" t="s">
        <v>198</v>
      </c>
      <c r="FW363" t="s">
        <v>198</v>
      </c>
      <c r="FX363" t="s">
        <v>198</v>
      </c>
      <c r="FY363" t="s">
        <v>198</v>
      </c>
      <c r="FZ363" t="s">
        <v>198</v>
      </c>
      <c r="GA363">
        <v>31.2</v>
      </c>
      <c r="GB363">
        <v>31.2</v>
      </c>
      <c r="GC363" t="s">
        <v>203</v>
      </c>
      <c r="GD363">
        <v>0</v>
      </c>
      <c r="GE363">
        <v>504</v>
      </c>
      <c r="GF363">
        <v>0</v>
      </c>
      <c r="GG363">
        <v>0</v>
      </c>
      <c r="GH363">
        <v>0</v>
      </c>
      <c r="GI363">
        <v>1</v>
      </c>
      <c r="GJ363">
        <v>1</v>
      </c>
      <c r="GK363">
        <v>0</v>
      </c>
      <c r="GL363" t="s">
        <v>198</v>
      </c>
      <c r="GM363" t="s">
        <v>198</v>
      </c>
      <c r="GN363" t="s">
        <v>198</v>
      </c>
    </row>
    <row r="364" spans="1:196">
      <c r="A364" s="19">
        <v>46316.90809424769</v>
      </c>
      <c r="B364">
        <v>0</v>
      </c>
      <c r="C364">
        <v>0</v>
      </c>
      <c r="D364">
        <v>277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584.2</v>
      </c>
      <c r="N364">
        <v>-0.5</v>
      </c>
      <c r="O364">
        <v>0</v>
      </c>
      <c r="P364">
        <v>0</v>
      </c>
      <c r="Q364">
        <v>0</v>
      </c>
      <c r="R364">
        <v>0</v>
      </c>
      <c r="S364">
        <v>115.6</v>
      </c>
      <c r="T364" t="s">
        <v>485</v>
      </c>
      <c r="U364">
        <v>115.7</v>
      </c>
      <c r="V364">
        <v>1762727256586.8</v>
      </c>
      <c r="W364">
        <v>1</v>
      </c>
      <c r="X364" t="s">
        <v>197</v>
      </c>
      <c r="Y364">
        <v>0</v>
      </c>
      <c r="Z364">
        <v>98</v>
      </c>
      <c r="AA364">
        <v>278</v>
      </c>
      <c r="AB364" t="s">
        <v>197</v>
      </c>
      <c r="AC364" t="s">
        <v>198</v>
      </c>
      <c r="AD364" t="s">
        <v>199</v>
      </c>
      <c r="AE364">
        <v>0</v>
      </c>
      <c r="AF364">
        <v>45</v>
      </c>
      <c r="AG364">
        <v>255</v>
      </c>
      <c r="AH364">
        <v>0</v>
      </c>
      <c r="AI364">
        <v>0</v>
      </c>
      <c r="AJ364">
        <v>0</v>
      </c>
      <c r="AK364">
        <v>12.6</v>
      </c>
      <c r="AL364">
        <v>0</v>
      </c>
      <c r="AM364">
        <v>0</v>
      </c>
      <c r="AN364" t="s">
        <v>197</v>
      </c>
      <c r="AO364">
        <v>100</v>
      </c>
      <c r="AP364" t="s">
        <v>197</v>
      </c>
      <c r="AQ364" t="s">
        <v>200</v>
      </c>
      <c r="AR364">
        <v>1</v>
      </c>
      <c r="AS364">
        <v>0</v>
      </c>
      <c r="AT364" t="s">
        <v>710</v>
      </c>
      <c r="AU364" t="s">
        <v>710</v>
      </c>
      <c r="AV364" t="s">
        <v>202</v>
      </c>
      <c r="AW364" t="s">
        <v>203</v>
      </c>
      <c r="AX364" t="s">
        <v>203</v>
      </c>
      <c r="AY364" t="s">
        <v>203</v>
      </c>
      <c r="AZ364" t="s">
        <v>203</v>
      </c>
      <c r="BA364" t="s">
        <v>203</v>
      </c>
      <c r="BB364" t="s">
        <v>203</v>
      </c>
      <c r="BC364" t="s">
        <v>203</v>
      </c>
      <c r="BD364" t="s">
        <v>203</v>
      </c>
      <c r="BE364" t="s">
        <v>203</v>
      </c>
      <c r="BF364">
        <v>0</v>
      </c>
      <c r="BG364">
        <v>0.2</v>
      </c>
      <c r="BH364">
        <v>50</v>
      </c>
      <c r="BI364">
        <v>0</v>
      </c>
      <c r="BJ364" t="s">
        <v>198</v>
      </c>
      <c r="BK364" t="s">
        <v>198</v>
      </c>
      <c r="BL364" t="s">
        <v>198</v>
      </c>
      <c r="BM364" t="s">
        <v>198</v>
      </c>
      <c r="BN364" t="s">
        <v>198</v>
      </c>
      <c r="BO364" t="s">
        <v>198</v>
      </c>
      <c r="BP364" t="s">
        <v>198</v>
      </c>
      <c r="BQ364" t="s">
        <v>198</v>
      </c>
      <c r="BR364" t="s">
        <v>198</v>
      </c>
      <c r="BS364" t="s">
        <v>198</v>
      </c>
      <c r="BT364" t="s">
        <v>198</v>
      </c>
      <c r="BU364" t="s">
        <v>198</v>
      </c>
      <c r="BV364" t="s">
        <v>198</v>
      </c>
      <c r="BW364" t="s">
        <v>198</v>
      </c>
      <c r="BX364" t="s">
        <v>198</v>
      </c>
      <c r="BY364" t="s">
        <v>198</v>
      </c>
      <c r="BZ364" t="s">
        <v>198</v>
      </c>
      <c r="CA364" t="s">
        <v>198</v>
      </c>
      <c r="CB364" t="s">
        <v>204</v>
      </c>
      <c r="CC364" t="s">
        <v>204</v>
      </c>
      <c r="CD364" t="s">
        <v>204</v>
      </c>
      <c r="CE364" t="s">
        <v>204</v>
      </c>
      <c r="CF364" t="s">
        <v>204</v>
      </c>
      <c r="CG364" t="s">
        <v>204</v>
      </c>
      <c r="CH364" t="s">
        <v>204</v>
      </c>
      <c r="CI364" t="s">
        <v>204</v>
      </c>
      <c r="CJ364" t="s">
        <v>204</v>
      </c>
      <c r="CK364" t="s">
        <v>204</v>
      </c>
      <c r="CL364" t="s">
        <v>204</v>
      </c>
      <c r="CM364" t="s">
        <v>204</v>
      </c>
      <c r="CN364" t="s">
        <v>203</v>
      </c>
      <c r="CO364" t="s">
        <v>203</v>
      </c>
      <c r="CP364" t="s">
        <v>203</v>
      </c>
      <c r="CQ364" t="s">
        <v>203</v>
      </c>
      <c r="CR364" t="s">
        <v>203</v>
      </c>
      <c r="CS364" t="s">
        <v>203</v>
      </c>
      <c r="CT364" t="s">
        <v>203</v>
      </c>
      <c r="CU364" t="s">
        <v>203</v>
      </c>
      <c r="CV364">
        <v>0</v>
      </c>
      <c r="CW364">
        <v>0</v>
      </c>
      <c r="CX364" t="s">
        <v>198</v>
      </c>
      <c r="CY364" t="s">
        <v>198</v>
      </c>
      <c r="CZ364" t="s">
        <v>198</v>
      </c>
      <c r="DA364" t="s">
        <v>198</v>
      </c>
      <c r="DB364" t="s">
        <v>198</v>
      </c>
      <c r="DC364">
        <v>0</v>
      </c>
      <c r="DD364">
        <v>0</v>
      </c>
      <c r="DE364">
        <v>0</v>
      </c>
      <c r="DF364">
        <v>0</v>
      </c>
      <c r="DG364">
        <v>-35.3631166</v>
      </c>
      <c r="DH364">
        <v>149.1639735</v>
      </c>
      <c r="DI364" t="s">
        <v>360</v>
      </c>
      <c r="DJ364">
        <v>1.2</v>
      </c>
      <c r="DK364">
        <v>2</v>
      </c>
      <c r="DL364">
        <v>159.8</v>
      </c>
      <c r="DM364">
        <v>0</v>
      </c>
      <c r="DN364">
        <v>6</v>
      </c>
      <c r="DO364">
        <v>10</v>
      </c>
      <c r="DP364">
        <v>0</v>
      </c>
      <c r="DQ364">
        <v>255</v>
      </c>
      <c r="DR364">
        <v>255</v>
      </c>
      <c r="DS364">
        <v>255</v>
      </c>
      <c r="DT364">
        <v>255</v>
      </c>
      <c r="DU364">
        <v>255</v>
      </c>
      <c r="DV364">
        <v>255</v>
      </c>
      <c r="DW364">
        <v>255</v>
      </c>
      <c r="DX364" t="s">
        <v>206</v>
      </c>
      <c r="DY364" t="s">
        <v>206</v>
      </c>
      <c r="DZ364" t="s">
        <v>207</v>
      </c>
      <c r="EA364" t="s">
        <v>198</v>
      </c>
      <c r="EB364" t="s">
        <v>198</v>
      </c>
      <c r="EC364" t="s">
        <v>198</v>
      </c>
      <c r="ED364">
        <v>0</v>
      </c>
      <c r="EE364">
        <v>0</v>
      </c>
      <c r="EF364">
        <v>0</v>
      </c>
      <c r="EG364">
        <v>0</v>
      </c>
      <c r="EH364">
        <v>255</v>
      </c>
      <c r="EI364">
        <v>255</v>
      </c>
      <c r="EJ364">
        <v>255</v>
      </c>
      <c r="EK364">
        <v>255</v>
      </c>
      <c r="EL364">
        <v>255</v>
      </c>
      <c r="EM364">
        <v>255</v>
      </c>
      <c r="EN364">
        <v>255</v>
      </c>
      <c r="EO364">
        <v>255</v>
      </c>
      <c r="EP364">
        <v>255</v>
      </c>
      <c r="EQ364">
        <v>255</v>
      </c>
      <c r="ER364" t="s">
        <v>208</v>
      </c>
      <c r="ES364" t="s">
        <v>209</v>
      </c>
      <c r="ET364" t="s">
        <v>209</v>
      </c>
      <c r="EU364">
        <v>0</v>
      </c>
      <c r="EV364">
        <v>16.2</v>
      </c>
      <c r="EW364">
        <v>-114.7</v>
      </c>
      <c r="EX364">
        <v>-0.2</v>
      </c>
      <c r="EY364">
        <v>0</v>
      </c>
      <c r="EZ364">
        <v>0</v>
      </c>
      <c r="FA364">
        <v>0</v>
      </c>
      <c r="FB364" t="s">
        <v>198</v>
      </c>
      <c r="FC364" t="s">
        <v>198</v>
      </c>
      <c r="FD364" t="s">
        <v>198</v>
      </c>
      <c r="FE364" t="s">
        <v>198</v>
      </c>
      <c r="FF364" t="s">
        <v>198</v>
      </c>
      <c r="FG364" t="s">
        <v>198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 t="s">
        <v>203</v>
      </c>
      <c r="FP364" t="s">
        <v>203</v>
      </c>
      <c r="FQ364" t="s">
        <v>203</v>
      </c>
      <c r="FR364" t="s">
        <v>203</v>
      </c>
      <c r="FS364" t="s">
        <v>203</v>
      </c>
      <c r="FT364" t="s">
        <v>203</v>
      </c>
      <c r="FU364" t="s">
        <v>198</v>
      </c>
      <c r="FV364" t="s">
        <v>198</v>
      </c>
      <c r="FW364" t="s">
        <v>198</v>
      </c>
      <c r="FX364" t="s">
        <v>198</v>
      </c>
      <c r="FY364" t="s">
        <v>198</v>
      </c>
      <c r="FZ364" t="s">
        <v>198</v>
      </c>
      <c r="GA364">
        <v>31.2</v>
      </c>
      <c r="GB364">
        <v>31.2</v>
      </c>
      <c r="GC364" t="s">
        <v>203</v>
      </c>
      <c r="GD364">
        <v>0</v>
      </c>
      <c r="GE364">
        <v>504</v>
      </c>
      <c r="GF364">
        <v>0</v>
      </c>
      <c r="GG364">
        <v>0</v>
      </c>
      <c r="GH364">
        <v>0</v>
      </c>
      <c r="GI364">
        <v>1</v>
      </c>
      <c r="GJ364">
        <v>1</v>
      </c>
      <c r="GK364">
        <v>0</v>
      </c>
      <c r="GL364" t="s">
        <v>198</v>
      </c>
      <c r="GM364" t="s">
        <v>198</v>
      </c>
      <c r="GN364" t="s">
        <v>198</v>
      </c>
    </row>
    <row r="365" spans="1:196">
      <c r="A365" s="19">
        <v>46316.90810582176</v>
      </c>
      <c r="B365">
        <v>0</v>
      </c>
      <c r="C365">
        <v>0</v>
      </c>
      <c r="D365">
        <v>277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584.2</v>
      </c>
      <c r="N365">
        <v>-0.5</v>
      </c>
      <c r="O365">
        <v>0</v>
      </c>
      <c r="P365">
        <v>0</v>
      </c>
      <c r="Q365">
        <v>0</v>
      </c>
      <c r="R365">
        <v>0</v>
      </c>
      <c r="S365">
        <v>115.6</v>
      </c>
      <c r="T365" t="s">
        <v>485</v>
      </c>
      <c r="U365">
        <v>115.7</v>
      </c>
      <c r="V365">
        <v>1762727256586.8</v>
      </c>
      <c r="W365">
        <v>1</v>
      </c>
      <c r="X365" t="s">
        <v>197</v>
      </c>
      <c r="Y365">
        <v>0</v>
      </c>
      <c r="Z365">
        <v>98</v>
      </c>
      <c r="AA365">
        <v>278</v>
      </c>
      <c r="AB365" t="s">
        <v>197</v>
      </c>
      <c r="AC365" t="s">
        <v>198</v>
      </c>
      <c r="AD365" t="s">
        <v>199</v>
      </c>
      <c r="AE365">
        <v>0</v>
      </c>
      <c r="AF365">
        <v>45</v>
      </c>
      <c r="AG365">
        <v>255</v>
      </c>
      <c r="AH365">
        <v>0</v>
      </c>
      <c r="AI365">
        <v>0</v>
      </c>
      <c r="AJ365">
        <v>0</v>
      </c>
      <c r="AK365">
        <v>12.6</v>
      </c>
      <c r="AL365">
        <v>0</v>
      </c>
      <c r="AM365">
        <v>0</v>
      </c>
      <c r="AN365" t="s">
        <v>197</v>
      </c>
      <c r="AO365">
        <v>100</v>
      </c>
      <c r="AP365" t="s">
        <v>197</v>
      </c>
      <c r="AQ365" t="s">
        <v>200</v>
      </c>
      <c r="AR365">
        <v>1</v>
      </c>
      <c r="AS365">
        <v>0</v>
      </c>
      <c r="AT365" t="s">
        <v>711</v>
      </c>
      <c r="AU365" t="s">
        <v>711</v>
      </c>
      <c r="AV365" t="s">
        <v>202</v>
      </c>
      <c r="AW365" t="s">
        <v>203</v>
      </c>
      <c r="AX365" t="s">
        <v>203</v>
      </c>
      <c r="AY365" t="s">
        <v>203</v>
      </c>
      <c r="AZ365" t="s">
        <v>203</v>
      </c>
      <c r="BA365" t="s">
        <v>203</v>
      </c>
      <c r="BB365" t="s">
        <v>203</v>
      </c>
      <c r="BC365" t="s">
        <v>203</v>
      </c>
      <c r="BD365" t="s">
        <v>203</v>
      </c>
      <c r="BE365" t="s">
        <v>203</v>
      </c>
      <c r="BF365">
        <v>0</v>
      </c>
      <c r="BG365">
        <v>0.2</v>
      </c>
      <c r="BH365">
        <v>50</v>
      </c>
      <c r="BI365">
        <v>0</v>
      </c>
      <c r="BJ365" t="s">
        <v>198</v>
      </c>
      <c r="BK365" t="s">
        <v>198</v>
      </c>
      <c r="BL365" t="s">
        <v>198</v>
      </c>
      <c r="BM365" t="s">
        <v>198</v>
      </c>
      <c r="BN365" t="s">
        <v>198</v>
      </c>
      <c r="BO365" t="s">
        <v>198</v>
      </c>
      <c r="BP365" t="s">
        <v>198</v>
      </c>
      <c r="BQ365" t="s">
        <v>198</v>
      </c>
      <c r="BR365" t="s">
        <v>198</v>
      </c>
      <c r="BS365" t="s">
        <v>198</v>
      </c>
      <c r="BT365" t="s">
        <v>198</v>
      </c>
      <c r="BU365" t="s">
        <v>198</v>
      </c>
      <c r="BV365" t="s">
        <v>198</v>
      </c>
      <c r="BW365" t="s">
        <v>198</v>
      </c>
      <c r="BX365" t="s">
        <v>198</v>
      </c>
      <c r="BY365" t="s">
        <v>198</v>
      </c>
      <c r="BZ365" t="s">
        <v>198</v>
      </c>
      <c r="CA365" t="s">
        <v>198</v>
      </c>
      <c r="CB365" t="s">
        <v>204</v>
      </c>
      <c r="CC365" t="s">
        <v>204</v>
      </c>
      <c r="CD365" t="s">
        <v>204</v>
      </c>
      <c r="CE365" t="s">
        <v>204</v>
      </c>
      <c r="CF365" t="s">
        <v>204</v>
      </c>
      <c r="CG365" t="s">
        <v>204</v>
      </c>
      <c r="CH365" t="s">
        <v>204</v>
      </c>
      <c r="CI365" t="s">
        <v>204</v>
      </c>
      <c r="CJ365" t="s">
        <v>204</v>
      </c>
      <c r="CK365" t="s">
        <v>204</v>
      </c>
      <c r="CL365" t="s">
        <v>204</v>
      </c>
      <c r="CM365" t="s">
        <v>204</v>
      </c>
      <c r="CN365" t="s">
        <v>203</v>
      </c>
      <c r="CO365" t="s">
        <v>203</v>
      </c>
      <c r="CP365" t="s">
        <v>203</v>
      </c>
      <c r="CQ365" t="s">
        <v>203</v>
      </c>
      <c r="CR365" t="s">
        <v>203</v>
      </c>
      <c r="CS365" t="s">
        <v>203</v>
      </c>
      <c r="CT365" t="s">
        <v>203</v>
      </c>
      <c r="CU365" t="s">
        <v>203</v>
      </c>
      <c r="CV365">
        <v>0</v>
      </c>
      <c r="CW365">
        <v>0</v>
      </c>
      <c r="CX365" t="s">
        <v>198</v>
      </c>
      <c r="CY365" t="s">
        <v>198</v>
      </c>
      <c r="CZ365" t="s">
        <v>198</v>
      </c>
      <c r="DA365" t="s">
        <v>198</v>
      </c>
      <c r="DB365" t="s">
        <v>198</v>
      </c>
      <c r="DC365">
        <v>0</v>
      </c>
      <c r="DD365">
        <v>0</v>
      </c>
      <c r="DE365">
        <v>0</v>
      </c>
      <c r="DF365">
        <v>0</v>
      </c>
      <c r="DG365">
        <v>-35.3631166</v>
      </c>
      <c r="DH365">
        <v>149.1639735</v>
      </c>
      <c r="DI365" t="s">
        <v>360</v>
      </c>
      <c r="DJ365">
        <v>1.2</v>
      </c>
      <c r="DK365">
        <v>2</v>
      </c>
      <c r="DL365">
        <v>159.8</v>
      </c>
      <c r="DM365">
        <v>0</v>
      </c>
      <c r="DN365">
        <v>6</v>
      </c>
      <c r="DO365">
        <v>10</v>
      </c>
      <c r="DP365">
        <v>0</v>
      </c>
      <c r="DQ365">
        <v>255</v>
      </c>
      <c r="DR365">
        <v>255</v>
      </c>
      <c r="DS365">
        <v>255</v>
      </c>
      <c r="DT365">
        <v>255</v>
      </c>
      <c r="DU365">
        <v>255</v>
      </c>
      <c r="DV365">
        <v>255</v>
      </c>
      <c r="DW365">
        <v>255</v>
      </c>
      <c r="DX365" t="s">
        <v>206</v>
      </c>
      <c r="DY365" t="s">
        <v>206</v>
      </c>
      <c r="DZ365" t="s">
        <v>207</v>
      </c>
      <c r="EA365" t="s">
        <v>198</v>
      </c>
      <c r="EB365" t="s">
        <v>198</v>
      </c>
      <c r="EC365" t="s">
        <v>198</v>
      </c>
      <c r="ED365">
        <v>0</v>
      </c>
      <c r="EE365">
        <v>0</v>
      </c>
      <c r="EF365">
        <v>0</v>
      </c>
      <c r="EG365">
        <v>0</v>
      </c>
      <c r="EH365">
        <v>255</v>
      </c>
      <c r="EI365">
        <v>255</v>
      </c>
      <c r="EJ365">
        <v>255</v>
      </c>
      <c r="EK365">
        <v>255</v>
      </c>
      <c r="EL365">
        <v>255</v>
      </c>
      <c r="EM365">
        <v>255</v>
      </c>
      <c r="EN365">
        <v>255</v>
      </c>
      <c r="EO365">
        <v>255</v>
      </c>
      <c r="EP365">
        <v>255</v>
      </c>
      <c r="EQ365">
        <v>255</v>
      </c>
      <c r="ER365" t="s">
        <v>208</v>
      </c>
      <c r="ES365" t="s">
        <v>209</v>
      </c>
      <c r="ET365" t="s">
        <v>209</v>
      </c>
      <c r="EU365">
        <v>0</v>
      </c>
      <c r="EV365">
        <v>16.2</v>
      </c>
      <c r="EW365">
        <v>-114.7</v>
      </c>
      <c r="EX365">
        <v>-0.2</v>
      </c>
      <c r="EY365">
        <v>0</v>
      </c>
      <c r="EZ365">
        <v>0</v>
      </c>
      <c r="FA365">
        <v>0</v>
      </c>
      <c r="FB365" t="s">
        <v>198</v>
      </c>
      <c r="FC365" t="s">
        <v>198</v>
      </c>
      <c r="FD365" t="s">
        <v>198</v>
      </c>
      <c r="FE365" t="s">
        <v>198</v>
      </c>
      <c r="FF365" t="s">
        <v>198</v>
      </c>
      <c r="FG365" t="s">
        <v>198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 t="s">
        <v>203</v>
      </c>
      <c r="FP365" t="s">
        <v>203</v>
      </c>
      <c r="FQ365" t="s">
        <v>203</v>
      </c>
      <c r="FR365" t="s">
        <v>203</v>
      </c>
      <c r="FS365" t="s">
        <v>203</v>
      </c>
      <c r="FT365" t="s">
        <v>203</v>
      </c>
      <c r="FU365" t="s">
        <v>198</v>
      </c>
      <c r="FV365" t="s">
        <v>198</v>
      </c>
      <c r="FW365" t="s">
        <v>198</v>
      </c>
      <c r="FX365" t="s">
        <v>198</v>
      </c>
      <c r="FY365" t="s">
        <v>198</v>
      </c>
      <c r="FZ365" t="s">
        <v>198</v>
      </c>
      <c r="GA365">
        <v>31.2</v>
      </c>
      <c r="GB365">
        <v>31.2</v>
      </c>
      <c r="GC365" t="s">
        <v>203</v>
      </c>
      <c r="GD365">
        <v>0</v>
      </c>
      <c r="GE365">
        <v>504</v>
      </c>
      <c r="GF365">
        <v>0</v>
      </c>
      <c r="GG365">
        <v>0</v>
      </c>
      <c r="GH365">
        <v>0</v>
      </c>
      <c r="GI365">
        <v>1</v>
      </c>
      <c r="GJ365">
        <v>1</v>
      </c>
      <c r="GK365">
        <v>0</v>
      </c>
      <c r="GL365" t="s">
        <v>198</v>
      </c>
      <c r="GM365" t="s">
        <v>198</v>
      </c>
      <c r="GN365" t="s">
        <v>198</v>
      </c>
    </row>
    <row r="366" spans="1:196">
      <c r="A366" s="19">
        <v>46316.90811739583</v>
      </c>
      <c r="B366">
        <v>0</v>
      </c>
      <c r="C366">
        <v>0</v>
      </c>
      <c r="D366">
        <v>277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584.2</v>
      </c>
      <c r="N366">
        <v>-0.5</v>
      </c>
      <c r="O366">
        <v>0</v>
      </c>
      <c r="P366">
        <v>0</v>
      </c>
      <c r="Q366">
        <v>0</v>
      </c>
      <c r="R366">
        <v>0</v>
      </c>
      <c r="S366">
        <v>115.6</v>
      </c>
      <c r="T366" t="s">
        <v>485</v>
      </c>
      <c r="U366">
        <v>115.7</v>
      </c>
      <c r="V366">
        <v>1762727256586.8</v>
      </c>
      <c r="W366">
        <v>1</v>
      </c>
      <c r="X366" t="s">
        <v>197</v>
      </c>
      <c r="Y366">
        <v>0</v>
      </c>
      <c r="Z366">
        <v>98</v>
      </c>
      <c r="AA366">
        <v>278</v>
      </c>
      <c r="AB366" t="s">
        <v>197</v>
      </c>
      <c r="AC366" t="s">
        <v>198</v>
      </c>
      <c r="AD366" t="s">
        <v>199</v>
      </c>
      <c r="AE366">
        <v>0</v>
      </c>
      <c r="AF366">
        <v>45</v>
      </c>
      <c r="AG366">
        <v>255</v>
      </c>
      <c r="AH366">
        <v>0</v>
      </c>
      <c r="AI366">
        <v>0</v>
      </c>
      <c r="AJ366">
        <v>0</v>
      </c>
      <c r="AK366">
        <v>12.6</v>
      </c>
      <c r="AL366">
        <v>0</v>
      </c>
      <c r="AM366">
        <v>0</v>
      </c>
      <c r="AN366" t="s">
        <v>197</v>
      </c>
      <c r="AO366">
        <v>100</v>
      </c>
      <c r="AP366" t="s">
        <v>197</v>
      </c>
      <c r="AQ366" t="s">
        <v>200</v>
      </c>
      <c r="AR366">
        <v>1</v>
      </c>
      <c r="AS366">
        <v>0</v>
      </c>
      <c r="AT366" t="s">
        <v>712</v>
      </c>
      <c r="AU366" t="s">
        <v>712</v>
      </c>
      <c r="AV366" t="s">
        <v>202</v>
      </c>
      <c r="AW366" t="s">
        <v>203</v>
      </c>
      <c r="AX366" t="s">
        <v>203</v>
      </c>
      <c r="AY366" t="s">
        <v>203</v>
      </c>
      <c r="AZ366" t="s">
        <v>203</v>
      </c>
      <c r="BA366" t="s">
        <v>203</v>
      </c>
      <c r="BB366" t="s">
        <v>203</v>
      </c>
      <c r="BC366" t="s">
        <v>203</v>
      </c>
      <c r="BD366" t="s">
        <v>203</v>
      </c>
      <c r="BE366" t="s">
        <v>203</v>
      </c>
      <c r="BF366">
        <v>0</v>
      </c>
      <c r="BG366">
        <v>0.2</v>
      </c>
      <c r="BH366">
        <v>50</v>
      </c>
      <c r="BI366">
        <v>0</v>
      </c>
      <c r="BJ366" t="s">
        <v>198</v>
      </c>
      <c r="BK366" t="s">
        <v>198</v>
      </c>
      <c r="BL366" t="s">
        <v>198</v>
      </c>
      <c r="BM366" t="s">
        <v>198</v>
      </c>
      <c r="BN366" t="s">
        <v>198</v>
      </c>
      <c r="BO366" t="s">
        <v>198</v>
      </c>
      <c r="BP366" t="s">
        <v>198</v>
      </c>
      <c r="BQ366" t="s">
        <v>198</v>
      </c>
      <c r="BR366" t="s">
        <v>198</v>
      </c>
      <c r="BS366" t="s">
        <v>198</v>
      </c>
      <c r="BT366" t="s">
        <v>198</v>
      </c>
      <c r="BU366" t="s">
        <v>198</v>
      </c>
      <c r="BV366" t="s">
        <v>198</v>
      </c>
      <c r="BW366" t="s">
        <v>198</v>
      </c>
      <c r="BX366" t="s">
        <v>198</v>
      </c>
      <c r="BY366" t="s">
        <v>198</v>
      </c>
      <c r="BZ366" t="s">
        <v>198</v>
      </c>
      <c r="CA366" t="s">
        <v>198</v>
      </c>
      <c r="CB366" t="s">
        <v>204</v>
      </c>
      <c r="CC366" t="s">
        <v>204</v>
      </c>
      <c r="CD366" t="s">
        <v>204</v>
      </c>
      <c r="CE366" t="s">
        <v>204</v>
      </c>
      <c r="CF366" t="s">
        <v>204</v>
      </c>
      <c r="CG366" t="s">
        <v>204</v>
      </c>
      <c r="CH366" t="s">
        <v>204</v>
      </c>
      <c r="CI366" t="s">
        <v>204</v>
      </c>
      <c r="CJ366" t="s">
        <v>204</v>
      </c>
      <c r="CK366" t="s">
        <v>204</v>
      </c>
      <c r="CL366" t="s">
        <v>204</v>
      </c>
      <c r="CM366" t="s">
        <v>204</v>
      </c>
      <c r="CN366" t="s">
        <v>203</v>
      </c>
      <c r="CO366" t="s">
        <v>203</v>
      </c>
      <c r="CP366" t="s">
        <v>203</v>
      </c>
      <c r="CQ366" t="s">
        <v>203</v>
      </c>
      <c r="CR366" t="s">
        <v>203</v>
      </c>
      <c r="CS366" t="s">
        <v>203</v>
      </c>
      <c r="CT366" t="s">
        <v>203</v>
      </c>
      <c r="CU366" t="s">
        <v>203</v>
      </c>
      <c r="CV366">
        <v>0</v>
      </c>
      <c r="CW366">
        <v>0</v>
      </c>
      <c r="CX366" t="s">
        <v>198</v>
      </c>
      <c r="CY366" t="s">
        <v>198</v>
      </c>
      <c r="CZ366" t="s">
        <v>198</v>
      </c>
      <c r="DA366" t="s">
        <v>198</v>
      </c>
      <c r="DB366" t="s">
        <v>198</v>
      </c>
      <c r="DC366">
        <v>0</v>
      </c>
      <c r="DD366">
        <v>0</v>
      </c>
      <c r="DE366">
        <v>0</v>
      </c>
      <c r="DF366">
        <v>0</v>
      </c>
      <c r="DG366">
        <v>-35.3631166</v>
      </c>
      <c r="DH366">
        <v>149.1639735</v>
      </c>
      <c r="DI366" t="s">
        <v>360</v>
      </c>
      <c r="DJ366">
        <v>1.2</v>
      </c>
      <c r="DK366">
        <v>2</v>
      </c>
      <c r="DL366">
        <v>159.8</v>
      </c>
      <c r="DM366">
        <v>0</v>
      </c>
      <c r="DN366">
        <v>6</v>
      </c>
      <c r="DO366">
        <v>10</v>
      </c>
      <c r="DP366">
        <v>0</v>
      </c>
      <c r="DQ366">
        <v>255</v>
      </c>
      <c r="DR366">
        <v>255</v>
      </c>
      <c r="DS366">
        <v>255</v>
      </c>
      <c r="DT366">
        <v>255</v>
      </c>
      <c r="DU366">
        <v>255</v>
      </c>
      <c r="DV366">
        <v>255</v>
      </c>
      <c r="DW366">
        <v>255</v>
      </c>
      <c r="DX366" t="s">
        <v>206</v>
      </c>
      <c r="DY366" t="s">
        <v>206</v>
      </c>
      <c r="DZ366" t="s">
        <v>207</v>
      </c>
      <c r="EA366" t="s">
        <v>198</v>
      </c>
      <c r="EB366" t="s">
        <v>198</v>
      </c>
      <c r="EC366" t="s">
        <v>198</v>
      </c>
      <c r="ED366">
        <v>0</v>
      </c>
      <c r="EE366">
        <v>0</v>
      </c>
      <c r="EF366">
        <v>0</v>
      </c>
      <c r="EG366">
        <v>0</v>
      </c>
      <c r="EH366">
        <v>255</v>
      </c>
      <c r="EI366">
        <v>255</v>
      </c>
      <c r="EJ366">
        <v>255</v>
      </c>
      <c r="EK366">
        <v>255</v>
      </c>
      <c r="EL366">
        <v>255</v>
      </c>
      <c r="EM366">
        <v>255</v>
      </c>
      <c r="EN366">
        <v>255</v>
      </c>
      <c r="EO366">
        <v>255</v>
      </c>
      <c r="EP366">
        <v>255</v>
      </c>
      <c r="EQ366">
        <v>255</v>
      </c>
      <c r="ER366" t="s">
        <v>208</v>
      </c>
      <c r="ES366" t="s">
        <v>209</v>
      </c>
      <c r="ET366" t="s">
        <v>209</v>
      </c>
      <c r="EU366">
        <v>0</v>
      </c>
      <c r="EV366">
        <v>16.2</v>
      </c>
      <c r="EW366">
        <v>-114.7</v>
      </c>
      <c r="EX366">
        <v>-0.2</v>
      </c>
      <c r="EY366">
        <v>0</v>
      </c>
      <c r="EZ366">
        <v>0</v>
      </c>
      <c r="FA366">
        <v>0</v>
      </c>
      <c r="FB366" t="s">
        <v>198</v>
      </c>
      <c r="FC366" t="s">
        <v>198</v>
      </c>
      <c r="FD366" t="s">
        <v>198</v>
      </c>
      <c r="FE366" t="s">
        <v>198</v>
      </c>
      <c r="FF366" t="s">
        <v>198</v>
      </c>
      <c r="FG366" t="s">
        <v>198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 t="s">
        <v>203</v>
      </c>
      <c r="FP366" t="s">
        <v>203</v>
      </c>
      <c r="FQ366" t="s">
        <v>203</v>
      </c>
      <c r="FR366" t="s">
        <v>203</v>
      </c>
      <c r="FS366" t="s">
        <v>203</v>
      </c>
      <c r="FT366" t="s">
        <v>203</v>
      </c>
      <c r="FU366" t="s">
        <v>198</v>
      </c>
      <c r="FV366" t="s">
        <v>198</v>
      </c>
      <c r="FW366" t="s">
        <v>198</v>
      </c>
      <c r="FX366" t="s">
        <v>198</v>
      </c>
      <c r="FY366" t="s">
        <v>198</v>
      </c>
      <c r="FZ366" t="s">
        <v>198</v>
      </c>
      <c r="GA366">
        <v>31.2</v>
      </c>
      <c r="GB366">
        <v>31.2</v>
      </c>
      <c r="GC366" t="s">
        <v>203</v>
      </c>
      <c r="GD366">
        <v>0</v>
      </c>
      <c r="GE366">
        <v>504</v>
      </c>
      <c r="GF366">
        <v>0</v>
      </c>
      <c r="GG366">
        <v>0</v>
      </c>
      <c r="GH366">
        <v>0</v>
      </c>
      <c r="GI366">
        <v>1</v>
      </c>
      <c r="GJ366">
        <v>1</v>
      </c>
      <c r="GK366">
        <v>0</v>
      </c>
      <c r="GL366" t="s">
        <v>198</v>
      </c>
      <c r="GM366" t="s">
        <v>198</v>
      </c>
      <c r="GN366" t="s">
        <v>198</v>
      </c>
    </row>
    <row r="367" spans="1:196">
      <c r="A367" s="19">
        <v>46316.90812896991</v>
      </c>
      <c r="B367">
        <v>0</v>
      </c>
      <c r="C367">
        <v>0</v>
      </c>
      <c r="D367">
        <v>277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584.2</v>
      </c>
      <c r="N367">
        <v>-0.5</v>
      </c>
      <c r="O367">
        <v>0</v>
      </c>
      <c r="P367">
        <v>0</v>
      </c>
      <c r="Q367">
        <v>0</v>
      </c>
      <c r="R367">
        <v>0</v>
      </c>
      <c r="S367">
        <v>115.6</v>
      </c>
      <c r="T367" t="s">
        <v>485</v>
      </c>
      <c r="U367">
        <v>115.7</v>
      </c>
      <c r="V367">
        <v>1762727256586.8</v>
      </c>
      <c r="W367">
        <v>1</v>
      </c>
      <c r="X367" t="s">
        <v>197</v>
      </c>
      <c r="Y367">
        <v>0</v>
      </c>
      <c r="Z367">
        <v>98</v>
      </c>
      <c r="AA367">
        <v>278</v>
      </c>
      <c r="AB367" t="s">
        <v>197</v>
      </c>
      <c r="AC367" t="s">
        <v>198</v>
      </c>
      <c r="AD367" t="s">
        <v>199</v>
      </c>
      <c r="AE367">
        <v>0</v>
      </c>
      <c r="AF367">
        <v>45</v>
      </c>
      <c r="AG367">
        <v>255</v>
      </c>
      <c r="AH367">
        <v>0</v>
      </c>
      <c r="AI367">
        <v>0</v>
      </c>
      <c r="AJ367">
        <v>0</v>
      </c>
      <c r="AK367">
        <v>12.6</v>
      </c>
      <c r="AL367">
        <v>0</v>
      </c>
      <c r="AM367">
        <v>0</v>
      </c>
      <c r="AN367" t="s">
        <v>197</v>
      </c>
      <c r="AO367">
        <v>100</v>
      </c>
      <c r="AP367" t="s">
        <v>197</v>
      </c>
      <c r="AQ367" t="s">
        <v>200</v>
      </c>
      <c r="AR367">
        <v>1</v>
      </c>
      <c r="AS367">
        <v>0</v>
      </c>
      <c r="AT367" t="s">
        <v>713</v>
      </c>
      <c r="AU367" t="s">
        <v>713</v>
      </c>
      <c r="AV367" t="s">
        <v>202</v>
      </c>
      <c r="AW367" t="s">
        <v>203</v>
      </c>
      <c r="AX367" t="s">
        <v>203</v>
      </c>
      <c r="AY367" t="s">
        <v>203</v>
      </c>
      <c r="AZ367" t="s">
        <v>203</v>
      </c>
      <c r="BA367" t="s">
        <v>203</v>
      </c>
      <c r="BB367" t="s">
        <v>203</v>
      </c>
      <c r="BC367" t="s">
        <v>203</v>
      </c>
      <c r="BD367" t="s">
        <v>203</v>
      </c>
      <c r="BE367" t="s">
        <v>203</v>
      </c>
      <c r="BF367">
        <v>0</v>
      </c>
      <c r="BG367">
        <v>0.2</v>
      </c>
      <c r="BH367">
        <v>50</v>
      </c>
      <c r="BI367">
        <v>0</v>
      </c>
      <c r="BJ367" t="s">
        <v>198</v>
      </c>
      <c r="BK367" t="s">
        <v>198</v>
      </c>
      <c r="BL367" t="s">
        <v>198</v>
      </c>
      <c r="BM367" t="s">
        <v>198</v>
      </c>
      <c r="BN367" t="s">
        <v>198</v>
      </c>
      <c r="BO367" t="s">
        <v>198</v>
      </c>
      <c r="BP367" t="s">
        <v>198</v>
      </c>
      <c r="BQ367" t="s">
        <v>198</v>
      </c>
      <c r="BR367" t="s">
        <v>198</v>
      </c>
      <c r="BS367" t="s">
        <v>198</v>
      </c>
      <c r="BT367" t="s">
        <v>198</v>
      </c>
      <c r="BU367" t="s">
        <v>198</v>
      </c>
      <c r="BV367" t="s">
        <v>198</v>
      </c>
      <c r="BW367" t="s">
        <v>198</v>
      </c>
      <c r="BX367" t="s">
        <v>198</v>
      </c>
      <c r="BY367" t="s">
        <v>198</v>
      </c>
      <c r="BZ367" t="s">
        <v>198</v>
      </c>
      <c r="CA367" t="s">
        <v>198</v>
      </c>
      <c r="CB367" t="s">
        <v>204</v>
      </c>
      <c r="CC367" t="s">
        <v>204</v>
      </c>
      <c r="CD367" t="s">
        <v>204</v>
      </c>
      <c r="CE367" t="s">
        <v>204</v>
      </c>
      <c r="CF367" t="s">
        <v>204</v>
      </c>
      <c r="CG367" t="s">
        <v>204</v>
      </c>
      <c r="CH367" t="s">
        <v>204</v>
      </c>
      <c r="CI367" t="s">
        <v>204</v>
      </c>
      <c r="CJ367" t="s">
        <v>204</v>
      </c>
      <c r="CK367" t="s">
        <v>204</v>
      </c>
      <c r="CL367" t="s">
        <v>204</v>
      </c>
      <c r="CM367" t="s">
        <v>204</v>
      </c>
      <c r="CN367" t="s">
        <v>203</v>
      </c>
      <c r="CO367" t="s">
        <v>203</v>
      </c>
      <c r="CP367" t="s">
        <v>203</v>
      </c>
      <c r="CQ367" t="s">
        <v>203</v>
      </c>
      <c r="CR367" t="s">
        <v>203</v>
      </c>
      <c r="CS367" t="s">
        <v>203</v>
      </c>
      <c r="CT367" t="s">
        <v>203</v>
      </c>
      <c r="CU367" t="s">
        <v>203</v>
      </c>
      <c r="CV367">
        <v>0</v>
      </c>
      <c r="CW367">
        <v>0</v>
      </c>
      <c r="CX367" t="s">
        <v>198</v>
      </c>
      <c r="CY367" t="s">
        <v>198</v>
      </c>
      <c r="CZ367" t="s">
        <v>198</v>
      </c>
      <c r="DA367" t="s">
        <v>198</v>
      </c>
      <c r="DB367" t="s">
        <v>198</v>
      </c>
      <c r="DC367">
        <v>0</v>
      </c>
      <c r="DD367">
        <v>0</v>
      </c>
      <c r="DE367">
        <v>0</v>
      </c>
      <c r="DF367">
        <v>0</v>
      </c>
      <c r="DG367">
        <v>-35.3631166</v>
      </c>
      <c r="DH367">
        <v>149.1639735</v>
      </c>
      <c r="DI367" t="s">
        <v>360</v>
      </c>
      <c r="DJ367">
        <v>1.2</v>
      </c>
      <c r="DK367">
        <v>2</v>
      </c>
      <c r="DL367">
        <v>159.8</v>
      </c>
      <c r="DM367">
        <v>0</v>
      </c>
      <c r="DN367">
        <v>6</v>
      </c>
      <c r="DO367">
        <v>10</v>
      </c>
      <c r="DP367">
        <v>0</v>
      </c>
      <c r="DQ367">
        <v>255</v>
      </c>
      <c r="DR367">
        <v>255</v>
      </c>
      <c r="DS367">
        <v>255</v>
      </c>
      <c r="DT367">
        <v>255</v>
      </c>
      <c r="DU367">
        <v>255</v>
      </c>
      <c r="DV367">
        <v>255</v>
      </c>
      <c r="DW367">
        <v>255</v>
      </c>
      <c r="DX367" t="s">
        <v>206</v>
      </c>
      <c r="DY367" t="s">
        <v>206</v>
      </c>
      <c r="DZ367" t="s">
        <v>207</v>
      </c>
      <c r="EA367" t="s">
        <v>198</v>
      </c>
      <c r="EB367" t="s">
        <v>198</v>
      </c>
      <c r="EC367" t="s">
        <v>198</v>
      </c>
      <c r="ED367">
        <v>0</v>
      </c>
      <c r="EE367">
        <v>0</v>
      </c>
      <c r="EF367">
        <v>0</v>
      </c>
      <c r="EG367">
        <v>0</v>
      </c>
      <c r="EH367">
        <v>255</v>
      </c>
      <c r="EI367">
        <v>255</v>
      </c>
      <c r="EJ367">
        <v>255</v>
      </c>
      <c r="EK367">
        <v>255</v>
      </c>
      <c r="EL367">
        <v>255</v>
      </c>
      <c r="EM367">
        <v>255</v>
      </c>
      <c r="EN367">
        <v>255</v>
      </c>
      <c r="EO367">
        <v>255</v>
      </c>
      <c r="EP367">
        <v>255</v>
      </c>
      <c r="EQ367">
        <v>255</v>
      </c>
      <c r="ER367" t="s">
        <v>208</v>
      </c>
      <c r="ES367" t="s">
        <v>209</v>
      </c>
      <c r="ET367" t="s">
        <v>209</v>
      </c>
      <c r="EU367">
        <v>0</v>
      </c>
      <c r="EV367">
        <v>16.2</v>
      </c>
      <c r="EW367">
        <v>-114.7</v>
      </c>
      <c r="EX367">
        <v>-0.2</v>
      </c>
      <c r="EY367">
        <v>0</v>
      </c>
      <c r="EZ367">
        <v>0</v>
      </c>
      <c r="FA367">
        <v>0</v>
      </c>
      <c r="FB367" t="s">
        <v>198</v>
      </c>
      <c r="FC367" t="s">
        <v>198</v>
      </c>
      <c r="FD367" t="s">
        <v>198</v>
      </c>
      <c r="FE367" t="s">
        <v>198</v>
      </c>
      <c r="FF367" t="s">
        <v>198</v>
      </c>
      <c r="FG367" t="s">
        <v>198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203</v>
      </c>
      <c r="FP367" t="s">
        <v>203</v>
      </c>
      <c r="FQ367" t="s">
        <v>203</v>
      </c>
      <c r="FR367" t="s">
        <v>203</v>
      </c>
      <c r="FS367" t="s">
        <v>203</v>
      </c>
      <c r="FT367" t="s">
        <v>203</v>
      </c>
      <c r="FU367" t="s">
        <v>198</v>
      </c>
      <c r="FV367" t="s">
        <v>198</v>
      </c>
      <c r="FW367" t="s">
        <v>198</v>
      </c>
      <c r="FX367" t="s">
        <v>198</v>
      </c>
      <c r="FY367" t="s">
        <v>198</v>
      </c>
      <c r="FZ367" t="s">
        <v>198</v>
      </c>
      <c r="GA367">
        <v>31.2</v>
      </c>
      <c r="GB367">
        <v>31.2</v>
      </c>
      <c r="GC367" t="s">
        <v>203</v>
      </c>
      <c r="GD367">
        <v>0</v>
      </c>
      <c r="GE367">
        <v>504</v>
      </c>
      <c r="GF367">
        <v>0</v>
      </c>
      <c r="GG367">
        <v>0</v>
      </c>
      <c r="GH367">
        <v>0</v>
      </c>
      <c r="GI367">
        <v>1</v>
      </c>
      <c r="GJ367">
        <v>1</v>
      </c>
      <c r="GK367">
        <v>0</v>
      </c>
      <c r="GL367" t="s">
        <v>198</v>
      </c>
      <c r="GM367" t="s">
        <v>198</v>
      </c>
      <c r="GN367" t="s">
        <v>198</v>
      </c>
    </row>
    <row r="368" spans="1:196">
      <c r="A368" s="19">
        <v>46316.90814054398</v>
      </c>
      <c r="B368">
        <v>0</v>
      </c>
      <c r="C368">
        <v>0</v>
      </c>
      <c r="D368">
        <v>277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584.2</v>
      </c>
      <c r="N368">
        <v>-0.5</v>
      </c>
      <c r="O368">
        <v>0</v>
      </c>
      <c r="P368">
        <v>0</v>
      </c>
      <c r="Q368">
        <v>0</v>
      </c>
      <c r="R368">
        <v>0</v>
      </c>
      <c r="S368">
        <v>115.6</v>
      </c>
      <c r="T368" t="s">
        <v>485</v>
      </c>
      <c r="U368">
        <v>115.7</v>
      </c>
      <c r="V368">
        <v>1762727256586.8</v>
      </c>
      <c r="W368">
        <v>1</v>
      </c>
      <c r="X368" t="s">
        <v>197</v>
      </c>
      <c r="Y368">
        <v>0</v>
      </c>
      <c r="Z368">
        <v>98</v>
      </c>
      <c r="AA368">
        <v>278</v>
      </c>
      <c r="AB368" t="s">
        <v>197</v>
      </c>
      <c r="AC368" t="s">
        <v>198</v>
      </c>
      <c r="AD368" t="s">
        <v>199</v>
      </c>
      <c r="AE368">
        <v>0</v>
      </c>
      <c r="AF368">
        <v>45</v>
      </c>
      <c r="AG368">
        <v>255</v>
      </c>
      <c r="AH368">
        <v>0</v>
      </c>
      <c r="AI368">
        <v>0</v>
      </c>
      <c r="AJ368">
        <v>0</v>
      </c>
      <c r="AK368">
        <v>12.6</v>
      </c>
      <c r="AL368">
        <v>0</v>
      </c>
      <c r="AM368">
        <v>0</v>
      </c>
      <c r="AN368" t="s">
        <v>197</v>
      </c>
      <c r="AO368">
        <v>100</v>
      </c>
      <c r="AP368" t="s">
        <v>197</v>
      </c>
      <c r="AQ368" t="s">
        <v>200</v>
      </c>
      <c r="AR368">
        <v>1</v>
      </c>
      <c r="AS368">
        <v>0</v>
      </c>
      <c r="AT368" t="s">
        <v>714</v>
      </c>
      <c r="AU368" t="s">
        <v>714</v>
      </c>
      <c r="AV368" t="s">
        <v>202</v>
      </c>
      <c r="AW368" t="s">
        <v>203</v>
      </c>
      <c r="AX368" t="s">
        <v>203</v>
      </c>
      <c r="AY368" t="s">
        <v>203</v>
      </c>
      <c r="AZ368" t="s">
        <v>203</v>
      </c>
      <c r="BA368" t="s">
        <v>203</v>
      </c>
      <c r="BB368" t="s">
        <v>203</v>
      </c>
      <c r="BC368" t="s">
        <v>203</v>
      </c>
      <c r="BD368" t="s">
        <v>203</v>
      </c>
      <c r="BE368" t="s">
        <v>203</v>
      </c>
      <c r="BF368">
        <v>0</v>
      </c>
      <c r="BG368">
        <v>0.2</v>
      </c>
      <c r="BH368">
        <v>50</v>
      </c>
      <c r="BI368">
        <v>0</v>
      </c>
      <c r="BJ368" t="s">
        <v>198</v>
      </c>
      <c r="BK368" t="s">
        <v>198</v>
      </c>
      <c r="BL368" t="s">
        <v>198</v>
      </c>
      <c r="BM368" t="s">
        <v>198</v>
      </c>
      <c r="BN368" t="s">
        <v>198</v>
      </c>
      <c r="BO368" t="s">
        <v>198</v>
      </c>
      <c r="BP368" t="s">
        <v>198</v>
      </c>
      <c r="BQ368" t="s">
        <v>198</v>
      </c>
      <c r="BR368" t="s">
        <v>198</v>
      </c>
      <c r="BS368" t="s">
        <v>198</v>
      </c>
      <c r="BT368" t="s">
        <v>198</v>
      </c>
      <c r="BU368" t="s">
        <v>198</v>
      </c>
      <c r="BV368" t="s">
        <v>198</v>
      </c>
      <c r="BW368" t="s">
        <v>198</v>
      </c>
      <c r="BX368" t="s">
        <v>198</v>
      </c>
      <c r="BY368" t="s">
        <v>198</v>
      </c>
      <c r="BZ368" t="s">
        <v>198</v>
      </c>
      <c r="CA368" t="s">
        <v>198</v>
      </c>
      <c r="CB368" t="s">
        <v>204</v>
      </c>
      <c r="CC368" t="s">
        <v>204</v>
      </c>
      <c r="CD368" t="s">
        <v>204</v>
      </c>
      <c r="CE368" t="s">
        <v>204</v>
      </c>
      <c r="CF368" t="s">
        <v>204</v>
      </c>
      <c r="CG368" t="s">
        <v>204</v>
      </c>
      <c r="CH368" t="s">
        <v>204</v>
      </c>
      <c r="CI368" t="s">
        <v>204</v>
      </c>
      <c r="CJ368" t="s">
        <v>204</v>
      </c>
      <c r="CK368" t="s">
        <v>204</v>
      </c>
      <c r="CL368" t="s">
        <v>204</v>
      </c>
      <c r="CM368" t="s">
        <v>204</v>
      </c>
      <c r="CN368" t="s">
        <v>203</v>
      </c>
      <c r="CO368" t="s">
        <v>203</v>
      </c>
      <c r="CP368" t="s">
        <v>203</v>
      </c>
      <c r="CQ368" t="s">
        <v>203</v>
      </c>
      <c r="CR368" t="s">
        <v>203</v>
      </c>
      <c r="CS368" t="s">
        <v>203</v>
      </c>
      <c r="CT368" t="s">
        <v>203</v>
      </c>
      <c r="CU368" t="s">
        <v>203</v>
      </c>
      <c r="CV368">
        <v>0</v>
      </c>
      <c r="CW368">
        <v>0</v>
      </c>
      <c r="CX368" t="s">
        <v>198</v>
      </c>
      <c r="CY368" t="s">
        <v>198</v>
      </c>
      <c r="CZ368" t="s">
        <v>198</v>
      </c>
      <c r="DA368" t="s">
        <v>198</v>
      </c>
      <c r="DB368" t="s">
        <v>198</v>
      </c>
      <c r="DC368">
        <v>0</v>
      </c>
      <c r="DD368">
        <v>0</v>
      </c>
      <c r="DE368">
        <v>0</v>
      </c>
      <c r="DF368">
        <v>0</v>
      </c>
      <c r="DG368">
        <v>-35.3631166</v>
      </c>
      <c r="DH368">
        <v>149.1639735</v>
      </c>
      <c r="DI368" t="s">
        <v>360</v>
      </c>
      <c r="DJ368">
        <v>1.2</v>
      </c>
      <c r="DK368">
        <v>2</v>
      </c>
      <c r="DL368">
        <v>159.8</v>
      </c>
      <c r="DM368">
        <v>0</v>
      </c>
      <c r="DN368">
        <v>6</v>
      </c>
      <c r="DO368">
        <v>10</v>
      </c>
      <c r="DP368">
        <v>0</v>
      </c>
      <c r="DQ368">
        <v>255</v>
      </c>
      <c r="DR368">
        <v>255</v>
      </c>
      <c r="DS368">
        <v>255</v>
      </c>
      <c r="DT368">
        <v>255</v>
      </c>
      <c r="DU368">
        <v>255</v>
      </c>
      <c r="DV368">
        <v>255</v>
      </c>
      <c r="DW368">
        <v>255</v>
      </c>
      <c r="DX368" t="s">
        <v>206</v>
      </c>
      <c r="DY368" t="s">
        <v>206</v>
      </c>
      <c r="DZ368" t="s">
        <v>207</v>
      </c>
      <c r="EA368" t="s">
        <v>198</v>
      </c>
      <c r="EB368" t="s">
        <v>198</v>
      </c>
      <c r="EC368" t="s">
        <v>198</v>
      </c>
      <c r="ED368">
        <v>0</v>
      </c>
      <c r="EE368">
        <v>0</v>
      </c>
      <c r="EF368">
        <v>0</v>
      </c>
      <c r="EG368">
        <v>0</v>
      </c>
      <c r="EH368">
        <v>255</v>
      </c>
      <c r="EI368">
        <v>255</v>
      </c>
      <c r="EJ368">
        <v>255</v>
      </c>
      <c r="EK368">
        <v>255</v>
      </c>
      <c r="EL368">
        <v>255</v>
      </c>
      <c r="EM368">
        <v>255</v>
      </c>
      <c r="EN368">
        <v>255</v>
      </c>
      <c r="EO368">
        <v>255</v>
      </c>
      <c r="EP368">
        <v>255</v>
      </c>
      <c r="EQ368">
        <v>255</v>
      </c>
      <c r="ER368" t="s">
        <v>208</v>
      </c>
      <c r="ES368" t="s">
        <v>209</v>
      </c>
      <c r="ET368" t="s">
        <v>209</v>
      </c>
      <c r="EU368">
        <v>0</v>
      </c>
      <c r="EV368">
        <v>16.2</v>
      </c>
      <c r="EW368">
        <v>-114.7</v>
      </c>
      <c r="EX368">
        <v>-0.2</v>
      </c>
      <c r="EY368">
        <v>0</v>
      </c>
      <c r="EZ368">
        <v>0</v>
      </c>
      <c r="FA368">
        <v>0</v>
      </c>
      <c r="FB368" t="s">
        <v>198</v>
      </c>
      <c r="FC368" t="s">
        <v>198</v>
      </c>
      <c r="FD368" t="s">
        <v>198</v>
      </c>
      <c r="FE368" t="s">
        <v>198</v>
      </c>
      <c r="FF368" t="s">
        <v>198</v>
      </c>
      <c r="FG368" t="s">
        <v>198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 t="s">
        <v>203</v>
      </c>
      <c r="FP368" t="s">
        <v>203</v>
      </c>
      <c r="FQ368" t="s">
        <v>203</v>
      </c>
      <c r="FR368" t="s">
        <v>203</v>
      </c>
      <c r="FS368" t="s">
        <v>203</v>
      </c>
      <c r="FT368" t="s">
        <v>203</v>
      </c>
      <c r="FU368" t="s">
        <v>198</v>
      </c>
      <c r="FV368" t="s">
        <v>198</v>
      </c>
      <c r="FW368" t="s">
        <v>198</v>
      </c>
      <c r="FX368" t="s">
        <v>198</v>
      </c>
      <c r="FY368" t="s">
        <v>198</v>
      </c>
      <c r="FZ368" t="s">
        <v>198</v>
      </c>
      <c r="GA368">
        <v>31.2</v>
      </c>
      <c r="GB368">
        <v>31.2</v>
      </c>
      <c r="GC368" t="s">
        <v>203</v>
      </c>
      <c r="GD368">
        <v>0</v>
      </c>
      <c r="GE368">
        <v>504</v>
      </c>
      <c r="GF368">
        <v>0</v>
      </c>
      <c r="GG368">
        <v>0</v>
      </c>
      <c r="GH368">
        <v>0</v>
      </c>
      <c r="GI368">
        <v>1</v>
      </c>
      <c r="GJ368">
        <v>1</v>
      </c>
      <c r="GK368">
        <v>0</v>
      </c>
      <c r="GL368" t="s">
        <v>198</v>
      </c>
      <c r="GM368" t="s">
        <v>198</v>
      </c>
      <c r="GN368" t="s">
        <v>198</v>
      </c>
    </row>
    <row r="369" spans="1:196">
      <c r="A369" s="19">
        <v>46316.90815211806</v>
      </c>
      <c r="B369">
        <v>0</v>
      </c>
      <c r="C369">
        <v>0</v>
      </c>
      <c r="D369">
        <v>277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584.2</v>
      </c>
      <c r="N369">
        <v>-0.5</v>
      </c>
      <c r="O369">
        <v>0</v>
      </c>
      <c r="P369">
        <v>0</v>
      </c>
      <c r="Q369">
        <v>0</v>
      </c>
      <c r="R369">
        <v>0</v>
      </c>
      <c r="S369">
        <v>115.6</v>
      </c>
      <c r="T369" t="s">
        <v>485</v>
      </c>
      <c r="U369">
        <v>115.7</v>
      </c>
      <c r="V369">
        <v>1762727256586.8</v>
      </c>
      <c r="W369">
        <v>1</v>
      </c>
      <c r="X369" t="s">
        <v>197</v>
      </c>
      <c r="Y369">
        <v>0</v>
      </c>
      <c r="Z369">
        <v>98</v>
      </c>
      <c r="AA369">
        <v>278</v>
      </c>
      <c r="AB369" t="s">
        <v>197</v>
      </c>
      <c r="AC369" t="s">
        <v>198</v>
      </c>
      <c r="AD369" t="s">
        <v>199</v>
      </c>
      <c r="AE369">
        <v>0</v>
      </c>
      <c r="AF369">
        <v>45</v>
      </c>
      <c r="AG369">
        <v>255</v>
      </c>
      <c r="AH369">
        <v>0</v>
      </c>
      <c r="AI369">
        <v>0</v>
      </c>
      <c r="AJ369">
        <v>0</v>
      </c>
      <c r="AK369">
        <v>12.6</v>
      </c>
      <c r="AL369">
        <v>0</v>
      </c>
      <c r="AM369">
        <v>0</v>
      </c>
      <c r="AN369" t="s">
        <v>197</v>
      </c>
      <c r="AO369">
        <v>100</v>
      </c>
      <c r="AP369" t="s">
        <v>197</v>
      </c>
      <c r="AQ369" t="s">
        <v>200</v>
      </c>
      <c r="AR369">
        <v>1</v>
      </c>
      <c r="AS369">
        <v>0</v>
      </c>
      <c r="AT369" t="s">
        <v>715</v>
      </c>
      <c r="AU369" t="s">
        <v>715</v>
      </c>
      <c r="AV369" t="s">
        <v>202</v>
      </c>
      <c r="AW369" t="s">
        <v>203</v>
      </c>
      <c r="AX369" t="s">
        <v>203</v>
      </c>
      <c r="AY369" t="s">
        <v>203</v>
      </c>
      <c r="AZ369" t="s">
        <v>203</v>
      </c>
      <c r="BA369" t="s">
        <v>203</v>
      </c>
      <c r="BB369" t="s">
        <v>203</v>
      </c>
      <c r="BC369" t="s">
        <v>203</v>
      </c>
      <c r="BD369" t="s">
        <v>203</v>
      </c>
      <c r="BE369" t="s">
        <v>203</v>
      </c>
      <c r="BF369">
        <v>0</v>
      </c>
      <c r="BG369">
        <v>0.2</v>
      </c>
      <c r="BH369">
        <v>50</v>
      </c>
      <c r="BI369">
        <v>0</v>
      </c>
      <c r="BJ369" t="s">
        <v>198</v>
      </c>
      <c r="BK369" t="s">
        <v>198</v>
      </c>
      <c r="BL369" t="s">
        <v>198</v>
      </c>
      <c r="BM369" t="s">
        <v>198</v>
      </c>
      <c r="BN369" t="s">
        <v>198</v>
      </c>
      <c r="BO369" t="s">
        <v>198</v>
      </c>
      <c r="BP369" t="s">
        <v>198</v>
      </c>
      <c r="BQ369" t="s">
        <v>198</v>
      </c>
      <c r="BR369" t="s">
        <v>198</v>
      </c>
      <c r="BS369" t="s">
        <v>198</v>
      </c>
      <c r="BT369" t="s">
        <v>198</v>
      </c>
      <c r="BU369" t="s">
        <v>198</v>
      </c>
      <c r="BV369" t="s">
        <v>198</v>
      </c>
      <c r="BW369" t="s">
        <v>198</v>
      </c>
      <c r="BX369" t="s">
        <v>198</v>
      </c>
      <c r="BY369" t="s">
        <v>198</v>
      </c>
      <c r="BZ369" t="s">
        <v>198</v>
      </c>
      <c r="CA369" t="s">
        <v>198</v>
      </c>
      <c r="CB369" t="s">
        <v>204</v>
      </c>
      <c r="CC369" t="s">
        <v>204</v>
      </c>
      <c r="CD369" t="s">
        <v>204</v>
      </c>
      <c r="CE369" t="s">
        <v>204</v>
      </c>
      <c r="CF369" t="s">
        <v>204</v>
      </c>
      <c r="CG369" t="s">
        <v>204</v>
      </c>
      <c r="CH369" t="s">
        <v>204</v>
      </c>
      <c r="CI369" t="s">
        <v>204</v>
      </c>
      <c r="CJ369" t="s">
        <v>204</v>
      </c>
      <c r="CK369" t="s">
        <v>204</v>
      </c>
      <c r="CL369" t="s">
        <v>204</v>
      </c>
      <c r="CM369" t="s">
        <v>204</v>
      </c>
      <c r="CN369" t="s">
        <v>203</v>
      </c>
      <c r="CO369" t="s">
        <v>203</v>
      </c>
      <c r="CP369" t="s">
        <v>203</v>
      </c>
      <c r="CQ369" t="s">
        <v>203</v>
      </c>
      <c r="CR369" t="s">
        <v>203</v>
      </c>
      <c r="CS369" t="s">
        <v>203</v>
      </c>
      <c r="CT369" t="s">
        <v>203</v>
      </c>
      <c r="CU369" t="s">
        <v>203</v>
      </c>
      <c r="CV369">
        <v>0</v>
      </c>
      <c r="CW369">
        <v>0</v>
      </c>
      <c r="CX369" t="s">
        <v>198</v>
      </c>
      <c r="CY369" t="s">
        <v>198</v>
      </c>
      <c r="CZ369" t="s">
        <v>198</v>
      </c>
      <c r="DA369" t="s">
        <v>198</v>
      </c>
      <c r="DB369" t="s">
        <v>198</v>
      </c>
      <c r="DC369">
        <v>0</v>
      </c>
      <c r="DD369">
        <v>0</v>
      </c>
      <c r="DE369">
        <v>0</v>
      </c>
      <c r="DF369">
        <v>0</v>
      </c>
      <c r="DG369">
        <v>-35.3631166</v>
      </c>
      <c r="DH369">
        <v>149.1639735</v>
      </c>
      <c r="DI369" t="s">
        <v>360</v>
      </c>
      <c r="DJ369">
        <v>1.2</v>
      </c>
      <c r="DK369">
        <v>2</v>
      </c>
      <c r="DL369">
        <v>159.8</v>
      </c>
      <c r="DM369">
        <v>0</v>
      </c>
      <c r="DN369">
        <v>6</v>
      </c>
      <c r="DO369">
        <v>10</v>
      </c>
      <c r="DP369">
        <v>0</v>
      </c>
      <c r="DQ369">
        <v>255</v>
      </c>
      <c r="DR369">
        <v>255</v>
      </c>
      <c r="DS369">
        <v>255</v>
      </c>
      <c r="DT369">
        <v>255</v>
      </c>
      <c r="DU369">
        <v>255</v>
      </c>
      <c r="DV369">
        <v>255</v>
      </c>
      <c r="DW369">
        <v>255</v>
      </c>
      <c r="DX369" t="s">
        <v>206</v>
      </c>
      <c r="DY369" t="s">
        <v>206</v>
      </c>
      <c r="DZ369" t="s">
        <v>207</v>
      </c>
      <c r="EA369" t="s">
        <v>198</v>
      </c>
      <c r="EB369" t="s">
        <v>198</v>
      </c>
      <c r="EC369" t="s">
        <v>198</v>
      </c>
      <c r="ED369">
        <v>0</v>
      </c>
      <c r="EE369">
        <v>0</v>
      </c>
      <c r="EF369">
        <v>0</v>
      </c>
      <c r="EG369">
        <v>0</v>
      </c>
      <c r="EH369">
        <v>255</v>
      </c>
      <c r="EI369">
        <v>255</v>
      </c>
      <c r="EJ369">
        <v>255</v>
      </c>
      <c r="EK369">
        <v>255</v>
      </c>
      <c r="EL369">
        <v>255</v>
      </c>
      <c r="EM369">
        <v>255</v>
      </c>
      <c r="EN369">
        <v>255</v>
      </c>
      <c r="EO369">
        <v>255</v>
      </c>
      <c r="EP369">
        <v>255</v>
      </c>
      <c r="EQ369">
        <v>255</v>
      </c>
      <c r="ER369" t="s">
        <v>208</v>
      </c>
      <c r="ES369" t="s">
        <v>209</v>
      </c>
      <c r="ET369" t="s">
        <v>209</v>
      </c>
      <c r="EU369">
        <v>0</v>
      </c>
      <c r="EV369">
        <v>16.2</v>
      </c>
      <c r="EW369">
        <v>-114.7</v>
      </c>
      <c r="EX369">
        <v>-0.2</v>
      </c>
      <c r="EY369">
        <v>0</v>
      </c>
      <c r="EZ369">
        <v>0</v>
      </c>
      <c r="FA369">
        <v>0</v>
      </c>
      <c r="FB369" t="s">
        <v>198</v>
      </c>
      <c r="FC369" t="s">
        <v>198</v>
      </c>
      <c r="FD369" t="s">
        <v>198</v>
      </c>
      <c r="FE369" t="s">
        <v>198</v>
      </c>
      <c r="FF369" t="s">
        <v>198</v>
      </c>
      <c r="FG369" t="s">
        <v>198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203</v>
      </c>
      <c r="FP369" t="s">
        <v>203</v>
      </c>
      <c r="FQ369" t="s">
        <v>203</v>
      </c>
      <c r="FR369" t="s">
        <v>203</v>
      </c>
      <c r="FS369" t="s">
        <v>203</v>
      </c>
      <c r="FT369" t="s">
        <v>203</v>
      </c>
      <c r="FU369" t="s">
        <v>198</v>
      </c>
      <c r="FV369" t="s">
        <v>198</v>
      </c>
      <c r="FW369" t="s">
        <v>198</v>
      </c>
      <c r="FX369" t="s">
        <v>198</v>
      </c>
      <c r="FY369" t="s">
        <v>198</v>
      </c>
      <c r="FZ369" t="s">
        <v>198</v>
      </c>
      <c r="GA369">
        <v>31.2</v>
      </c>
      <c r="GB369">
        <v>31.2</v>
      </c>
      <c r="GC369" t="s">
        <v>203</v>
      </c>
      <c r="GD369">
        <v>0</v>
      </c>
      <c r="GE369">
        <v>504</v>
      </c>
      <c r="GF369">
        <v>0</v>
      </c>
      <c r="GG369">
        <v>0</v>
      </c>
      <c r="GH369">
        <v>0</v>
      </c>
      <c r="GI369">
        <v>1</v>
      </c>
      <c r="GJ369">
        <v>1</v>
      </c>
      <c r="GK369">
        <v>0</v>
      </c>
      <c r="GL369" t="s">
        <v>198</v>
      </c>
      <c r="GM369" t="s">
        <v>198</v>
      </c>
      <c r="GN369" t="s">
        <v>198</v>
      </c>
    </row>
    <row r="370" spans="1:196">
      <c r="A370" s="19">
        <v>46316.90816369213</v>
      </c>
      <c r="B370">
        <v>0</v>
      </c>
      <c r="C370">
        <v>0</v>
      </c>
      <c r="D370">
        <v>277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584.2</v>
      </c>
      <c r="N370">
        <v>-0.5</v>
      </c>
      <c r="O370">
        <v>0</v>
      </c>
      <c r="P370">
        <v>0</v>
      </c>
      <c r="Q370">
        <v>0</v>
      </c>
      <c r="R370">
        <v>0</v>
      </c>
      <c r="S370">
        <v>115.6</v>
      </c>
      <c r="T370" t="s">
        <v>485</v>
      </c>
      <c r="U370">
        <v>115.7</v>
      </c>
      <c r="V370">
        <v>1762727256586.8</v>
      </c>
      <c r="W370">
        <v>1</v>
      </c>
      <c r="X370" t="s">
        <v>197</v>
      </c>
      <c r="Y370">
        <v>0</v>
      </c>
      <c r="Z370">
        <v>98</v>
      </c>
      <c r="AA370">
        <v>278</v>
      </c>
      <c r="AB370" t="s">
        <v>197</v>
      </c>
      <c r="AC370" t="s">
        <v>198</v>
      </c>
      <c r="AD370" t="s">
        <v>199</v>
      </c>
      <c r="AE370">
        <v>0</v>
      </c>
      <c r="AF370">
        <v>45</v>
      </c>
      <c r="AG370">
        <v>255</v>
      </c>
      <c r="AH370">
        <v>0</v>
      </c>
      <c r="AI370">
        <v>0</v>
      </c>
      <c r="AJ370">
        <v>0</v>
      </c>
      <c r="AK370">
        <v>12.6</v>
      </c>
      <c r="AL370">
        <v>0</v>
      </c>
      <c r="AM370">
        <v>0</v>
      </c>
      <c r="AN370" t="s">
        <v>197</v>
      </c>
      <c r="AO370">
        <v>100</v>
      </c>
      <c r="AP370" t="s">
        <v>197</v>
      </c>
      <c r="AQ370" t="s">
        <v>200</v>
      </c>
      <c r="AR370">
        <v>1</v>
      </c>
      <c r="AS370">
        <v>0</v>
      </c>
      <c r="AT370" t="s">
        <v>716</v>
      </c>
      <c r="AU370" t="s">
        <v>716</v>
      </c>
      <c r="AV370" t="s">
        <v>202</v>
      </c>
      <c r="AW370" t="s">
        <v>203</v>
      </c>
      <c r="AX370" t="s">
        <v>203</v>
      </c>
      <c r="AY370" t="s">
        <v>203</v>
      </c>
      <c r="AZ370" t="s">
        <v>203</v>
      </c>
      <c r="BA370" t="s">
        <v>203</v>
      </c>
      <c r="BB370" t="s">
        <v>203</v>
      </c>
      <c r="BC370" t="s">
        <v>203</v>
      </c>
      <c r="BD370" t="s">
        <v>203</v>
      </c>
      <c r="BE370" t="s">
        <v>203</v>
      </c>
      <c r="BF370">
        <v>0</v>
      </c>
      <c r="BG370">
        <v>0.2</v>
      </c>
      <c r="BH370">
        <v>50</v>
      </c>
      <c r="BI370">
        <v>0</v>
      </c>
      <c r="BJ370" t="s">
        <v>198</v>
      </c>
      <c r="BK370" t="s">
        <v>198</v>
      </c>
      <c r="BL370" t="s">
        <v>198</v>
      </c>
      <c r="BM370" t="s">
        <v>198</v>
      </c>
      <c r="BN370" t="s">
        <v>198</v>
      </c>
      <c r="BO370" t="s">
        <v>198</v>
      </c>
      <c r="BP370" t="s">
        <v>198</v>
      </c>
      <c r="BQ370" t="s">
        <v>198</v>
      </c>
      <c r="BR370" t="s">
        <v>198</v>
      </c>
      <c r="BS370" t="s">
        <v>198</v>
      </c>
      <c r="BT370" t="s">
        <v>198</v>
      </c>
      <c r="BU370" t="s">
        <v>198</v>
      </c>
      <c r="BV370" t="s">
        <v>198</v>
      </c>
      <c r="BW370" t="s">
        <v>198</v>
      </c>
      <c r="BX370" t="s">
        <v>198</v>
      </c>
      <c r="BY370" t="s">
        <v>198</v>
      </c>
      <c r="BZ370" t="s">
        <v>198</v>
      </c>
      <c r="CA370" t="s">
        <v>198</v>
      </c>
      <c r="CB370" t="s">
        <v>204</v>
      </c>
      <c r="CC370" t="s">
        <v>204</v>
      </c>
      <c r="CD370" t="s">
        <v>204</v>
      </c>
      <c r="CE370" t="s">
        <v>204</v>
      </c>
      <c r="CF370" t="s">
        <v>204</v>
      </c>
      <c r="CG370" t="s">
        <v>204</v>
      </c>
      <c r="CH370" t="s">
        <v>204</v>
      </c>
      <c r="CI370" t="s">
        <v>204</v>
      </c>
      <c r="CJ370" t="s">
        <v>204</v>
      </c>
      <c r="CK370" t="s">
        <v>204</v>
      </c>
      <c r="CL370" t="s">
        <v>204</v>
      </c>
      <c r="CM370" t="s">
        <v>204</v>
      </c>
      <c r="CN370" t="s">
        <v>203</v>
      </c>
      <c r="CO370" t="s">
        <v>203</v>
      </c>
      <c r="CP370" t="s">
        <v>203</v>
      </c>
      <c r="CQ370" t="s">
        <v>203</v>
      </c>
      <c r="CR370" t="s">
        <v>203</v>
      </c>
      <c r="CS370" t="s">
        <v>203</v>
      </c>
      <c r="CT370" t="s">
        <v>203</v>
      </c>
      <c r="CU370" t="s">
        <v>203</v>
      </c>
      <c r="CV370">
        <v>0</v>
      </c>
      <c r="CW370">
        <v>0</v>
      </c>
      <c r="CX370" t="s">
        <v>198</v>
      </c>
      <c r="CY370" t="s">
        <v>198</v>
      </c>
      <c r="CZ370" t="s">
        <v>198</v>
      </c>
      <c r="DA370" t="s">
        <v>198</v>
      </c>
      <c r="DB370" t="s">
        <v>198</v>
      </c>
      <c r="DC370">
        <v>0</v>
      </c>
      <c r="DD370">
        <v>0</v>
      </c>
      <c r="DE370">
        <v>0</v>
      </c>
      <c r="DF370">
        <v>0</v>
      </c>
      <c r="DG370">
        <v>-35.3631166</v>
      </c>
      <c r="DH370">
        <v>149.1639735</v>
      </c>
      <c r="DI370" t="s">
        <v>360</v>
      </c>
      <c r="DJ370">
        <v>1.2</v>
      </c>
      <c r="DK370">
        <v>2</v>
      </c>
      <c r="DL370">
        <v>159.8</v>
      </c>
      <c r="DM370">
        <v>0</v>
      </c>
      <c r="DN370">
        <v>6</v>
      </c>
      <c r="DO370">
        <v>10</v>
      </c>
      <c r="DP370">
        <v>0</v>
      </c>
      <c r="DQ370">
        <v>255</v>
      </c>
      <c r="DR370">
        <v>255</v>
      </c>
      <c r="DS370">
        <v>255</v>
      </c>
      <c r="DT370">
        <v>255</v>
      </c>
      <c r="DU370">
        <v>255</v>
      </c>
      <c r="DV370">
        <v>255</v>
      </c>
      <c r="DW370">
        <v>255</v>
      </c>
      <c r="DX370" t="s">
        <v>206</v>
      </c>
      <c r="DY370" t="s">
        <v>206</v>
      </c>
      <c r="DZ370" t="s">
        <v>207</v>
      </c>
      <c r="EA370" t="s">
        <v>198</v>
      </c>
      <c r="EB370" t="s">
        <v>198</v>
      </c>
      <c r="EC370" t="s">
        <v>198</v>
      </c>
      <c r="ED370">
        <v>0</v>
      </c>
      <c r="EE370">
        <v>0</v>
      </c>
      <c r="EF370">
        <v>0</v>
      </c>
      <c r="EG370">
        <v>0</v>
      </c>
      <c r="EH370">
        <v>255</v>
      </c>
      <c r="EI370">
        <v>255</v>
      </c>
      <c r="EJ370">
        <v>255</v>
      </c>
      <c r="EK370">
        <v>255</v>
      </c>
      <c r="EL370">
        <v>255</v>
      </c>
      <c r="EM370">
        <v>255</v>
      </c>
      <c r="EN370">
        <v>255</v>
      </c>
      <c r="EO370">
        <v>255</v>
      </c>
      <c r="EP370">
        <v>255</v>
      </c>
      <c r="EQ370">
        <v>255</v>
      </c>
      <c r="ER370" t="s">
        <v>208</v>
      </c>
      <c r="ES370" t="s">
        <v>209</v>
      </c>
      <c r="ET370" t="s">
        <v>209</v>
      </c>
      <c r="EU370">
        <v>0</v>
      </c>
      <c r="EV370">
        <v>16.2</v>
      </c>
      <c r="EW370">
        <v>-114.7</v>
      </c>
      <c r="EX370">
        <v>-0.2</v>
      </c>
      <c r="EY370">
        <v>0</v>
      </c>
      <c r="EZ370">
        <v>0</v>
      </c>
      <c r="FA370">
        <v>0</v>
      </c>
      <c r="FB370" t="s">
        <v>198</v>
      </c>
      <c r="FC370" t="s">
        <v>198</v>
      </c>
      <c r="FD370" t="s">
        <v>198</v>
      </c>
      <c r="FE370" t="s">
        <v>198</v>
      </c>
      <c r="FF370" t="s">
        <v>198</v>
      </c>
      <c r="FG370" t="s">
        <v>198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 t="s">
        <v>203</v>
      </c>
      <c r="FP370" t="s">
        <v>203</v>
      </c>
      <c r="FQ370" t="s">
        <v>203</v>
      </c>
      <c r="FR370" t="s">
        <v>203</v>
      </c>
      <c r="FS370" t="s">
        <v>203</v>
      </c>
      <c r="FT370" t="s">
        <v>203</v>
      </c>
      <c r="FU370" t="s">
        <v>198</v>
      </c>
      <c r="FV370" t="s">
        <v>198</v>
      </c>
      <c r="FW370" t="s">
        <v>198</v>
      </c>
      <c r="FX370" t="s">
        <v>198</v>
      </c>
      <c r="FY370" t="s">
        <v>198</v>
      </c>
      <c r="FZ370" t="s">
        <v>198</v>
      </c>
      <c r="GA370">
        <v>31.2</v>
      </c>
      <c r="GB370">
        <v>31.2</v>
      </c>
      <c r="GC370" t="s">
        <v>203</v>
      </c>
      <c r="GD370">
        <v>0</v>
      </c>
      <c r="GE370">
        <v>504</v>
      </c>
      <c r="GF370">
        <v>0</v>
      </c>
      <c r="GG370">
        <v>0</v>
      </c>
      <c r="GH370">
        <v>0</v>
      </c>
      <c r="GI370">
        <v>1</v>
      </c>
      <c r="GJ370">
        <v>1</v>
      </c>
      <c r="GK370">
        <v>0</v>
      </c>
      <c r="GL370" t="s">
        <v>198</v>
      </c>
      <c r="GM370" t="s">
        <v>198</v>
      </c>
      <c r="GN370" t="s">
        <v>198</v>
      </c>
    </row>
    <row r="371" spans="1:196">
      <c r="A371" s="19">
        <v>46316.9081752662</v>
      </c>
      <c r="B371">
        <v>0</v>
      </c>
      <c r="C371">
        <v>0</v>
      </c>
      <c r="D371">
        <v>277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584.2</v>
      </c>
      <c r="N371">
        <v>-0.5</v>
      </c>
      <c r="O371">
        <v>0</v>
      </c>
      <c r="P371">
        <v>0</v>
      </c>
      <c r="Q371">
        <v>0</v>
      </c>
      <c r="R371">
        <v>0</v>
      </c>
      <c r="S371">
        <v>115.6</v>
      </c>
      <c r="T371" t="s">
        <v>485</v>
      </c>
      <c r="U371">
        <v>115.7</v>
      </c>
      <c r="V371">
        <v>1762727256586.8</v>
      </c>
      <c r="W371">
        <v>1</v>
      </c>
      <c r="X371" t="s">
        <v>197</v>
      </c>
      <c r="Y371">
        <v>0</v>
      </c>
      <c r="Z371">
        <v>98</v>
      </c>
      <c r="AA371">
        <v>278</v>
      </c>
      <c r="AB371" t="s">
        <v>197</v>
      </c>
      <c r="AC371" t="s">
        <v>198</v>
      </c>
      <c r="AD371" t="s">
        <v>199</v>
      </c>
      <c r="AE371">
        <v>0</v>
      </c>
      <c r="AF371">
        <v>45</v>
      </c>
      <c r="AG371">
        <v>255</v>
      </c>
      <c r="AH371">
        <v>0</v>
      </c>
      <c r="AI371">
        <v>0</v>
      </c>
      <c r="AJ371">
        <v>0</v>
      </c>
      <c r="AK371">
        <v>12.6</v>
      </c>
      <c r="AL371">
        <v>0</v>
      </c>
      <c r="AM371">
        <v>0</v>
      </c>
      <c r="AN371" t="s">
        <v>197</v>
      </c>
      <c r="AO371">
        <v>100</v>
      </c>
      <c r="AP371" t="s">
        <v>197</v>
      </c>
      <c r="AQ371" t="s">
        <v>200</v>
      </c>
      <c r="AR371">
        <v>1</v>
      </c>
      <c r="AS371">
        <v>0</v>
      </c>
      <c r="AT371" t="s">
        <v>717</v>
      </c>
      <c r="AU371" t="s">
        <v>717</v>
      </c>
      <c r="AV371" t="s">
        <v>202</v>
      </c>
      <c r="AW371" t="s">
        <v>203</v>
      </c>
      <c r="AX371" t="s">
        <v>203</v>
      </c>
      <c r="AY371" t="s">
        <v>203</v>
      </c>
      <c r="AZ371" t="s">
        <v>203</v>
      </c>
      <c r="BA371" t="s">
        <v>203</v>
      </c>
      <c r="BB371" t="s">
        <v>203</v>
      </c>
      <c r="BC371" t="s">
        <v>203</v>
      </c>
      <c r="BD371" t="s">
        <v>203</v>
      </c>
      <c r="BE371" t="s">
        <v>203</v>
      </c>
      <c r="BF371">
        <v>0</v>
      </c>
      <c r="BG371">
        <v>0.2</v>
      </c>
      <c r="BH371">
        <v>50</v>
      </c>
      <c r="BI371">
        <v>0</v>
      </c>
      <c r="BJ371" t="s">
        <v>198</v>
      </c>
      <c r="BK371" t="s">
        <v>198</v>
      </c>
      <c r="BL371" t="s">
        <v>198</v>
      </c>
      <c r="BM371" t="s">
        <v>198</v>
      </c>
      <c r="BN371" t="s">
        <v>198</v>
      </c>
      <c r="BO371" t="s">
        <v>198</v>
      </c>
      <c r="BP371" t="s">
        <v>198</v>
      </c>
      <c r="BQ371" t="s">
        <v>198</v>
      </c>
      <c r="BR371" t="s">
        <v>198</v>
      </c>
      <c r="BS371" t="s">
        <v>198</v>
      </c>
      <c r="BT371" t="s">
        <v>198</v>
      </c>
      <c r="BU371" t="s">
        <v>198</v>
      </c>
      <c r="BV371" t="s">
        <v>198</v>
      </c>
      <c r="BW371" t="s">
        <v>198</v>
      </c>
      <c r="BX371" t="s">
        <v>198</v>
      </c>
      <c r="BY371" t="s">
        <v>198</v>
      </c>
      <c r="BZ371" t="s">
        <v>198</v>
      </c>
      <c r="CA371" t="s">
        <v>198</v>
      </c>
      <c r="CB371" t="s">
        <v>204</v>
      </c>
      <c r="CC371" t="s">
        <v>204</v>
      </c>
      <c r="CD371" t="s">
        <v>204</v>
      </c>
      <c r="CE371" t="s">
        <v>204</v>
      </c>
      <c r="CF371" t="s">
        <v>204</v>
      </c>
      <c r="CG371" t="s">
        <v>204</v>
      </c>
      <c r="CH371" t="s">
        <v>204</v>
      </c>
      <c r="CI371" t="s">
        <v>204</v>
      </c>
      <c r="CJ371" t="s">
        <v>204</v>
      </c>
      <c r="CK371" t="s">
        <v>204</v>
      </c>
      <c r="CL371" t="s">
        <v>204</v>
      </c>
      <c r="CM371" t="s">
        <v>204</v>
      </c>
      <c r="CN371" t="s">
        <v>203</v>
      </c>
      <c r="CO371" t="s">
        <v>203</v>
      </c>
      <c r="CP371" t="s">
        <v>203</v>
      </c>
      <c r="CQ371" t="s">
        <v>203</v>
      </c>
      <c r="CR371" t="s">
        <v>203</v>
      </c>
      <c r="CS371" t="s">
        <v>203</v>
      </c>
      <c r="CT371" t="s">
        <v>203</v>
      </c>
      <c r="CU371" t="s">
        <v>203</v>
      </c>
      <c r="CV371">
        <v>0</v>
      </c>
      <c r="CW371">
        <v>0</v>
      </c>
      <c r="CX371" t="s">
        <v>198</v>
      </c>
      <c r="CY371" t="s">
        <v>198</v>
      </c>
      <c r="CZ371" t="s">
        <v>198</v>
      </c>
      <c r="DA371" t="s">
        <v>198</v>
      </c>
      <c r="DB371" t="s">
        <v>198</v>
      </c>
      <c r="DC371">
        <v>0</v>
      </c>
      <c r="DD371">
        <v>0</v>
      </c>
      <c r="DE371">
        <v>0</v>
      </c>
      <c r="DF371">
        <v>0</v>
      </c>
      <c r="DG371">
        <v>-35.3631166</v>
      </c>
      <c r="DH371">
        <v>149.1639735</v>
      </c>
      <c r="DI371" t="s">
        <v>360</v>
      </c>
      <c r="DJ371">
        <v>1.2</v>
      </c>
      <c r="DK371">
        <v>2</v>
      </c>
      <c r="DL371">
        <v>159.8</v>
      </c>
      <c r="DM371">
        <v>0</v>
      </c>
      <c r="DN371">
        <v>6</v>
      </c>
      <c r="DO371">
        <v>10</v>
      </c>
      <c r="DP371">
        <v>0</v>
      </c>
      <c r="DQ371">
        <v>255</v>
      </c>
      <c r="DR371">
        <v>255</v>
      </c>
      <c r="DS371">
        <v>255</v>
      </c>
      <c r="DT371">
        <v>255</v>
      </c>
      <c r="DU371">
        <v>255</v>
      </c>
      <c r="DV371">
        <v>255</v>
      </c>
      <c r="DW371">
        <v>255</v>
      </c>
      <c r="DX371" t="s">
        <v>206</v>
      </c>
      <c r="DY371" t="s">
        <v>206</v>
      </c>
      <c r="DZ371" t="s">
        <v>207</v>
      </c>
      <c r="EA371" t="s">
        <v>198</v>
      </c>
      <c r="EB371" t="s">
        <v>198</v>
      </c>
      <c r="EC371" t="s">
        <v>198</v>
      </c>
      <c r="ED371">
        <v>0</v>
      </c>
      <c r="EE371">
        <v>0</v>
      </c>
      <c r="EF371">
        <v>0</v>
      </c>
      <c r="EG371">
        <v>0</v>
      </c>
      <c r="EH371">
        <v>255</v>
      </c>
      <c r="EI371">
        <v>255</v>
      </c>
      <c r="EJ371">
        <v>255</v>
      </c>
      <c r="EK371">
        <v>255</v>
      </c>
      <c r="EL371">
        <v>255</v>
      </c>
      <c r="EM371">
        <v>255</v>
      </c>
      <c r="EN371">
        <v>255</v>
      </c>
      <c r="EO371">
        <v>255</v>
      </c>
      <c r="EP371">
        <v>255</v>
      </c>
      <c r="EQ371">
        <v>255</v>
      </c>
      <c r="ER371" t="s">
        <v>208</v>
      </c>
      <c r="ES371" t="s">
        <v>209</v>
      </c>
      <c r="ET371" t="s">
        <v>209</v>
      </c>
      <c r="EU371">
        <v>0</v>
      </c>
      <c r="EV371">
        <v>16.2</v>
      </c>
      <c r="EW371">
        <v>-114.7</v>
      </c>
      <c r="EX371">
        <v>-0.2</v>
      </c>
      <c r="EY371">
        <v>0</v>
      </c>
      <c r="EZ371">
        <v>0</v>
      </c>
      <c r="FA371">
        <v>0</v>
      </c>
      <c r="FB371" t="s">
        <v>198</v>
      </c>
      <c r="FC371" t="s">
        <v>198</v>
      </c>
      <c r="FD371" t="s">
        <v>198</v>
      </c>
      <c r="FE371" t="s">
        <v>198</v>
      </c>
      <c r="FF371" t="s">
        <v>198</v>
      </c>
      <c r="FG371" t="s">
        <v>198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 t="s">
        <v>203</v>
      </c>
      <c r="FP371" t="s">
        <v>203</v>
      </c>
      <c r="FQ371" t="s">
        <v>203</v>
      </c>
      <c r="FR371" t="s">
        <v>203</v>
      </c>
      <c r="FS371" t="s">
        <v>203</v>
      </c>
      <c r="FT371" t="s">
        <v>203</v>
      </c>
      <c r="FU371" t="s">
        <v>198</v>
      </c>
      <c r="FV371" t="s">
        <v>198</v>
      </c>
      <c r="FW371" t="s">
        <v>198</v>
      </c>
      <c r="FX371" t="s">
        <v>198</v>
      </c>
      <c r="FY371" t="s">
        <v>198</v>
      </c>
      <c r="FZ371" t="s">
        <v>198</v>
      </c>
      <c r="GA371">
        <v>31.2</v>
      </c>
      <c r="GB371">
        <v>31.2</v>
      </c>
      <c r="GC371" t="s">
        <v>203</v>
      </c>
      <c r="GD371">
        <v>0</v>
      </c>
      <c r="GE371">
        <v>504</v>
      </c>
      <c r="GF371">
        <v>0</v>
      </c>
      <c r="GG371">
        <v>0</v>
      </c>
      <c r="GH371">
        <v>0</v>
      </c>
      <c r="GI371">
        <v>1</v>
      </c>
      <c r="GJ371">
        <v>1</v>
      </c>
      <c r="GK371">
        <v>0</v>
      </c>
      <c r="GL371" t="s">
        <v>198</v>
      </c>
      <c r="GM371" t="s">
        <v>198</v>
      </c>
      <c r="GN371" t="s">
        <v>198</v>
      </c>
    </row>
    <row r="372" spans="1:196">
      <c r="A372" s="19">
        <v>46316.90818684028</v>
      </c>
      <c r="B372">
        <v>0</v>
      </c>
      <c r="C372">
        <v>0</v>
      </c>
      <c r="D372">
        <v>277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584.2</v>
      </c>
      <c r="N372">
        <v>-0.5</v>
      </c>
      <c r="O372">
        <v>0</v>
      </c>
      <c r="P372">
        <v>0</v>
      </c>
      <c r="Q372">
        <v>0</v>
      </c>
      <c r="R372">
        <v>0</v>
      </c>
      <c r="S372">
        <v>115.6</v>
      </c>
      <c r="T372" t="s">
        <v>485</v>
      </c>
      <c r="U372">
        <v>115.7</v>
      </c>
      <c r="V372">
        <v>1762727256586.8</v>
      </c>
      <c r="W372">
        <v>1</v>
      </c>
      <c r="X372" t="s">
        <v>197</v>
      </c>
      <c r="Y372">
        <v>0</v>
      </c>
      <c r="Z372">
        <v>98</v>
      </c>
      <c r="AA372">
        <v>278</v>
      </c>
      <c r="AB372" t="s">
        <v>197</v>
      </c>
      <c r="AC372" t="s">
        <v>198</v>
      </c>
      <c r="AD372" t="s">
        <v>199</v>
      </c>
      <c r="AE372">
        <v>0</v>
      </c>
      <c r="AF372">
        <v>45</v>
      </c>
      <c r="AG372">
        <v>255</v>
      </c>
      <c r="AH372">
        <v>0</v>
      </c>
      <c r="AI372">
        <v>0</v>
      </c>
      <c r="AJ372">
        <v>0</v>
      </c>
      <c r="AK372">
        <v>12.6</v>
      </c>
      <c r="AL372">
        <v>0</v>
      </c>
      <c r="AM372">
        <v>0</v>
      </c>
      <c r="AN372" t="s">
        <v>197</v>
      </c>
      <c r="AO372">
        <v>100</v>
      </c>
      <c r="AP372" t="s">
        <v>197</v>
      </c>
      <c r="AQ372" t="s">
        <v>200</v>
      </c>
      <c r="AR372">
        <v>1</v>
      </c>
      <c r="AS372">
        <v>0</v>
      </c>
      <c r="AT372" t="s">
        <v>718</v>
      </c>
      <c r="AU372" t="s">
        <v>718</v>
      </c>
      <c r="AV372" t="s">
        <v>202</v>
      </c>
      <c r="AW372" t="s">
        <v>203</v>
      </c>
      <c r="AX372" t="s">
        <v>203</v>
      </c>
      <c r="AY372" t="s">
        <v>203</v>
      </c>
      <c r="AZ372" t="s">
        <v>203</v>
      </c>
      <c r="BA372" t="s">
        <v>203</v>
      </c>
      <c r="BB372" t="s">
        <v>203</v>
      </c>
      <c r="BC372" t="s">
        <v>203</v>
      </c>
      <c r="BD372" t="s">
        <v>203</v>
      </c>
      <c r="BE372" t="s">
        <v>203</v>
      </c>
      <c r="BF372">
        <v>0</v>
      </c>
      <c r="BG372">
        <v>0.2</v>
      </c>
      <c r="BH372">
        <v>50</v>
      </c>
      <c r="BI372">
        <v>0</v>
      </c>
      <c r="BJ372" t="s">
        <v>198</v>
      </c>
      <c r="BK372" t="s">
        <v>198</v>
      </c>
      <c r="BL372" t="s">
        <v>198</v>
      </c>
      <c r="BM372" t="s">
        <v>198</v>
      </c>
      <c r="BN372" t="s">
        <v>198</v>
      </c>
      <c r="BO372" t="s">
        <v>198</v>
      </c>
      <c r="BP372" t="s">
        <v>198</v>
      </c>
      <c r="BQ372" t="s">
        <v>198</v>
      </c>
      <c r="BR372" t="s">
        <v>198</v>
      </c>
      <c r="BS372" t="s">
        <v>198</v>
      </c>
      <c r="BT372" t="s">
        <v>198</v>
      </c>
      <c r="BU372" t="s">
        <v>198</v>
      </c>
      <c r="BV372" t="s">
        <v>198</v>
      </c>
      <c r="BW372" t="s">
        <v>198</v>
      </c>
      <c r="BX372" t="s">
        <v>198</v>
      </c>
      <c r="BY372" t="s">
        <v>198</v>
      </c>
      <c r="BZ372" t="s">
        <v>198</v>
      </c>
      <c r="CA372" t="s">
        <v>198</v>
      </c>
      <c r="CB372" t="s">
        <v>204</v>
      </c>
      <c r="CC372" t="s">
        <v>204</v>
      </c>
      <c r="CD372" t="s">
        <v>204</v>
      </c>
      <c r="CE372" t="s">
        <v>204</v>
      </c>
      <c r="CF372" t="s">
        <v>204</v>
      </c>
      <c r="CG372" t="s">
        <v>204</v>
      </c>
      <c r="CH372" t="s">
        <v>204</v>
      </c>
      <c r="CI372" t="s">
        <v>204</v>
      </c>
      <c r="CJ372" t="s">
        <v>204</v>
      </c>
      <c r="CK372" t="s">
        <v>204</v>
      </c>
      <c r="CL372" t="s">
        <v>204</v>
      </c>
      <c r="CM372" t="s">
        <v>204</v>
      </c>
      <c r="CN372" t="s">
        <v>203</v>
      </c>
      <c r="CO372" t="s">
        <v>203</v>
      </c>
      <c r="CP372" t="s">
        <v>203</v>
      </c>
      <c r="CQ372" t="s">
        <v>203</v>
      </c>
      <c r="CR372" t="s">
        <v>203</v>
      </c>
      <c r="CS372" t="s">
        <v>203</v>
      </c>
      <c r="CT372" t="s">
        <v>203</v>
      </c>
      <c r="CU372" t="s">
        <v>203</v>
      </c>
      <c r="CV372">
        <v>0</v>
      </c>
      <c r="CW372">
        <v>0</v>
      </c>
      <c r="CX372" t="s">
        <v>198</v>
      </c>
      <c r="CY372" t="s">
        <v>198</v>
      </c>
      <c r="CZ372" t="s">
        <v>198</v>
      </c>
      <c r="DA372" t="s">
        <v>198</v>
      </c>
      <c r="DB372" t="s">
        <v>198</v>
      </c>
      <c r="DC372">
        <v>0</v>
      </c>
      <c r="DD372">
        <v>0</v>
      </c>
      <c r="DE372">
        <v>0</v>
      </c>
      <c r="DF372">
        <v>0</v>
      </c>
      <c r="DG372">
        <v>-35.3631166</v>
      </c>
      <c r="DH372">
        <v>149.1639735</v>
      </c>
      <c r="DI372" t="s">
        <v>360</v>
      </c>
      <c r="DJ372">
        <v>1.2</v>
      </c>
      <c r="DK372">
        <v>2</v>
      </c>
      <c r="DL372">
        <v>159.8</v>
      </c>
      <c r="DM372">
        <v>0</v>
      </c>
      <c r="DN372">
        <v>6</v>
      </c>
      <c r="DO372">
        <v>10</v>
      </c>
      <c r="DP372">
        <v>0</v>
      </c>
      <c r="DQ372">
        <v>255</v>
      </c>
      <c r="DR372">
        <v>255</v>
      </c>
      <c r="DS372">
        <v>255</v>
      </c>
      <c r="DT372">
        <v>255</v>
      </c>
      <c r="DU372">
        <v>255</v>
      </c>
      <c r="DV372">
        <v>255</v>
      </c>
      <c r="DW372">
        <v>255</v>
      </c>
      <c r="DX372" t="s">
        <v>206</v>
      </c>
      <c r="DY372" t="s">
        <v>206</v>
      </c>
      <c r="DZ372" t="s">
        <v>207</v>
      </c>
      <c r="EA372" t="s">
        <v>198</v>
      </c>
      <c r="EB372" t="s">
        <v>198</v>
      </c>
      <c r="EC372" t="s">
        <v>198</v>
      </c>
      <c r="ED372">
        <v>0</v>
      </c>
      <c r="EE372">
        <v>0</v>
      </c>
      <c r="EF372">
        <v>0</v>
      </c>
      <c r="EG372">
        <v>0</v>
      </c>
      <c r="EH372">
        <v>255</v>
      </c>
      <c r="EI372">
        <v>255</v>
      </c>
      <c r="EJ372">
        <v>255</v>
      </c>
      <c r="EK372">
        <v>255</v>
      </c>
      <c r="EL372">
        <v>255</v>
      </c>
      <c r="EM372">
        <v>255</v>
      </c>
      <c r="EN372">
        <v>255</v>
      </c>
      <c r="EO372">
        <v>255</v>
      </c>
      <c r="EP372">
        <v>255</v>
      </c>
      <c r="EQ372">
        <v>255</v>
      </c>
      <c r="ER372" t="s">
        <v>208</v>
      </c>
      <c r="ES372" t="s">
        <v>209</v>
      </c>
      <c r="ET372" t="s">
        <v>209</v>
      </c>
      <c r="EU372">
        <v>0</v>
      </c>
      <c r="EV372">
        <v>16.2</v>
      </c>
      <c r="EW372">
        <v>-114.7</v>
      </c>
      <c r="EX372">
        <v>-0.2</v>
      </c>
      <c r="EY372">
        <v>0</v>
      </c>
      <c r="EZ372">
        <v>0</v>
      </c>
      <c r="FA372">
        <v>0</v>
      </c>
      <c r="FB372" t="s">
        <v>198</v>
      </c>
      <c r="FC372" t="s">
        <v>198</v>
      </c>
      <c r="FD372" t="s">
        <v>198</v>
      </c>
      <c r="FE372" t="s">
        <v>198</v>
      </c>
      <c r="FF372" t="s">
        <v>198</v>
      </c>
      <c r="FG372" t="s">
        <v>198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 t="s">
        <v>203</v>
      </c>
      <c r="FP372" t="s">
        <v>203</v>
      </c>
      <c r="FQ372" t="s">
        <v>203</v>
      </c>
      <c r="FR372" t="s">
        <v>203</v>
      </c>
      <c r="FS372" t="s">
        <v>203</v>
      </c>
      <c r="FT372" t="s">
        <v>203</v>
      </c>
      <c r="FU372" t="s">
        <v>198</v>
      </c>
      <c r="FV372" t="s">
        <v>198</v>
      </c>
      <c r="FW372" t="s">
        <v>198</v>
      </c>
      <c r="FX372" t="s">
        <v>198</v>
      </c>
      <c r="FY372" t="s">
        <v>198</v>
      </c>
      <c r="FZ372" t="s">
        <v>198</v>
      </c>
      <c r="GA372">
        <v>31.2</v>
      </c>
      <c r="GB372">
        <v>31.2</v>
      </c>
      <c r="GC372" t="s">
        <v>203</v>
      </c>
      <c r="GD372">
        <v>0</v>
      </c>
      <c r="GE372">
        <v>504</v>
      </c>
      <c r="GF372">
        <v>0</v>
      </c>
      <c r="GG372">
        <v>0</v>
      </c>
      <c r="GH372">
        <v>0</v>
      </c>
      <c r="GI372">
        <v>1</v>
      </c>
      <c r="GJ372">
        <v>1</v>
      </c>
      <c r="GK372">
        <v>0</v>
      </c>
      <c r="GL372" t="s">
        <v>198</v>
      </c>
      <c r="GM372" t="s">
        <v>198</v>
      </c>
      <c r="GN372" t="s">
        <v>198</v>
      </c>
    </row>
    <row r="373" spans="1:196">
      <c r="A373" s="19">
        <v>46316.90819840278</v>
      </c>
      <c r="B373">
        <v>0</v>
      </c>
      <c r="C373">
        <v>0</v>
      </c>
      <c r="D373">
        <v>277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584.2</v>
      </c>
      <c r="N373">
        <v>-0.5</v>
      </c>
      <c r="O373">
        <v>0</v>
      </c>
      <c r="P373">
        <v>0</v>
      </c>
      <c r="Q373">
        <v>0</v>
      </c>
      <c r="R373">
        <v>0</v>
      </c>
      <c r="S373">
        <v>115.6</v>
      </c>
      <c r="T373" t="s">
        <v>485</v>
      </c>
      <c r="U373">
        <v>115.7</v>
      </c>
      <c r="V373">
        <v>1762727256586.8</v>
      </c>
      <c r="W373">
        <v>1</v>
      </c>
      <c r="X373" t="s">
        <v>197</v>
      </c>
      <c r="Y373">
        <v>0</v>
      </c>
      <c r="Z373">
        <v>98</v>
      </c>
      <c r="AA373">
        <v>278</v>
      </c>
      <c r="AB373" t="s">
        <v>197</v>
      </c>
      <c r="AC373" t="s">
        <v>198</v>
      </c>
      <c r="AD373" t="s">
        <v>199</v>
      </c>
      <c r="AE373">
        <v>0</v>
      </c>
      <c r="AF373">
        <v>45</v>
      </c>
      <c r="AG373">
        <v>255</v>
      </c>
      <c r="AH373">
        <v>0</v>
      </c>
      <c r="AI373">
        <v>0</v>
      </c>
      <c r="AJ373">
        <v>0</v>
      </c>
      <c r="AK373">
        <v>12.6</v>
      </c>
      <c r="AL373">
        <v>0</v>
      </c>
      <c r="AM373">
        <v>0</v>
      </c>
      <c r="AN373" t="s">
        <v>197</v>
      </c>
      <c r="AO373">
        <v>100</v>
      </c>
      <c r="AP373" t="s">
        <v>197</v>
      </c>
      <c r="AQ373" t="s">
        <v>200</v>
      </c>
      <c r="AR373">
        <v>1</v>
      </c>
      <c r="AS373">
        <v>0</v>
      </c>
      <c r="AT373" t="s">
        <v>719</v>
      </c>
      <c r="AU373" t="s">
        <v>719</v>
      </c>
      <c r="AV373" t="s">
        <v>202</v>
      </c>
      <c r="AW373" t="s">
        <v>203</v>
      </c>
      <c r="AX373" t="s">
        <v>203</v>
      </c>
      <c r="AY373" t="s">
        <v>203</v>
      </c>
      <c r="AZ373" t="s">
        <v>203</v>
      </c>
      <c r="BA373" t="s">
        <v>203</v>
      </c>
      <c r="BB373" t="s">
        <v>203</v>
      </c>
      <c r="BC373" t="s">
        <v>203</v>
      </c>
      <c r="BD373" t="s">
        <v>203</v>
      </c>
      <c r="BE373" t="s">
        <v>203</v>
      </c>
      <c r="BF373">
        <v>0</v>
      </c>
      <c r="BG373">
        <v>0.2</v>
      </c>
      <c r="BH373">
        <v>50</v>
      </c>
      <c r="BI373">
        <v>0</v>
      </c>
      <c r="BJ373" t="s">
        <v>198</v>
      </c>
      <c r="BK373" t="s">
        <v>198</v>
      </c>
      <c r="BL373" t="s">
        <v>198</v>
      </c>
      <c r="BM373" t="s">
        <v>198</v>
      </c>
      <c r="BN373" t="s">
        <v>198</v>
      </c>
      <c r="BO373" t="s">
        <v>198</v>
      </c>
      <c r="BP373" t="s">
        <v>198</v>
      </c>
      <c r="BQ373" t="s">
        <v>198</v>
      </c>
      <c r="BR373" t="s">
        <v>198</v>
      </c>
      <c r="BS373" t="s">
        <v>198</v>
      </c>
      <c r="BT373" t="s">
        <v>198</v>
      </c>
      <c r="BU373" t="s">
        <v>198</v>
      </c>
      <c r="BV373" t="s">
        <v>198</v>
      </c>
      <c r="BW373" t="s">
        <v>198</v>
      </c>
      <c r="BX373" t="s">
        <v>198</v>
      </c>
      <c r="BY373" t="s">
        <v>198</v>
      </c>
      <c r="BZ373" t="s">
        <v>198</v>
      </c>
      <c r="CA373" t="s">
        <v>198</v>
      </c>
      <c r="CB373" t="s">
        <v>204</v>
      </c>
      <c r="CC373" t="s">
        <v>204</v>
      </c>
      <c r="CD373" t="s">
        <v>204</v>
      </c>
      <c r="CE373" t="s">
        <v>204</v>
      </c>
      <c r="CF373" t="s">
        <v>204</v>
      </c>
      <c r="CG373" t="s">
        <v>204</v>
      </c>
      <c r="CH373" t="s">
        <v>204</v>
      </c>
      <c r="CI373" t="s">
        <v>204</v>
      </c>
      <c r="CJ373" t="s">
        <v>204</v>
      </c>
      <c r="CK373" t="s">
        <v>204</v>
      </c>
      <c r="CL373" t="s">
        <v>204</v>
      </c>
      <c r="CM373" t="s">
        <v>204</v>
      </c>
      <c r="CN373" t="s">
        <v>203</v>
      </c>
      <c r="CO373" t="s">
        <v>203</v>
      </c>
      <c r="CP373" t="s">
        <v>203</v>
      </c>
      <c r="CQ373" t="s">
        <v>203</v>
      </c>
      <c r="CR373" t="s">
        <v>203</v>
      </c>
      <c r="CS373" t="s">
        <v>203</v>
      </c>
      <c r="CT373" t="s">
        <v>203</v>
      </c>
      <c r="CU373" t="s">
        <v>203</v>
      </c>
      <c r="CV373">
        <v>0</v>
      </c>
      <c r="CW373">
        <v>0</v>
      </c>
      <c r="CX373" t="s">
        <v>198</v>
      </c>
      <c r="CY373" t="s">
        <v>198</v>
      </c>
      <c r="CZ373" t="s">
        <v>198</v>
      </c>
      <c r="DA373" t="s">
        <v>198</v>
      </c>
      <c r="DB373" t="s">
        <v>198</v>
      </c>
      <c r="DC373">
        <v>0</v>
      </c>
      <c r="DD373">
        <v>0</v>
      </c>
      <c r="DE373">
        <v>0</v>
      </c>
      <c r="DF373">
        <v>0</v>
      </c>
      <c r="DG373">
        <v>-35.3631166</v>
      </c>
      <c r="DH373">
        <v>149.1639735</v>
      </c>
      <c r="DI373" t="s">
        <v>360</v>
      </c>
      <c r="DJ373">
        <v>1.2</v>
      </c>
      <c r="DK373">
        <v>2</v>
      </c>
      <c r="DL373">
        <v>159.8</v>
      </c>
      <c r="DM373">
        <v>0</v>
      </c>
      <c r="DN373">
        <v>6</v>
      </c>
      <c r="DO373">
        <v>10</v>
      </c>
      <c r="DP373">
        <v>0</v>
      </c>
      <c r="DQ373">
        <v>255</v>
      </c>
      <c r="DR373">
        <v>255</v>
      </c>
      <c r="DS373">
        <v>255</v>
      </c>
      <c r="DT373">
        <v>255</v>
      </c>
      <c r="DU373">
        <v>255</v>
      </c>
      <c r="DV373">
        <v>255</v>
      </c>
      <c r="DW373">
        <v>255</v>
      </c>
      <c r="DX373" t="s">
        <v>206</v>
      </c>
      <c r="DY373" t="s">
        <v>206</v>
      </c>
      <c r="DZ373" t="s">
        <v>207</v>
      </c>
      <c r="EA373" t="s">
        <v>198</v>
      </c>
      <c r="EB373" t="s">
        <v>198</v>
      </c>
      <c r="EC373" t="s">
        <v>198</v>
      </c>
      <c r="ED373">
        <v>0</v>
      </c>
      <c r="EE373">
        <v>0</v>
      </c>
      <c r="EF373">
        <v>0</v>
      </c>
      <c r="EG373">
        <v>0</v>
      </c>
      <c r="EH373">
        <v>255</v>
      </c>
      <c r="EI373">
        <v>255</v>
      </c>
      <c r="EJ373">
        <v>255</v>
      </c>
      <c r="EK373">
        <v>255</v>
      </c>
      <c r="EL373">
        <v>255</v>
      </c>
      <c r="EM373">
        <v>255</v>
      </c>
      <c r="EN373">
        <v>255</v>
      </c>
      <c r="EO373">
        <v>255</v>
      </c>
      <c r="EP373">
        <v>255</v>
      </c>
      <c r="EQ373">
        <v>255</v>
      </c>
      <c r="ER373" t="s">
        <v>208</v>
      </c>
      <c r="ES373" t="s">
        <v>209</v>
      </c>
      <c r="ET373" t="s">
        <v>209</v>
      </c>
      <c r="EU373">
        <v>0</v>
      </c>
      <c r="EV373">
        <v>16.2</v>
      </c>
      <c r="EW373">
        <v>-114.7</v>
      </c>
      <c r="EX373">
        <v>-0.2</v>
      </c>
      <c r="EY373">
        <v>0</v>
      </c>
      <c r="EZ373">
        <v>0</v>
      </c>
      <c r="FA373">
        <v>0</v>
      </c>
      <c r="FB373" t="s">
        <v>198</v>
      </c>
      <c r="FC373" t="s">
        <v>198</v>
      </c>
      <c r="FD373" t="s">
        <v>198</v>
      </c>
      <c r="FE373" t="s">
        <v>198</v>
      </c>
      <c r="FF373" t="s">
        <v>198</v>
      </c>
      <c r="FG373" t="s">
        <v>198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 t="s">
        <v>203</v>
      </c>
      <c r="FP373" t="s">
        <v>203</v>
      </c>
      <c r="FQ373" t="s">
        <v>203</v>
      </c>
      <c r="FR373" t="s">
        <v>203</v>
      </c>
      <c r="FS373" t="s">
        <v>203</v>
      </c>
      <c r="FT373" t="s">
        <v>203</v>
      </c>
      <c r="FU373" t="s">
        <v>198</v>
      </c>
      <c r="FV373" t="s">
        <v>198</v>
      </c>
      <c r="FW373" t="s">
        <v>198</v>
      </c>
      <c r="FX373" t="s">
        <v>198</v>
      </c>
      <c r="FY373" t="s">
        <v>198</v>
      </c>
      <c r="FZ373" t="s">
        <v>198</v>
      </c>
      <c r="GA373">
        <v>31.2</v>
      </c>
      <c r="GB373">
        <v>31.2</v>
      </c>
      <c r="GC373" t="s">
        <v>203</v>
      </c>
      <c r="GD373">
        <v>0</v>
      </c>
      <c r="GE373">
        <v>504</v>
      </c>
      <c r="GF373">
        <v>0</v>
      </c>
      <c r="GG373">
        <v>0</v>
      </c>
      <c r="GH373">
        <v>0</v>
      </c>
      <c r="GI373">
        <v>1</v>
      </c>
      <c r="GJ373">
        <v>1</v>
      </c>
      <c r="GK373">
        <v>0</v>
      </c>
      <c r="GL373" t="s">
        <v>198</v>
      </c>
      <c r="GM373" t="s">
        <v>198</v>
      </c>
      <c r="GN373" t="s">
        <v>198</v>
      </c>
    </row>
    <row r="374" spans="1:196">
      <c r="A374" s="19">
        <v>46316.90820998843</v>
      </c>
      <c r="B374">
        <v>0</v>
      </c>
      <c r="C374">
        <v>0</v>
      </c>
      <c r="D374">
        <v>277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584.2</v>
      </c>
      <c r="N374">
        <v>-0.5</v>
      </c>
      <c r="O374">
        <v>0</v>
      </c>
      <c r="P374">
        <v>0</v>
      </c>
      <c r="Q374">
        <v>0</v>
      </c>
      <c r="R374">
        <v>0</v>
      </c>
      <c r="S374">
        <v>115.6</v>
      </c>
      <c r="T374" t="s">
        <v>485</v>
      </c>
      <c r="U374">
        <v>115.7</v>
      </c>
      <c r="V374">
        <v>1762727256586.8</v>
      </c>
      <c r="W374">
        <v>1</v>
      </c>
      <c r="X374" t="s">
        <v>197</v>
      </c>
      <c r="Y374">
        <v>0</v>
      </c>
      <c r="Z374">
        <v>98</v>
      </c>
      <c r="AA374">
        <v>278</v>
      </c>
      <c r="AB374" t="s">
        <v>197</v>
      </c>
      <c r="AC374" t="s">
        <v>198</v>
      </c>
      <c r="AD374" t="s">
        <v>199</v>
      </c>
      <c r="AE374">
        <v>0</v>
      </c>
      <c r="AF374">
        <v>45</v>
      </c>
      <c r="AG374">
        <v>255</v>
      </c>
      <c r="AH374">
        <v>0</v>
      </c>
      <c r="AI374">
        <v>0</v>
      </c>
      <c r="AJ374">
        <v>0</v>
      </c>
      <c r="AK374">
        <v>12.6</v>
      </c>
      <c r="AL374">
        <v>0</v>
      </c>
      <c r="AM374">
        <v>0</v>
      </c>
      <c r="AN374" t="s">
        <v>197</v>
      </c>
      <c r="AO374">
        <v>100</v>
      </c>
      <c r="AP374" t="s">
        <v>197</v>
      </c>
      <c r="AQ374" t="s">
        <v>200</v>
      </c>
      <c r="AR374">
        <v>1</v>
      </c>
      <c r="AS374">
        <v>0</v>
      </c>
      <c r="AT374" t="s">
        <v>720</v>
      </c>
      <c r="AU374" t="s">
        <v>720</v>
      </c>
      <c r="AV374" t="s">
        <v>202</v>
      </c>
      <c r="AW374" t="s">
        <v>203</v>
      </c>
      <c r="AX374" t="s">
        <v>203</v>
      </c>
      <c r="AY374" t="s">
        <v>203</v>
      </c>
      <c r="AZ374" t="s">
        <v>203</v>
      </c>
      <c r="BA374" t="s">
        <v>203</v>
      </c>
      <c r="BB374" t="s">
        <v>203</v>
      </c>
      <c r="BC374" t="s">
        <v>203</v>
      </c>
      <c r="BD374" t="s">
        <v>203</v>
      </c>
      <c r="BE374" t="s">
        <v>203</v>
      </c>
      <c r="BF374">
        <v>0</v>
      </c>
      <c r="BG374">
        <v>0.2</v>
      </c>
      <c r="BH374">
        <v>50</v>
      </c>
      <c r="BI374">
        <v>0</v>
      </c>
      <c r="BJ374" t="s">
        <v>198</v>
      </c>
      <c r="BK374" t="s">
        <v>198</v>
      </c>
      <c r="BL374" t="s">
        <v>198</v>
      </c>
      <c r="BM374" t="s">
        <v>198</v>
      </c>
      <c r="BN374" t="s">
        <v>198</v>
      </c>
      <c r="BO374" t="s">
        <v>198</v>
      </c>
      <c r="BP374" t="s">
        <v>198</v>
      </c>
      <c r="BQ374" t="s">
        <v>198</v>
      </c>
      <c r="BR374" t="s">
        <v>198</v>
      </c>
      <c r="BS374" t="s">
        <v>198</v>
      </c>
      <c r="BT374" t="s">
        <v>198</v>
      </c>
      <c r="BU374" t="s">
        <v>198</v>
      </c>
      <c r="BV374" t="s">
        <v>198</v>
      </c>
      <c r="BW374" t="s">
        <v>198</v>
      </c>
      <c r="BX374" t="s">
        <v>198</v>
      </c>
      <c r="BY374" t="s">
        <v>198</v>
      </c>
      <c r="BZ374" t="s">
        <v>198</v>
      </c>
      <c r="CA374" t="s">
        <v>198</v>
      </c>
      <c r="CB374" t="s">
        <v>204</v>
      </c>
      <c r="CC374" t="s">
        <v>204</v>
      </c>
      <c r="CD374" t="s">
        <v>204</v>
      </c>
      <c r="CE374" t="s">
        <v>204</v>
      </c>
      <c r="CF374" t="s">
        <v>204</v>
      </c>
      <c r="CG374" t="s">
        <v>204</v>
      </c>
      <c r="CH374" t="s">
        <v>204</v>
      </c>
      <c r="CI374" t="s">
        <v>204</v>
      </c>
      <c r="CJ374" t="s">
        <v>204</v>
      </c>
      <c r="CK374" t="s">
        <v>204</v>
      </c>
      <c r="CL374" t="s">
        <v>204</v>
      </c>
      <c r="CM374" t="s">
        <v>204</v>
      </c>
      <c r="CN374" t="s">
        <v>203</v>
      </c>
      <c r="CO374" t="s">
        <v>203</v>
      </c>
      <c r="CP374" t="s">
        <v>203</v>
      </c>
      <c r="CQ374" t="s">
        <v>203</v>
      </c>
      <c r="CR374" t="s">
        <v>203</v>
      </c>
      <c r="CS374" t="s">
        <v>203</v>
      </c>
      <c r="CT374" t="s">
        <v>203</v>
      </c>
      <c r="CU374" t="s">
        <v>203</v>
      </c>
      <c r="CV374">
        <v>0</v>
      </c>
      <c r="CW374">
        <v>0</v>
      </c>
      <c r="CX374" t="s">
        <v>198</v>
      </c>
      <c r="CY374" t="s">
        <v>198</v>
      </c>
      <c r="CZ374" t="s">
        <v>198</v>
      </c>
      <c r="DA374" t="s">
        <v>198</v>
      </c>
      <c r="DB374" t="s">
        <v>198</v>
      </c>
      <c r="DC374">
        <v>0</v>
      </c>
      <c r="DD374">
        <v>0</v>
      </c>
      <c r="DE374">
        <v>0</v>
      </c>
      <c r="DF374">
        <v>0</v>
      </c>
      <c r="DG374">
        <v>-35.3631166</v>
      </c>
      <c r="DH374">
        <v>149.1639735</v>
      </c>
      <c r="DI374" t="s">
        <v>360</v>
      </c>
      <c r="DJ374">
        <v>1.2</v>
      </c>
      <c r="DK374">
        <v>2</v>
      </c>
      <c r="DL374">
        <v>159.8</v>
      </c>
      <c r="DM374">
        <v>0</v>
      </c>
      <c r="DN374">
        <v>6</v>
      </c>
      <c r="DO374">
        <v>10</v>
      </c>
      <c r="DP374">
        <v>0</v>
      </c>
      <c r="DQ374">
        <v>255</v>
      </c>
      <c r="DR374">
        <v>255</v>
      </c>
      <c r="DS374">
        <v>255</v>
      </c>
      <c r="DT374">
        <v>255</v>
      </c>
      <c r="DU374">
        <v>255</v>
      </c>
      <c r="DV374">
        <v>255</v>
      </c>
      <c r="DW374">
        <v>255</v>
      </c>
      <c r="DX374" t="s">
        <v>206</v>
      </c>
      <c r="DY374" t="s">
        <v>206</v>
      </c>
      <c r="DZ374" t="s">
        <v>207</v>
      </c>
      <c r="EA374" t="s">
        <v>198</v>
      </c>
      <c r="EB374" t="s">
        <v>198</v>
      </c>
      <c r="EC374" t="s">
        <v>198</v>
      </c>
      <c r="ED374">
        <v>0</v>
      </c>
      <c r="EE374">
        <v>0</v>
      </c>
      <c r="EF374">
        <v>0</v>
      </c>
      <c r="EG374">
        <v>0</v>
      </c>
      <c r="EH374">
        <v>255</v>
      </c>
      <c r="EI374">
        <v>255</v>
      </c>
      <c r="EJ374">
        <v>255</v>
      </c>
      <c r="EK374">
        <v>255</v>
      </c>
      <c r="EL374">
        <v>255</v>
      </c>
      <c r="EM374">
        <v>255</v>
      </c>
      <c r="EN374">
        <v>255</v>
      </c>
      <c r="EO374">
        <v>255</v>
      </c>
      <c r="EP374">
        <v>255</v>
      </c>
      <c r="EQ374">
        <v>255</v>
      </c>
      <c r="ER374" t="s">
        <v>208</v>
      </c>
      <c r="ES374" t="s">
        <v>209</v>
      </c>
      <c r="ET374" t="s">
        <v>209</v>
      </c>
      <c r="EU374">
        <v>0</v>
      </c>
      <c r="EV374">
        <v>16.2</v>
      </c>
      <c r="EW374">
        <v>-114.7</v>
      </c>
      <c r="EX374">
        <v>-0.2</v>
      </c>
      <c r="EY374">
        <v>0</v>
      </c>
      <c r="EZ374">
        <v>0</v>
      </c>
      <c r="FA374">
        <v>0</v>
      </c>
      <c r="FB374" t="s">
        <v>198</v>
      </c>
      <c r="FC374" t="s">
        <v>198</v>
      </c>
      <c r="FD374" t="s">
        <v>198</v>
      </c>
      <c r="FE374" t="s">
        <v>198</v>
      </c>
      <c r="FF374" t="s">
        <v>198</v>
      </c>
      <c r="FG374" t="s">
        <v>198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203</v>
      </c>
      <c r="FP374" t="s">
        <v>203</v>
      </c>
      <c r="FQ374" t="s">
        <v>203</v>
      </c>
      <c r="FR374" t="s">
        <v>203</v>
      </c>
      <c r="FS374" t="s">
        <v>203</v>
      </c>
      <c r="FT374" t="s">
        <v>203</v>
      </c>
      <c r="FU374" t="s">
        <v>198</v>
      </c>
      <c r="FV374" t="s">
        <v>198</v>
      </c>
      <c r="FW374" t="s">
        <v>198</v>
      </c>
      <c r="FX374" t="s">
        <v>198</v>
      </c>
      <c r="FY374" t="s">
        <v>198</v>
      </c>
      <c r="FZ374" t="s">
        <v>198</v>
      </c>
      <c r="GA374">
        <v>31.2</v>
      </c>
      <c r="GB374">
        <v>31.2</v>
      </c>
      <c r="GC374" t="s">
        <v>203</v>
      </c>
      <c r="GD374">
        <v>0</v>
      </c>
      <c r="GE374">
        <v>504</v>
      </c>
      <c r="GF374">
        <v>0</v>
      </c>
      <c r="GG374">
        <v>0</v>
      </c>
      <c r="GH374">
        <v>0</v>
      </c>
      <c r="GI374">
        <v>1</v>
      </c>
      <c r="GJ374">
        <v>1</v>
      </c>
      <c r="GK374">
        <v>0</v>
      </c>
      <c r="GL374" t="s">
        <v>198</v>
      </c>
      <c r="GM374" t="s">
        <v>198</v>
      </c>
      <c r="GN374" t="s">
        <v>198</v>
      </c>
    </row>
    <row r="375" spans="1:196">
      <c r="A375" s="19">
        <v>46316.9082215625</v>
      </c>
      <c r="B375">
        <v>0</v>
      </c>
      <c r="C375">
        <v>0</v>
      </c>
      <c r="D375">
        <v>277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584.2</v>
      </c>
      <c r="N375">
        <v>-0.5</v>
      </c>
      <c r="O375">
        <v>0</v>
      </c>
      <c r="P375">
        <v>0</v>
      </c>
      <c r="Q375">
        <v>0</v>
      </c>
      <c r="R375">
        <v>0</v>
      </c>
      <c r="S375">
        <v>115.6</v>
      </c>
      <c r="T375" t="s">
        <v>485</v>
      </c>
      <c r="U375">
        <v>115.7</v>
      </c>
      <c r="V375">
        <v>1762727256586.8</v>
      </c>
      <c r="W375">
        <v>1</v>
      </c>
      <c r="X375" t="s">
        <v>197</v>
      </c>
      <c r="Y375">
        <v>0</v>
      </c>
      <c r="Z375">
        <v>98</v>
      </c>
      <c r="AA375">
        <v>278</v>
      </c>
      <c r="AB375" t="s">
        <v>197</v>
      </c>
      <c r="AC375" t="s">
        <v>198</v>
      </c>
      <c r="AD375" t="s">
        <v>199</v>
      </c>
      <c r="AE375">
        <v>0</v>
      </c>
      <c r="AF375">
        <v>45</v>
      </c>
      <c r="AG375">
        <v>255</v>
      </c>
      <c r="AH375">
        <v>0</v>
      </c>
      <c r="AI375">
        <v>0</v>
      </c>
      <c r="AJ375">
        <v>0</v>
      </c>
      <c r="AK375">
        <v>12.6</v>
      </c>
      <c r="AL375">
        <v>0</v>
      </c>
      <c r="AM375">
        <v>0</v>
      </c>
      <c r="AN375" t="s">
        <v>197</v>
      </c>
      <c r="AO375">
        <v>100</v>
      </c>
      <c r="AP375" t="s">
        <v>197</v>
      </c>
      <c r="AQ375" t="s">
        <v>200</v>
      </c>
      <c r="AR375">
        <v>1</v>
      </c>
      <c r="AS375">
        <v>0</v>
      </c>
      <c r="AT375" t="s">
        <v>721</v>
      </c>
      <c r="AU375" t="s">
        <v>721</v>
      </c>
      <c r="AV375" t="s">
        <v>202</v>
      </c>
      <c r="AW375" t="s">
        <v>203</v>
      </c>
      <c r="AX375" t="s">
        <v>203</v>
      </c>
      <c r="AY375" t="s">
        <v>203</v>
      </c>
      <c r="AZ375" t="s">
        <v>203</v>
      </c>
      <c r="BA375" t="s">
        <v>203</v>
      </c>
      <c r="BB375" t="s">
        <v>203</v>
      </c>
      <c r="BC375" t="s">
        <v>203</v>
      </c>
      <c r="BD375" t="s">
        <v>203</v>
      </c>
      <c r="BE375" t="s">
        <v>203</v>
      </c>
      <c r="BF375">
        <v>0</v>
      </c>
      <c r="BG375">
        <v>0.2</v>
      </c>
      <c r="BH375">
        <v>50</v>
      </c>
      <c r="BI375">
        <v>0</v>
      </c>
      <c r="BJ375" t="s">
        <v>198</v>
      </c>
      <c r="BK375" t="s">
        <v>198</v>
      </c>
      <c r="BL375" t="s">
        <v>198</v>
      </c>
      <c r="BM375" t="s">
        <v>198</v>
      </c>
      <c r="BN375" t="s">
        <v>198</v>
      </c>
      <c r="BO375" t="s">
        <v>198</v>
      </c>
      <c r="BP375" t="s">
        <v>198</v>
      </c>
      <c r="BQ375" t="s">
        <v>198</v>
      </c>
      <c r="BR375" t="s">
        <v>198</v>
      </c>
      <c r="BS375" t="s">
        <v>198</v>
      </c>
      <c r="BT375" t="s">
        <v>198</v>
      </c>
      <c r="BU375" t="s">
        <v>198</v>
      </c>
      <c r="BV375" t="s">
        <v>198</v>
      </c>
      <c r="BW375" t="s">
        <v>198</v>
      </c>
      <c r="BX375" t="s">
        <v>198</v>
      </c>
      <c r="BY375" t="s">
        <v>198</v>
      </c>
      <c r="BZ375" t="s">
        <v>198</v>
      </c>
      <c r="CA375" t="s">
        <v>198</v>
      </c>
      <c r="CB375" t="s">
        <v>204</v>
      </c>
      <c r="CC375" t="s">
        <v>204</v>
      </c>
      <c r="CD375" t="s">
        <v>204</v>
      </c>
      <c r="CE375" t="s">
        <v>204</v>
      </c>
      <c r="CF375" t="s">
        <v>204</v>
      </c>
      <c r="CG375" t="s">
        <v>204</v>
      </c>
      <c r="CH375" t="s">
        <v>204</v>
      </c>
      <c r="CI375" t="s">
        <v>204</v>
      </c>
      <c r="CJ375" t="s">
        <v>204</v>
      </c>
      <c r="CK375" t="s">
        <v>204</v>
      </c>
      <c r="CL375" t="s">
        <v>204</v>
      </c>
      <c r="CM375" t="s">
        <v>204</v>
      </c>
      <c r="CN375" t="s">
        <v>203</v>
      </c>
      <c r="CO375" t="s">
        <v>203</v>
      </c>
      <c r="CP375" t="s">
        <v>203</v>
      </c>
      <c r="CQ375" t="s">
        <v>203</v>
      </c>
      <c r="CR375" t="s">
        <v>203</v>
      </c>
      <c r="CS375" t="s">
        <v>203</v>
      </c>
      <c r="CT375" t="s">
        <v>203</v>
      </c>
      <c r="CU375" t="s">
        <v>203</v>
      </c>
      <c r="CV375">
        <v>0</v>
      </c>
      <c r="CW375">
        <v>0</v>
      </c>
      <c r="CX375" t="s">
        <v>198</v>
      </c>
      <c r="CY375" t="s">
        <v>198</v>
      </c>
      <c r="CZ375" t="s">
        <v>198</v>
      </c>
      <c r="DA375" t="s">
        <v>198</v>
      </c>
      <c r="DB375" t="s">
        <v>198</v>
      </c>
      <c r="DC375">
        <v>0</v>
      </c>
      <c r="DD375">
        <v>0</v>
      </c>
      <c r="DE375">
        <v>0</v>
      </c>
      <c r="DF375">
        <v>0</v>
      </c>
      <c r="DG375">
        <v>-35.3631166</v>
      </c>
      <c r="DH375">
        <v>149.1639735</v>
      </c>
      <c r="DI375" t="s">
        <v>360</v>
      </c>
      <c r="DJ375">
        <v>1.2</v>
      </c>
      <c r="DK375">
        <v>2</v>
      </c>
      <c r="DL375">
        <v>159.8</v>
      </c>
      <c r="DM375">
        <v>0</v>
      </c>
      <c r="DN375">
        <v>6</v>
      </c>
      <c r="DO375">
        <v>10</v>
      </c>
      <c r="DP375">
        <v>0</v>
      </c>
      <c r="DQ375">
        <v>255</v>
      </c>
      <c r="DR375">
        <v>255</v>
      </c>
      <c r="DS375">
        <v>255</v>
      </c>
      <c r="DT375">
        <v>255</v>
      </c>
      <c r="DU375">
        <v>255</v>
      </c>
      <c r="DV375">
        <v>255</v>
      </c>
      <c r="DW375">
        <v>255</v>
      </c>
      <c r="DX375" t="s">
        <v>206</v>
      </c>
      <c r="DY375" t="s">
        <v>206</v>
      </c>
      <c r="DZ375" t="s">
        <v>207</v>
      </c>
      <c r="EA375" t="s">
        <v>198</v>
      </c>
      <c r="EB375" t="s">
        <v>198</v>
      </c>
      <c r="EC375" t="s">
        <v>198</v>
      </c>
      <c r="ED375">
        <v>0</v>
      </c>
      <c r="EE375">
        <v>0</v>
      </c>
      <c r="EF375">
        <v>0</v>
      </c>
      <c r="EG375">
        <v>0</v>
      </c>
      <c r="EH375">
        <v>255</v>
      </c>
      <c r="EI375">
        <v>255</v>
      </c>
      <c r="EJ375">
        <v>255</v>
      </c>
      <c r="EK375">
        <v>255</v>
      </c>
      <c r="EL375">
        <v>255</v>
      </c>
      <c r="EM375">
        <v>255</v>
      </c>
      <c r="EN375">
        <v>255</v>
      </c>
      <c r="EO375">
        <v>255</v>
      </c>
      <c r="EP375">
        <v>255</v>
      </c>
      <c r="EQ375">
        <v>255</v>
      </c>
      <c r="ER375" t="s">
        <v>208</v>
      </c>
      <c r="ES375" t="s">
        <v>209</v>
      </c>
      <c r="ET375" t="s">
        <v>209</v>
      </c>
      <c r="EU375">
        <v>0</v>
      </c>
      <c r="EV375">
        <v>16.2</v>
      </c>
      <c r="EW375">
        <v>-114.7</v>
      </c>
      <c r="EX375">
        <v>-0.2</v>
      </c>
      <c r="EY375">
        <v>0</v>
      </c>
      <c r="EZ375">
        <v>0</v>
      </c>
      <c r="FA375">
        <v>0</v>
      </c>
      <c r="FB375" t="s">
        <v>198</v>
      </c>
      <c r="FC375" t="s">
        <v>198</v>
      </c>
      <c r="FD375" t="s">
        <v>198</v>
      </c>
      <c r="FE375" t="s">
        <v>198</v>
      </c>
      <c r="FF375" t="s">
        <v>198</v>
      </c>
      <c r="FG375" t="s">
        <v>198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 t="s">
        <v>203</v>
      </c>
      <c r="FP375" t="s">
        <v>203</v>
      </c>
      <c r="FQ375" t="s">
        <v>203</v>
      </c>
      <c r="FR375" t="s">
        <v>203</v>
      </c>
      <c r="FS375" t="s">
        <v>203</v>
      </c>
      <c r="FT375" t="s">
        <v>203</v>
      </c>
      <c r="FU375" t="s">
        <v>198</v>
      </c>
      <c r="FV375" t="s">
        <v>198</v>
      </c>
      <c r="FW375" t="s">
        <v>198</v>
      </c>
      <c r="FX375" t="s">
        <v>198</v>
      </c>
      <c r="FY375" t="s">
        <v>198</v>
      </c>
      <c r="FZ375" t="s">
        <v>198</v>
      </c>
      <c r="GA375">
        <v>31.2</v>
      </c>
      <c r="GB375">
        <v>31.2</v>
      </c>
      <c r="GC375" t="s">
        <v>203</v>
      </c>
      <c r="GD375">
        <v>0</v>
      </c>
      <c r="GE375">
        <v>504</v>
      </c>
      <c r="GF375">
        <v>0</v>
      </c>
      <c r="GG375">
        <v>0</v>
      </c>
      <c r="GH375">
        <v>0</v>
      </c>
      <c r="GI375">
        <v>1</v>
      </c>
      <c r="GJ375">
        <v>1</v>
      </c>
      <c r="GK375">
        <v>0</v>
      </c>
      <c r="GL375" t="s">
        <v>198</v>
      </c>
      <c r="GM375" t="s">
        <v>198</v>
      </c>
      <c r="GN375" t="s">
        <v>198</v>
      </c>
    </row>
    <row r="376" spans="1:196">
      <c r="A376" s="19">
        <v>46316.90823313657</v>
      </c>
      <c r="B376">
        <v>0</v>
      </c>
      <c r="C376">
        <v>0</v>
      </c>
      <c r="D376">
        <v>277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584.2</v>
      </c>
      <c r="N376">
        <v>-0.5</v>
      </c>
      <c r="O376">
        <v>0</v>
      </c>
      <c r="P376">
        <v>0</v>
      </c>
      <c r="Q376">
        <v>0</v>
      </c>
      <c r="R376">
        <v>0</v>
      </c>
      <c r="S376">
        <v>115.6</v>
      </c>
      <c r="T376" t="s">
        <v>485</v>
      </c>
      <c r="U376">
        <v>115.7</v>
      </c>
      <c r="V376">
        <v>1762727256586.8</v>
      </c>
      <c r="W376">
        <v>1</v>
      </c>
      <c r="X376" t="s">
        <v>197</v>
      </c>
      <c r="Y376">
        <v>0</v>
      </c>
      <c r="Z376">
        <v>98</v>
      </c>
      <c r="AA376">
        <v>278</v>
      </c>
      <c r="AB376" t="s">
        <v>197</v>
      </c>
      <c r="AC376" t="s">
        <v>198</v>
      </c>
      <c r="AD376" t="s">
        <v>199</v>
      </c>
      <c r="AE376">
        <v>0</v>
      </c>
      <c r="AF376">
        <v>45</v>
      </c>
      <c r="AG376">
        <v>255</v>
      </c>
      <c r="AH376">
        <v>0</v>
      </c>
      <c r="AI376">
        <v>0</v>
      </c>
      <c r="AJ376">
        <v>0</v>
      </c>
      <c r="AK376">
        <v>12.6</v>
      </c>
      <c r="AL376">
        <v>0</v>
      </c>
      <c r="AM376">
        <v>0</v>
      </c>
      <c r="AN376" t="s">
        <v>197</v>
      </c>
      <c r="AO376">
        <v>100</v>
      </c>
      <c r="AP376" t="s">
        <v>197</v>
      </c>
      <c r="AQ376" t="s">
        <v>200</v>
      </c>
      <c r="AR376">
        <v>1</v>
      </c>
      <c r="AS376">
        <v>0</v>
      </c>
      <c r="AT376" t="s">
        <v>722</v>
      </c>
      <c r="AU376" t="s">
        <v>722</v>
      </c>
      <c r="AV376" t="s">
        <v>202</v>
      </c>
      <c r="AW376" t="s">
        <v>203</v>
      </c>
      <c r="AX376" t="s">
        <v>203</v>
      </c>
      <c r="AY376" t="s">
        <v>203</v>
      </c>
      <c r="AZ376" t="s">
        <v>203</v>
      </c>
      <c r="BA376" t="s">
        <v>203</v>
      </c>
      <c r="BB376" t="s">
        <v>203</v>
      </c>
      <c r="BC376" t="s">
        <v>203</v>
      </c>
      <c r="BD376" t="s">
        <v>203</v>
      </c>
      <c r="BE376" t="s">
        <v>203</v>
      </c>
      <c r="BF376">
        <v>0</v>
      </c>
      <c r="BG376">
        <v>0.2</v>
      </c>
      <c r="BH376">
        <v>50</v>
      </c>
      <c r="BI376">
        <v>0</v>
      </c>
      <c r="BJ376" t="s">
        <v>198</v>
      </c>
      <c r="BK376" t="s">
        <v>198</v>
      </c>
      <c r="BL376" t="s">
        <v>198</v>
      </c>
      <c r="BM376" t="s">
        <v>198</v>
      </c>
      <c r="BN376" t="s">
        <v>198</v>
      </c>
      <c r="BO376" t="s">
        <v>198</v>
      </c>
      <c r="BP376" t="s">
        <v>198</v>
      </c>
      <c r="BQ376" t="s">
        <v>198</v>
      </c>
      <c r="BR376" t="s">
        <v>198</v>
      </c>
      <c r="BS376" t="s">
        <v>198</v>
      </c>
      <c r="BT376" t="s">
        <v>198</v>
      </c>
      <c r="BU376" t="s">
        <v>198</v>
      </c>
      <c r="BV376" t="s">
        <v>198</v>
      </c>
      <c r="BW376" t="s">
        <v>198</v>
      </c>
      <c r="BX376" t="s">
        <v>198</v>
      </c>
      <c r="BY376" t="s">
        <v>198</v>
      </c>
      <c r="BZ376" t="s">
        <v>198</v>
      </c>
      <c r="CA376" t="s">
        <v>198</v>
      </c>
      <c r="CB376" t="s">
        <v>204</v>
      </c>
      <c r="CC376" t="s">
        <v>204</v>
      </c>
      <c r="CD376" t="s">
        <v>204</v>
      </c>
      <c r="CE376" t="s">
        <v>204</v>
      </c>
      <c r="CF376" t="s">
        <v>204</v>
      </c>
      <c r="CG376" t="s">
        <v>204</v>
      </c>
      <c r="CH376" t="s">
        <v>204</v>
      </c>
      <c r="CI376" t="s">
        <v>204</v>
      </c>
      <c r="CJ376" t="s">
        <v>204</v>
      </c>
      <c r="CK376" t="s">
        <v>204</v>
      </c>
      <c r="CL376" t="s">
        <v>204</v>
      </c>
      <c r="CM376" t="s">
        <v>204</v>
      </c>
      <c r="CN376" t="s">
        <v>203</v>
      </c>
      <c r="CO376" t="s">
        <v>203</v>
      </c>
      <c r="CP376" t="s">
        <v>203</v>
      </c>
      <c r="CQ376" t="s">
        <v>203</v>
      </c>
      <c r="CR376" t="s">
        <v>203</v>
      </c>
      <c r="CS376" t="s">
        <v>203</v>
      </c>
      <c r="CT376" t="s">
        <v>203</v>
      </c>
      <c r="CU376" t="s">
        <v>203</v>
      </c>
      <c r="CV376">
        <v>0</v>
      </c>
      <c r="CW376">
        <v>0</v>
      </c>
      <c r="CX376" t="s">
        <v>198</v>
      </c>
      <c r="CY376" t="s">
        <v>198</v>
      </c>
      <c r="CZ376" t="s">
        <v>198</v>
      </c>
      <c r="DA376" t="s">
        <v>198</v>
      </c>
      <c r="DB376" t="s">
        <v>198</v>
      </c>
      <c r="DC376">
        <v>0</v>
      </c>
      <c r="DD376">
        <v>0</v>
      </c>
      <c r="DE376">
        <v>0</v>
      </c>
      <c r="DF376">
        <v>0</v>
      </c>
      <c r="DG376">
        <v>-35.3631166</v>
      </c>
      <c r="DH376">
        <v>149.1639735</v>
      </c>
      <c r="DI376" t="s">
        <v>360</v>
      </c>
      <c r="DJ376">
        <v>1.2</v>
      </c>
      <c r="DK376">
        <v>2</v>
      </c>
      <c r="DL376">
        <v>159.8</v>
      </c>
      <c r="DM376">
        <v>0</v>
      </c>
      <c r="DN376">
        <v>6</v>
      </c>
      <c r="DO376">
        <v>10</v>
      </c>
      <c r="DP376">
        <v>0</v>
      </c>
      <c r="DQ376">
        <v>255</v>
      </c>
      <c r="DR376">
        <v>255</v>
      </c>
      <c r="DS376">
        <v>255</v>
      </c>
      <c r="DT376">
        <v>255</v>
      </c>
      <c r="DU376">
        <v>255</v>
      </c>
      <c r="DV376">
        <v>255</v>
      </c>
      <c r="DW376">
        <v>255</v>
      </c>
      <c r="DX376" t="s">
        <v>206</v>
      </c>
      <c r="DY376" t="s">
        <v>206</v>
      </c>
      <c r="DZ376" t="s">
        <v>207</v>
      </c>
      <c r="EA376" t="s">
        <v>198</v>
      </c>
      <c r="EB376" t="s">
        <v>198</v>
      </c>
      <c r="EC376" t="s">
        <v>198</v>
      </c>
      <c r="ED376">
        <v>0</v>
      </c>
      <c r="EE376">
        <v>0</v>
      </c>
      <c r="EF376">
        <v>0</v>
      </c>
      <c r="EG376">
        <v>0</v>
      </c>
      <c r="EH376">
        <v>255</v>
      </c>
      <c r="EI376">
        <v>255</v>
      </c>
      <c r="EJ376">
        <v>255</v>
      </c>
      <c r="EK376">
        <v>255</v>
      </c>
      <c r="EL376">
        <v>255</v>
      </c>
      <c r="EM376">
        <v>255</v>
      </c>
      <c r="EN376">
        <v>255</v>
      </c>
      <c r="EO376">
        <v>255</v>
      </c>
      <c r="EP376">
        <v>255</v>
      </c>
      <c r="EQ376">
        <v>255</v>
      </c>
      <c r="ER376" t="s">
        <v>208</v>
      </c>
      <c r="ES376" t="s">
        <v>209</v>
      </c>
      <c r="ET376" t="s">
        <v>209</v>
      </c>
      <c r="EU376">
        <v>0</v>
      </c>
      <c r="EV376">
        <v>16.2</v>
      </c>
      <c r="EW376">
        <v>-114.7</v>
      </c>
      <c r="EX376">
        <v>-0.2</v>
      </c>
      <c r="EY376">
        <v>0</v>
      </c>
      <c r="EZ376">
        <v>0</v>
      </c>
      <c r="FA376">
        <v>0</v>
      </c>
      <c r="FB376" t="s">
        <v>198</v>
      </c>
      <c r="FC376" t="s">
        <v>198</v>
      </c>
      <c r="FD376" t="s">
        <v>198</v>
      </c>
      <c r="FE376" t="s">
        <v>198</v>
      </c>
      <c r="FF376" t="s">
        <v>198</v>
      </c>
      <c r="FG376" t="s">
        <v>198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 t="s">
        <v>203</v>
      </c>
      <c r="FP376" t="s">
        <v>203</v>
      </c>
      <c r="FQ376" t="s">
        <v>203</v>
      </c>
      <c r="FR376" t="s">
        <v>203</v>
      </c>
      <c r="FS376" t="s">
        <v>203</v>
      </c>
      <c r="FT376" t="s">
        <v>203</v>
      </c>
      <c r="FU376" t="s">
        <v>198</v>
      </c>
      <c r="FV376" t="s">
        <v>198</v>
      </c>
      <c r="FW376" t="s">
        <v>198</v>
      </c>
      <c r="FX376" t="s">
        <v>198</v>
      </c>
      <c r="FY376" t="s">
        <v>198</v>
      </c>
      <c r="FZ376" t="s">
        <v>198</v>
      </c>
      <c r="GA376">
        <v>31.2</v>
      </c>
      <c r="GB376">
        <v>31.2</v>
      </c>
      <c r="GC376" t="s">
        <v>203</v>
      </c>
      <c r="GD376">
        <v>0</v>
      </c>
      <c r="GE376">
        <v>504</v>
      </c>
      <c r="GF376">
        <v>0</v>
      </c>
      <c r="GG376">
        <v>0</v>
      </c>
      <c r="GH376">
        <v>0</v>
      </c>
      <c r="GI376">
        <v>1</v>
      </c>
      <c r="GJ376">
        <v>1</v>
      </c>
      <c r="GK376">
        <v>0</v>
      </c>
      <c r="GL376" t="s">
        <v>198</v>
      </c>
      <c r="GM376" t="s">
        <v>198</v>
      </c>
      <c r="GN376" t="s">
        <v>198</v>
      </c>
    </row>
    <row r="377" spans="1:196">
      <c r="A377" s="19">
        <v>46316.90824469907</v>
      </c>
      <c r="B377">
        <v>0</v>
      </c>
      <c r="C377">
        <v>0</v>
      </c>
      <c r="D377">
        <v>277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584.2</v>
      </c>
      <c r="N377">
        <v>-0.5</v>
      </c>
      <c r="O377">
        <v>0</v>
      </c>
      <c r="P377">
        <v>0</v>
      </c>
      <c r="Q377">
        <v>0</v>
      </c>
      <c r="R377">
        <v>0</v>
      </c>
      <c r="S377">
        <v>115.6</v>
      </c>
      <c r="T377" t="s">
        <v>485</v>
      </c>
      <c r="U377">
        <v>115.7</v>
      </c>
      <c r="V377">
        <v>1762727256586.8</v>
      </c>
      <c r="W377">
        <v>1</v>
      </c>
      <c r="X377" t="s">
        <v>197</v>
      </c>
      <c r="Y377">
        <v>0</v>
      </c>
      <c r="Z377">
        <v>98</v>
      </c>
      <c r="AA377">
        <v>278</v>
      </c>
      <c r="AB377" t="s">
        <v>197</v>
      </c>
      <c r="AC377" t="s">
        <v>198</v>
      </c>
      <c r="AD377" t="s">
        <v>199</v>
      </c>
      <c r="AE377">
        <v>0</v>
      </c>
      <c r="AF377">
        <v>45</v>
      </c>
      <c r="AG377">
        <v>255</v>
      </c>
      <c r="AH377">
        <v>0</v>
      </c>
      <c r="AI377">
        <v>0</v>
      </c>
      <c r="AJ377">
        <v>0</v>
      </c>
      <c r="AK377">
        <v>12.6</v>
      </c>
      <c r="AL377">
        <v>0</v>
      </c>
      <c r="AM377">
        <v>0</v>
      </c>
      <c r="AN377" t="s">
        <v>197</v>
      </c>
      <c r="AO377">
        <v>100</v>
      </c>
      <c r="AP377" t="s">
        <v>197</v>
      </c>
      <c r="AQ377" t="s">
        <v>200</v>
      </c>
      <c r="AR377">
        <v>1</v>
      </c>
      <c r="AS377">
        <v>0</v>
      </c>
      <c r="AT377" t="s">
        <v>723</v>
      </c>
      <c r="AU377" t="s">
        <v>723</v>
      </c>
      <c r="AV377" t="s">
        <v>202</v>
      </c>
      <c r="AW377" t="s">
        <v>203</v>
      </c>
      <c r="AX377" t="s">
        <v>203</v>
      </c>
      <c r="AY377" t="s">
        <v>203</v>
      </c>
      <c r="AZ377" t="s">
        <v>203</v>
      </c>
      <c r="BA377" t="s">
        <v>203</v>
      </c>
      <c r="BB377" t="s">
        <v>203</v>
      </c>
      <c r="BC377" t="s">
        <v>203</v>
      </c>
      <c r="BD377" t="s">
        <v>203</v>
      </c>
      <c r="BE377" t="s">
        <v>203</v>
      </c>
      <c r="BF377">
        <v>0</v>
      </c>
      <c r="BG377">
        <v>0.2</v>
      </c>
      <c r="BH377">
        <v>50</v>
      </c>
      <c r="BI377">
        <v>0</v>
      </c>
      <c r="BJ377" t="s">
        <v>198</v>
      </c>
      <c r="BK377" t="s">
        <v>198</v>
      </c>
      <c r="BL377" t="s">
        <v>198</v>
      </c>
      <c r="BM377" t="s">
        <v>198</v>
      </c>
      <c r="BN377" t="s">
        <v>198</v>
      </c>
      <c r="BO377" t="s">
        <v>198</v>
      </c>
      <c r="BP377" t="s">
        <v>198</v>
      </c>
      <c r="BQ377" t="s">
        <v>198</v>
      </c>
      <c r="BR377" t="s">
        <v>198</v>
      </c>
      <c r="BS377" t="s">
        <v>198</v>
      </c>
      <c r="BT377" t="s">
        <v>198</v>
      </c>
      <c r="BU377" t="s">
        <v>198</v>
      </c>
      <c r="BV377" t="s">
        <v>198</v>
      </c>
      <c r="BW377" t="s">
        <v>198</v>
      </c>
      <c r="BX377" t="s">
        <v>198</v>
      </c>
      <c r="BY377" t="s">
        <v>198</v>
      </c>
      <c r="BZ377" t="s">
        <v>198</v>
      </c>
      <c r="CA377" t="s">
        <v>198</v>
      </c>
      <c r="CB377" t="s">
        <v>204</v>
      </c>
      <c r="CC377" t="s">
        <v>204</v>
      </c>
      <c r="CD377" t="s">
        <v>204</v>
      </c>
      <c r="CE377" t="s">
        <v>204</v>
      </c>
      <c r="CF377" t="s">
        <v>204</v>
      </c>
      <c r="CG377" t="s">
        <v>204</v>
      </c>
      <c r="CH377" t="s">
        <v>204</v>
      </c>
      <c r="CI377" t="s">
        <v>204</v>
      </c>
      <c r="CJ377" t="s">
        <v>204</v>
      </c>
      <c r="CK377" t="s">
        <v>204</v>
      </c>
      <c r="CL377" t="s">
        <v>204</v>
      </c>
      <c r="CM377" t="s">
        <v>204</v>
      </c>
      <c r="CN377" t="s">
        <v>203</v>
      </c>
      <c r="CO377" t="s">
        <v>203</v>
      </c>
      <c r="CP377" t="s">
        <v>203</v>
      </c>
      <c r="CQ377" t="s">
        <v>203</v>
      </c>
      <c r="CR377" t="s">
        <v>203</v>
      </c>
      <c r="CS377" t="s">
        <v>203</v>
      </c>
      <c r="CT377" t="s">
        <v>203</v>
      </c>
      <c r="CU377" t="s">
        <v>203</v>
      </c>
      <c r="CV377">
        <v>0</v>
      </c>
      <c r="CW377">
        <v>0</v>
      </c>
      <c r="CX377" t="s">
        <v>198</v>
      </c>
      <c r="CY377" t="s">
        <v>198</v>
      </c>
      <c r="CZ377" t="s">
        <v>198</v>
      </c>
      <c r="DA377" t="s">
        <v>198</v>
      </c>
      <c r="DB377" t="s">
        <v>198</v>
      </c>
      <c r="DC377">
        <v>0</v>
      </c>
      <c r="DD377">
        <v>0</v>
      </c>
      <c r="DE377">
        <v>0</v>
      </c>
      <c r="DF377">
        <v>0</v>
      </c>
      <c r="DG377">
        <v>-35.3631166</v>
      </c>
      <c r="DH377">
        <v>149.1639735</v>
      </c>
      <c r="DI377" t="s">
        <v>360</v>
      </c>
      <c r="DJ377">
        <v>1.2</v>
      </c>
      <c r="DK377">
        <v>2</v>
      </c>
      <c r="DL377">
        <v>159.8</v>
      </c>
      <c r="DM377">
        <v>0</v>
      </c>
      <c r="DN377">
        <v>6</v>
      </c>
      <c r="DO377">
        <v>10</v>
      </c>
      <c r="DP377">
        <v>0</v>
      </c>
      <c r="DQ377">
        <v>255</v>
      </c>
      <c r="DR377">
        <v>255</v>
      </c>
      <c r="DS377">
        <v>255</v>
      </c>
      <c r="DT377">
        <v>255</v>
      </c>
      <c r="DU377">
        <v>255</v>
      </c>
      <c r="DV377">
        <v>255</v>
      </c>
      <c r="DW377">
        <v>255</v>
      </c>
      <c r="DX377" t="s">
        <v>206</v>
      </c>
      <c r="DY377" t="s">
        <v>206</v>
      </c>
      <c r="DZ377" t="s">
        <v>207</v>
      </c>
      <c r="EA377" t="s">
        <v>198</v>
      </c>
      <c r="EB377" t="s">
        <v>198</v>
      </c>
      <c r="EC377" t="s">
        <v>198</v>
      </c>
      <c r="ED377">
        <v>0</v>
      </c>
      <c r="EE377">
        <v>0</v>
      </c>
      <c r="EF377">
        <v>0</v>
      </c>
      <c r="EG377">
        <v>0</v>
      </c>
      <c r="EH377">
        <v>255</v>
      </c>
      <c r="EI377">
        <v>255</v>
      </c>
      <c r="EJ377">
        <v>255</v>
      </c>
      <c r="EK377">
        <v>255</v>
      </c>
      <c r="EL377">
        <v>255</v>
      </c>
      <c r="EM377">
        <v>255</v>
      </c>
      <c r="EN377">
        <v>255</v>
      </c>
      <c r="EO377">
        <v>255</v>
      </c>
      <c r="EP377">
        <v>255</v>
      </c>
      <c r="EQ377">
        <v>255</v>
      </c>
      <c r="ER377" t="s">
        <v>208</v>
      </c>
      <c r="ES377" t="s">
        <v>209</v>
      </c>
      <c r="ET377" t="s">
        <v>209</v>
      </c>
      <c r="EU377">
        <v>0</v>
      </c>
      <c r="EV377">
        <v>16.2</v>
      </c>
      <c r="EW377">
        <v>-114.7</v>
      </c>
      <c r="EX377">
        <v>-0.2</v>
      </c>
      <c r="EY377">
        <v>0</v>
      </c>
      <c r="EZ377">
        <v>0</v>
      </c>
      <c r="FA377">
        <v>0</v>
      </c>
      <c r="FB377" t="s">
        <v>198</v>
      </c>
      <c r="FC377" t="s">
        <v>198</v>
      </c>
      <c r="FD377" t="s">
        <v>198</v>
      </c>
      <c r="FE377" t="s">
        <v>198</v>
      </c>
      <c r="FF377" t="s">
        <v>198</v>
      </c>
      <c r="FG377" t="s">
        <v>198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 t="s">
        <v>203</v>
      </c>
      <c r="FP377" t="s">
        <v>203</v>
      </c>
      <c r="FQ377" t="s">
        <v>203</v>
      </c>
      <c r="FR377" t="s">
        <v>203</v>
      </c>
      <c r="FS377" t="s">
        <v>203</v>
      </c>
      <c r="FT377" t="s">
        <v>203</v>
      </c>
      <c r="FU377" t="s">
        <v>198</v>
      </c>
      <c r="FV377" t="s">
        <v>198</v>
      </c>
      <c r="FW377" t="s">
        <v>198</v>
      </c>
      <c r="FX377" t="s">
        <v>198</v>
      </c>
      <c r="FY377" t="s">
        <v>198</v>
      </c>
      <c r="FZ377" t="s">
        <v>198</v>
      </c>
      <c r="GA377">
        <v>31.2</v>
      </c>
      <c r="GB377">
        <v>31.2</v>
      </c>
      <c r="GC377" t="s">
        <v>203</v>
      </c>
      <c r="GD377">
        <v>0</v>
      </c>
      <c r="GE377">
        <v>504</v>
      </c>
      <c r="GF377">
        <v>0</v>
      </c>
      <c r="GG377">
        <v>0</v>
      </c>
      <c r="GH377">
        <v>0</v>
      </c>
      <c r="GI377">
        <v>1</v>
      </c>
      <c r="GJ377">
        <v>1</v>
      </c>
      <c r="GK377">
        <v>0</v>
      </c>
      <c r="GL377" t="s">
        <v>198</v>
      </c>
      <c r="GM377" t="s">
        <v>198</v>
      </c>
      <c r="GN377" t="s">
        <v>198</v>
      </c>
    </row>
    <row r="378" spans="1:196">
      <c r="A378" s="19">
        <v>46316.90825628473</v>
      </c>
      <c r="B378">
        <v>0</v>
      </c>
      <c r="C378">
        <v>0</v>
      </c>
      <c r="D378">
        <v>277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584.2</v>
      </c>
      <c r="N378">
        <v>-0.5</v>
      </c>
      <c r="O378">
        <v>0</v>
      </c>
      <c r="P378">
        <v>0</v>
      </c>
      <c r="Q378">
        <v>0</v>
      </c>
      <c r="R378">
        <v>0</v>
      </c>
      <c r="S378">
        <v>115.6</v>
      </c>
      <c r="T378" t="s">
        <v>485</v>
      </c>
      <c r="U378">
        <v>115.7</v>
      </c>
      <c r="V378">
        <v>1762727256586.8</v>
      </c>
      <c r="W378">
        <v>1</v>
      </c>
      <c r="X378" t="s">
        <v>197</v>
      </c>
      <c r="Y378">
        <v>0</v>
      </c>
      <c r="Z378">
        <v>98</v>
      </c>
      <c r="AA378">
        <v>278</v>
      </c>
      <c r="AB378" t="s">
        <v>197</v>
      </c>
      <c r="AC378" t="s">
        <v>198</v>
      </c>
      <c r="AD378" t="s">
        <v>199</v>
      </c>
      <c r="AE378">
        <v>0</v>
      </c>
      <c r="AF378">
        <v>45</v>
      </c>
      <c r="AG378">
        <v>255</v>
      </c>
      <c r="AH378">
        <v>0</v>
      </c>
      <c r="AI378">
        <v>0</v>
      </c>
      <c r="AJ378">
        <v>0</v>
      </c>
      <c r="AK378">
        <v>12.6</v>
      </c>
      <c r="AL378">
        <v>0</v>
      </c>
      <c r="AM378">
        <v>0</v>
      </c>
      <c r="AN378" t="s">
        <v>197</v>
      </c>
      <c r="AO378">
        <v>100</v>
      </c>
      <c r="AP378" t="s">
        <v>197</v>
      </c>
      <c r="AQ378" t="s">
        <v>200</v>
      </c>
      <c r="AR378">
        <v>1</v>
      </c>
      <c r="AS378">
        <v>0</v>
      </c>
      <c r="AT378" t="s">
        <v>724</v>
      </c>
      <c r="AU378" t="s">
        <v>724</v>
      </c>
      <c r="AV378" t="s">
        <v>202</v>
      </c>
      <c r="AW378" t="s">
        <v>203</v>
      </c>
      <c r="AX378" t="s">
        <v>203</v>
      </c>
      <c r="AY378" t="s">
        <v>203</v>
      </c>
      <c r="AZ378" t="s">
        <v>203</v>
      </c>
      <c r="BA378" t="s">
        <v>203</v>
      </c>
      <c r="BB378" t="s">
        <v>203</v>
      </c>
      <c r="BC378" t="s">
        <v>203</v>
      </c>
      <c r="BD378" t="s">
        <v>203</v>
      </c>
      <c r="BE378" t="s">
        <v>203</v>
      </c>
      <c r="BF378">
        <v>0</v>
      </c>
      <c r="BG378">
        <v>0.2</v>
      </c>
      <c r="BH378">
        <v>50</v>
      </c>
      <c r="BI378">
        <v>0</v>
      </c>
      <c r="BJ378" t="s">
        <v>198</v>
      </c>
      <c r="BK378" t="s">
        <v>198</v>
      </c>
      <c r="BL378" t="s">
        <v>198</v>
      </c>
      <c r="BM378" t="s">
        <v>198</v>
      </c>
      <c r="BN378" t="s">
        <v>198</v>
      </c>
      <c r="BO378" t="s">
        <v>198</v>
      </c>
      <c r="BP378" t="s">
        <v>198</v>
      </c>
      <c r="BQ378" t="s">
        <v>198</v>
      </c>
      <c r="BR378" t="s">
        <v>198</v>
      </c>
      <c r="BS378" t="s">
        <v>198</v>
      </c>
      <c r="BT378" t="s">
        <v>198</v>
      </c>
      <c r="BU378" t="s">
        <v>198</v>
      </c>
      <c r="BV378" t="s">
        <v>198</v>
      </c>
      <c r="BW378" t="s">
        <v>198</v>
      </c>
      <c r="BX378" t="s">
        <v>198</v>
      </c>
      <c r="BY378" t="s">
        <v>198</v>
      </c>
      <c r="BZ378" t="s">
        <v>198</v>
      </c>
      <c r="CA378" t="s">
        <v>198</v>
      </c>
      <c r="CB378" t="s">
        <v>204</v>
      </c>
      <c r="CC378" t="s">
        <v>204</v>
      </c>
      <c r="CD378" t="s">
        <v>204</v>
      </c>
      <c r="CE378" t="s">
        <v>204</v>
      </c>
      <c r="CF378" t="s">
        <v>204</v>
      </c>
      <c r="CG378" t="s">
        <v>204</v>
      </c>
      <c r="CH378" t="s">
        <v>204</v>
      </c>
      <c r="CI378" t="s">
        <v>204</v>
      </c>
      <c r="CJ378" t="s">
        <v>204</v>
      </c>
      <c r="CK378" t="s">
        <v>204</v>
      </c>
      <c r="CL378" t="s">
        <v>204</v>
      </c>
      <c r="CM378" t="s">
        <v>204</v>
      </c>
      <c r="CN378" t="s">
        <v>203</v>
      </c>
      <c r="CO378" t="s">
        <v>203</v>
      </c>
      <c r="CP378" t="s">
        <v>203</v>
      </c>
      <c r="CQ378" t="s">
        <v>203</v>
      </c>
      <c r="CR378" t="s">
        <v>203</v>
      </c>
      <c r="CS378" t="s">
        <v>203</v>
      </c>
      <c r="CT378" t="s">
        <v>203</v>
      </c>
      <c r="CU378" t="s">
        <v>203</v>
      </c>
      <c r="CV378">
        <v>0</v>
      </c>
      <c r="CW378">
        <v>0</v>
      </c>
      <c r="CX378" t="s">
        <v>198</v>
      </c>
      <c r="CY378" t="s">
        <v>198</v>
      </c>
      <c r="CZ378" t="s">
        <v>198</v>
      </c>
      <c r="DA378" t="s">
        <v>198</v>
      </c>
      <c r="DB378" t="s">
        <v>198</v>
      </c>
      <c r="DC378">
        <v>0</v>
      </c>
      <c r="DD378">
        <v>0</v>
      </c>
      <c r="DE378">
        <v>0</v>
      </c>
      <c r="DF378">
        <v>0</v>
      </c>
      <c r="DG378">
        <v>-35.3631166</v>
      </c>
      <c r="DH378">
        <v>149.1639735</v>
      </c>
      <c r="DI378" t="s">
        <v>360</v>
      </c>
      <c r="DJ378">
        <v>1.2</v>
      </c>
      <c r="DK378">
        <v>2</v>
      </c>
      <c r="DL378">
        <v>159.8</v>
      </c>
      <c r="DM378">
        <v>0</v>
      </c>
      <c r="DN378">
        <v>6</v>
      </c>
      <c r="DO378">
        <v>10</v>
      </c>
      <c r="DP378">
        <v>0</v>
      </c>
      <c r="DQ378">
        <v>255</v>
      </c>
      <c r="DR378">
        <v>255</v>
      </c>
      <c r="DS378">
        <v>255</v>
      </c>
      <c r="DT378">
        <v>255</v>
      </c>
      <c r="DU378">
        <v>255</v>
      </c>
      <c r="DV378">
        <v>255</v>
      </c>
      <c r="DW378">
        <v>255</v>
      </c>
      <c r="DX378" t="s">
        <v>206</v>
      </c>
      <c r="DY378" t="s">
        <v>206</v>
      </c>
      <c r="DZ378" t="s">
        <v>207</v>
      </c>
      <c r="EA378" t="s">
        <v>198</v>
      </c>
      <c r="EB378" t="s">
        <v>198</v>
      </c>
      <c r="EC378" t="s">
        <v>198</v>
      </c>
      <c r="ED378">
        <v>0</v>
      </c>
      <c r="EE378">
        <v>0</v>
      </c>
      <c r="EF378">
        <v>0</v>
      </c>
      <c r="EG378">
        <v>0</v>
      </c>
      <c r="EH378">
        <v>255</v>
      </c>
      <c r="EI378">
        <v>255</v>
      </c>
      <c r="EJ378">
        <v>255</v>
      </c>
      <c r="EK378">
        <v>255</v>
      </c>
      <c r="EL378">
        <v>255</v>
      </c>
      <c r="EM378">
        <v>255</v>
      </c>
      <c r="EN378">
        <v>255</v>
      </c>
      <c r="EO378">
        <v>255</v>
      </c>
      <c r="EP378">
        <v>255</v>
      </c>
      <c r="EQ378">
        <v>255</v>
      </c>
      <c r="ER378" t="s">
        <v>208</v>
      </c>
      <c r="ES378" t="s">
        <v>209</v>
      </c>
      <c r="ET378" t="s">
        <v>209</v>
      </c>
      <c r="EU378">
        <v>0</v>
      </c>
      <c r="EV378">
        <v>16.2</v>
      </c>
      <c r="EW378">
        <v>-114.7</v>
      </c>
      <c r="EX378">
        <v>-0.2</v>
      </c>
      <c r="EY378">
        <v>0</v>
      </c>
      <c r="EZ378">
        <v>0</v>
      </c>
      <c r="FA378">
        <v>0</v>
      </c>
      <c r="FB378" t="s">
        <v>198</v>
      </c>
      <c r="FC378" t="s">
        <v>198</v>
      </c>
      <c r="FD378" t="s">
        <v>198</v>
      </c>
      <c r="FE378" t="s">
        <v>198</v>
      </c>
      <c r="FF378" t="s">
        <v>198</v>
      </c>
      <c r="FG378" t="s">
        <v>198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 t="s">
        <v>203</v>
      </c>
      <c r="FP378" t="s">
        <v>203</v>
      </c>
      <c r="FQ378" t="s">
        <v>203</v>
      </c>
      <c r="FR378" t="s">
        <v>203</v>
      </c>
      <c r="FS378" t="s">
        <v>203</v>
      </c>
      <c r="FT378" t="s">
        <v>203</v>
      </c>
      <c r="FU378" t="s">
        <v>198</v>
      </c>
      <c r="FV378" t="s">
        <v>198</v>
      </c>
      <c r="FW378" t="s">
        <v>198</v>
      </c>
      <c r="FX378" t="s">
        <v>198</v>
      </c>
      <c r="FY378" t="s">
        <v>198</v>
      </c>
      <c r="FZ378" t="s">
        <v>198</v>
      </c>
      <c r="GA378">
        <v>31.2</v>
      </c>
      <c r="GB378">
        <v>31.2</v>
      </c>
      <c r="GC378" t="s">
        <v>203</v>
      </c>
      <c r="GD378">
        <v>0</v>
      </c>
      <c r="GE378">
        <v>504</v>
      </c>
      <c r="GF378">
        <v>0</v>
      </c>
      <c r="GG378">
        <v>0</v>
      </c>
      <c r="GH378">
        <v>0</v>
      </c>
      <c r="GI378">
        <v>1</v>
      </c>
      <c r="GJ378">
        <v>1</v>
      </c>
      <c r="GK378">
        <v>0</v>
      </c>
      <c r="GL378" t="s">
        <v>198</v>
      </c>
      <c r="GM378" t="s">
        <v>198</v>
      </c>
      <c r="GN378" t="s">
        <v>198</v>
      </c>
    </row>
    <row r="379" spans="1:196">
      <c r="A379" s="19">
        <v>46316.90826785879</v>
      </c>
      <c r="B379">
        <v>0</v>
      </c>
      <c r="C379">
        <v>0</v>
      </c>
      <c r="D379">
        <v>277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584.2</v>
      </c>
      <c r="N379">
        <v>-0.5</v>
      </c>
      <c r="O379">
        <v>0</v>
      </c>
      <c r="P379">
        <v>0</v>
      </c>
      <c r="Q379">
        <v>0</v>
      </c>
      <c r="R379">
        <v>0</v>
      </c>
      <c r="S379">
        <v>115.6</v>
      </c>
      <c r="T379" t="s">
        <v>485</v>
      </c>
      <c r="U379">
        <v>115.7</v>
      </c>
      <c r="V379">
        <v>1762727256586.8</v>
      </c>
      <c r="W379">
        <v>1</v>
      </c>
      <c r="X379" t="s">
        <v>197</v>
      </c>
      <c r="Y379">
        <v>0</v>
      </c>
      <c r="Z379">
        <v>98</v>
      </c>
      <c r="AA379">
        <v>278</v>
      </c>
      <c r="AB379" t="s">
        <v>197</v>
      </c>
      <c r="AC379" t="s">
        <v>198</v>
      </c>
      <c r="AD379" t="s">
        <v>199</v>
      </c>
      <c r="AE379">
        <v>0</v>
      </c>
      <c r="AF379">
        <v>45</v>
      </c>
      <c r="AG379">
        <v>255</v>
      </c>
      <c r="AH379">
        <v>0</v>
      </c>
      <c r="AI379">
        <v>0</v>
      </c>
      <c r="AJ379">
        <v>0</v>
      </c>
      <c r="AK379">
        <v>12.6</v>
      </c>
      <c r="AL379">
        <v>0</v>
      </c>
      <c r="AM379">
        <v>0</v>
      </c>
      <c r="AN379" t="s">
        <v>197</v>
      </c>
      <c r="AO379">
        <v>100</v>
      </c>
      <c r="AP379" t="s">
        <v>197</v>
      </c>
      <c r="AQ379" t="s">
        <v>200</v>
      </c>
      <c r="AR379">
        <v>1</v>
      </c>
      <c r="AS379">
        <v>0</v>
      </c>
      <c r="AT379" t="s">
        <v>725</v>
      </c>
      <c r="AU379" t="s">
        <v>725</v>
      </c>
      <c r="AV379" t="s">
        <v>202</v>
      </c>
      <c r="AW379" t="s">
        <v>203</v>
      </c>
      <c r="AX379" t="s">
        <v>203</v>
      </c>
      <c r="AY379" t="s">
        <v>203</v>
      </c>
      <c r="AZ379" t="s">
        <v>203</v>
      </c>
      <c r="BA379" t="s">
        <v>203</v>
      </c>
      <c r="BB379" t="s">
        <v>203</v>
      </c>
      <c r="BC379" t="s">
        <v>203</v>
      </c>
      <c r="BD379" t="s">
        <v>203</v>
      </c>
      <c r="BE379" t="s">
        <v>203</v>
      </c>
      <c r="BF379">
        <v>0</v>
      </c>
      <c r="BG379">
        <v>0.2</v>
      </c>
      <c r="BH379">
        <v>50</v>
      </c>
      <c r="BI379">
        <v>0</v>
      </c>
      <c r="BJ379" t="s">
        <v>198</v>
      </c>
      <c r="BK379" t="s">
        <v>198</v>
      </c>
      <c r="BL379" t="s">
        <v>198</v>
      </c>
      <c r="BM379" t="s">
        <v>198</v>
      </c>
      <c r="BN379" t="s">
        <v>198</v>
      </c>
      <c r="BO379" t="s">
        <v>198</v>
      </c>
      <c r="BP379" t="s">
        <v>198</v>
      </c>
      <c r="BQ379" t="s">
        <v>198</v>
      </c>
      <c r="BR379" t="s">
        <v>198</v>
      </c>
      <c r="BS379" t="s">
        <v>198</v>
      </c>
      <c r="BT379" t="s">
        <v>198</v>
      </c>
      <c r="BU379" t="s">
        <v>198</v>
      </c>
      <c r="BV379" t="s">
        <v>198</v>
      </c>
      <c r="BW379" t="s">
        <v>198</v>
      </c>
      <c r="BX379" t="s">
        <v>198</v>
      </c>
      <c r="BY379" t="s">
        <v>198</v>
      </c>
      <c r="BZ379" t="s">
        <v>198</v>
      </c>
      <c r="CA379" t="s">
        <v>198</v>
      </c>
      <c r="CB379" t="s">
        <v>204</v>
      </c>
      <c r="CC379" t="s">
        <v>204</v>
      </c>
      <c r="CD379" t="s">
        <v>204</v>
      </c>
      <c r="CE379" t="s">
        <v>204</v>
      </c>
      <c r="CF379" t="s">
        <v>204</v>
      </c>
      <c r="CG379" t="s">
        <v>204</v>
      </c>
      <c r="CH379" t="s">
        <v>204</v>
      </c>
      <c r="CI379" t="s">
        <v>204</v>
      </c>
      <c r="CJ379" t="s">
        <v>204</v>
      </c>
      <c r="CK379" t="s">
        <v>204</v>
      </c>
      <c r="CL379" t="s">
        <v>204</v>
      </c>
      <c r="CM379" t="s">
        <v>204</v>
      </c>
      <c r="CN379" t="s">
        <v>203</v>
      </c>
      <c r="CO379" t="s">
        <v>203</v>
      </c>
      <c r="CP379" t="s">
        <v>203</v>
      </c>
      <c r="CQ379" t="s">
        <v>203</v>
      </c>
      <c r="CR379" t="s">
        <v>203</v>
      </c>
      <c r="CS379" t="s">
        <v>203</v>
      </c>
      <c r="CT379" t="s">
        <v>203</v>
      </c>
      <c r="CU379" t="s">
        <v>203</v>
      </c>
      <c r="CV379">
        <v>0</v>
      </c>
      <c r="CW379">
        <v>0</v>
      </c>
      <c r="CX379" t="s">
        <v>198</v>
      </c>
      <c r="CY379" t="s">
        <v>198</v>
      </c>
      <c r="CZ379" t="s">
        <v>198</v>
      </c>
      <c r="DA379" t="s">
        <v>198</v>
      </c>
      <c r="DB379" t="s">
        <v>198</v>
      </c>
      <c r="DC379">
        <v>0</v>
      </c>
      <c r="DD379">
        <v>0</v>
      </c>
      <c r="DE379">
        <v>0</v>
      </c>
      <c r="DF379">
        <v>0</v>
      </c>
      <c r="DG379">
        <v>-35.3631166</v>
      </c>
      <c r="DH379">
        <v>149.1639735</v>
      </c>
      <c r="DI379" t="s">
        <v>360</v>
      </c>
      <c r="DJ379">
        <v>1.2</v>
      </c>
      <c r="DK379">
        <v>2</v>
      </c>
      <c r="DL379">
        <v>159.8</v>
      </c>
      <c r="DM379">
        <v>0</v>
      </c>
      <c r="DN379">
        <v>6</v>
      </c>
      <c r="DO379">
        <v>10</v>
      </c>
      <c r="DP379">
        <v>0</v>
      </c>
      <c r="DQ379">
        <v>255</v>
      </c>
      <c r="DR379">
        <v>255</v>
      </c>
      <c r="DS379">
        <v>255</v>
      </c>
      <c r="DT379">
        <v>255</v>
      </c>
      <c r="DU379">
        <v>255</v>
      </c>
      <c r="DV379">
        <v>255</v>
      </c>
      <c r="DW379">
        <v>255</v>
      </c>
      <c r="DX379" t="s">
        <v>206</v>
      </c>
      <c r="DY379" t="s">
        <v>206</v>
      </c>
      <c r="DZ379" t="s">
        <v>207</v>
      </c>
      <c r="EA379" t="s">
        <v>198</v>
      </c>
      <c r="EB379" t="s">
        <v>198</v>
      </c>
      <c r="EC379" t="s">
        <v>198</v>
      </c>
      <c r="ED379">
        <v>0</v>
      </c>
      <c r="EE379">
        <v>0</v>
      </c>
      <c r="EF379">
        <v>0</v>
      </c>
      <c r="EG379">
        <v>0</v>
      </c>
      <c r="EH379">
        <v>255</v>
      </c>
      <c r="EI379">
        <v>255</v>
      </c>
      <c r="EJ379">
        <v>255</v>
      </c>
      <c r="EK379">
        <v>255</v>
      </c>
      <c r="EL379">
        <v>255</v>
      </c>
      <c r="EM379">
        <v>255</v>
      </c>
      <c r="EN379">
        <v>255</v>
      </c>
      <c r="EO379">
        <v>255</v>
      </c>
      <c r="EP379">
        <v>255</v>
      </c>
      <c r="EQ379">
        <v>255</v>
      </c>
      <c r="ER379" t="s">
        <v>208</v>
      </c>
      <c r="ES379" t="s">
        <v>209</v>
      </c>
      <c r="ET379" t="s">
        <v>209</v>
      </c>
      <c r="EU379">
        <v>0</v>
      </c>
      <c r="EV379">
        <v>16.2</v>
      </c>
      <c r="EW379">
        <v>-114.7</v>
      </c>
      <c r="EX379">
        <v>-0.2</v>
      </c>
      <c r="EY379">
        <v>0</v>
      </c>
      <c r="EZ379">
        <v>0</v>
      </c>
      <c r="FA379">
        <v>0</v>
      </c>
      <c r="FB379" t="s">
        <v>198</v>
      </c>
      <c r="FC379" t="s">
        <v>198</v>
      </c>
      <c r="FD379" t="s">
        <v>198</v>
      </c>
      <c r="FE379" t="s">
        <v>198</v>
      </c>
      <c r="FF379" t="s">
        <v>198</v>
      </c>
      <c r="FG379" t="s">
        <v>198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 t="s">
        <v>203</v>
      </c>
      <c r="FP379" t="s">
        <v>203</v>
      </c>
      <c r="FQ379" t="s">
        <v>203</v>
      </c>
      <c r="FR379" t="s">
        <v>203</v>
      </c>
      <c r="FS379" t="s">
        <v>203</v>
      </c>
      <c r="FT379" t="s">
        <v>203</v>
      </c>
      <c r="FU379" t="s">
        <v>198</v>
      </c>
      <c r="FV379" t="s">
        <v>198</v>
      </c>
      <c r="FW379" t="s">
        <v>198</v>
      </c>
      <c r="FX379" t="s">
        <v>198</v>
      </c>
      <c r="FY379" t="s">
        <v>198</v>
      </c>
      <c r="FZ379" t="s">
        <v>198</v>
      </c>
      <c r="GA379">
        <v>31.2</v>
      </c>
      <c r="GB379">
        <v>31.2</v>
      </c>
      <c r="GC379" t="s">
        <v>203</v>
      </c>
      <c r="GD379">
        <v>0</v>
      </c>
      <c r="GE379">
        <v>504</v>
      </c>
      <c r="GF379">
        <v>0</v>
      </c>
      <c r="GG379">
        <v>0</v>
      </c>
      <c r="GH379">
        <v>0</v>
      </c>
      <c r="GI379">
        <v>1</v>
      </c>
      <c r="GJ379">
        <v>1</v>
      </c>
      <c r="GK379">
        <v>0</v>
      </c>
      <c r="GL379" t="s">
        <v>198</v>
      </c>
      <c r="GM379" t="s">
        <v>198</v>
      </c>
      <c r="GN379" t="s">
        <v>198</v>
      </c>
    </row>
    <row r="380" spans="1:196">
      <c r="A380" s="19">
        <v>46316.9082794213</v>
      </c>
      <c r="B380">
        <v>0</v>
      </c>
      <c r="C380">
        <v>0</v>
      </c>
      <c r="D380">
        <v>277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584.2</v>
      </c>
      <c r="N380">
        <v>-0.5</v>
      </c>
      <c r="O380">
        <v>0</v>
      </c>
      <c r="P380">
        <v>0</v>
      </c>
      <c r="Q380">
        <v>0</v>
      </c>
      <c r="R380">
        <v>0</v>
      </c>
      <c r="S380">
        <v>115.6</v>
      </c>
      <c r="T380" t="s">
        <v>485</v>
      </c>
      <c r="U380">
        <v>115.7</v>
      </c>
      <c r="V380">
        <v>1762727256586.8</v>
      </c>
      <c r="W380">
        <v>1</v>
      </c>
      <c r="X380" t="s">
        <v>197</v>
      </c>
      <c r="Y380">
        <v>0</v>
      </c>
      <c r="Z380">
        <v>98</v>
      </c>
      <c r="AA380">
        <v>278</v>
      </c>
      <c r="AB380" t="s">
        <v>197</v>
      </c>
      <c r="AC380" t="s">
        <v>198</v>
      </c>
      <c r="AD380" t="s">
        <v>199</v>
      </c>
      <c r="AE380">
        <v>0</v>
      </c>
      <c r="AF380">
        <v>45</v>
      </c>
      <c r="AG380">
        <v>255</v>
      </c>
      <c r="AH380">
        <v>0</v>
      </c>
      <c r="AI380">
        <v>0</v>
      </c>
      <c r="AJ380">
        <v>0</v>
      </c>
      <c r="AK380">
        <v>12.6</v>
      </c>
      <c r="AL380">
        <v>0</v>
      </c>
      <c r="AM380">
        <v>0</v>
      </c>
      <c r="AN380" t="s">
        <v>197</v>
      </c>
      <c r="AO380">
        <v>100</v>
      </c>
      <c r="AP380" t="s">
        <v>197</v>
      </c>
      <c r="AQ380" t="s">
        <v>200</v>
      </c>
      <c r="AR380">
        <v>1</v>
      </c>
      <c r="AS380">
        <v>0</v>
      </c>
      <c r="AT380" t="s">
        <v>726</v>
      </c>
      <c r="AU380" t="s">
        <v>726</v>
      </c>
      <c r="AV380" t="s">
        <v>202</v>
      </c>
      <c r="AW380" t="s">
        <v>203</v>
      </c>
      <c r="AX380" t="s">
        <v>203</v>
      </c>
      <c r="AY380" t="s">
        <v>203</v>
      </c>
      <c r="AZ380" t="s">
        <v>203</v>
      </c>
      <c r="BA380" t="s">
        <v>203</v>
      </c>
      <c r="BB380" t="s">
        <v>203</v>
      </c>
      <c r="BC380" t="s">
        <v>203</v>
      </c>
      <c r="BD380" t="s">
        <v>203</v>
      </c>
      <c r="BE380" t="s">
        <v>203</v>
      </c>
      <c r="BF380">
        <v>0</v>
      </c>
      <c r="BG380">
        <v>0.2</v>
      </c>
      <c r="BH380">
        <v>50</v>
      </c>
      <c r="BI380">
        <v>0</v>
      </c>
      <c r="BJ380" t="s">
        <v>198</v>
      </c>
      <c r="BK380" t="s">
        <v>198</v>
      </c>
      <c r="BL380" t="s">
        <v>198</v>
      </c>
      <c r="BM380" t="s">
        <v>198</v>
      </c>
      <c r="BN380" t="s">
        <v>198</v>
      </c>
      <c r="BO380" t="s">
        <v>198</v>
      </c>
      <c r="BP380" t="s">
        <v>198</v>
      </c>
      <c r="BQ380" t="s">
        <v>198</v>
      </c>
      <c r="BR380" t="s">
        <v>198</v>
      </c>
      <c r="BS380" t="s">
        <v>198</v>
      </c>
      <c r="BT380" t="s">
        <v>198</v>
      </c>
      <c r="BU380" t="s">
        <v>198</v>
      </c>
      <c r="BV380" t="s">
        <v>198</v>
      </c>
      <c r="BW380" t="s">
        <v>198</v>
      </c>
      <c r="BX380" t="s">
        <v>198</v>
      </c>
      <c r="BY380" t="s">
        <v>198</v>
      </c>
      <c r="BZ380" t="s">
        <v>198</v>
      </c>
      <c r="CA380" t="s">
        <v>198</v>
      </c>
      <c r="CB380" t="s">
        <v>204</v>
      </c>
      <c r="CC380" t="s">
        <v>204</v>
      </c>
      <c r="CD380" t="s">
        <v>204</v>
      </c>
      <c r="CE380" t="s">
        <v>204</v>
      </c>
      <c r="CF380" t="s">
        <v>204</v>
      </c>
      <c r="CG380" t="s">
        <v>204</v>
      </c>
      <c r="CH380" t="s">
        <v>204</v>
      </c>
      <c r="CI380" t="s">
        <v>204</v>
      </c>
      <c r="CJ380" t="s">
        <v>204</v>
      </c>
      <c r="CK380" t="s">
        <v>204</v>
      </c>
      <c r="CL380" t="s">
        <v>204</v>
      </c>
      <c r="CM380" t="s">
        <v>204</v>
      </c>
      <c r="CN380" t="s">
        <v>203</v>
      </c>
      <c r="CO380" t="s">
        <v>203</v>
      </c>
      <c r="CP380" t="s">
        <v>203</v>
      </c>
      <c r="CQ380" t="s">
        <v>203</v>
      </c>
      <c r="CR380" t="s">
        <v>203</v>
      </c>
      <c r="CS380" t="s">
        <v>203</v>
      </c>
      <c r="CT380" t="s">
        <v>203</v>
      </c>
      <c r="CU380" t="s">
        <v>203</v>
      </c>
      <c r="CV380">
        <v>0</v>
      </c>
      <c r="CW380">
        <v>0</v>
      </c>
      <c r="CX380" t="s">
        <v>198</v>
      </c>
      <c r="CY380" t="s">
        <v>198</v>
      </c>
      <c r="CZ380" t="s">
        <v>198</v>
      </c>
      <c r="DA380" t="s">
        <v>198</v>
      </c>
      <c r="DB380" t="s">
        <v>198</v>
      </c>
      <c r="DC380">
        <v>0</v>
      </c>
      <c r="DD380">
        <v>0</v>
      </c>
      <c r="DE380">
        <v>0</v>
      </c>
      <c r="DF380">
        <v>0</v>
      </c>
      <c r="DG380">
        <v>-35.3631166</v>
      </c>
      <c r="DH380">
        <v>149.1639735</v>
      </c>
      <c r="DI380" t="s">
        <v>360</v>
      </c>
      <c r="DJ380">
        <v>1.2</v>
      </c>
      <c r="DK380">
        <v>2</v>
      </c>
      <c r="DL380">
        <v>159.8</v>
      </c>
      <c r="DM380">
        <v>0</v>
      </c>
      <c r="DN380">
        <v>6</v>
      </c>
      <c r="DO380">
        <v>10</v>
      </c>
      <c r="DP380">
        <v>0</v>
      </c>
      <c r="DQ380">
        <v>255</v>
      </c>
      <c r="DR380">
        <v>255</v>
      </c>
      <c r="DS380">
        <v>255</v>
      </c>
      <c r="DT380">
        <v>255</v>
      </c>
      <c r="DU380">
        <v>255</v>
      </c>
      <c r="DV380">
        <v>255</v>
      </c>
      <c r="DW380">
        <v>255</v>
      </c>
      <c r="DX380" t="s">
        <v>206</v>
      </c>
      <c r="DY380" t="s">
        <v>206</v>
      </c>
      <c r="DZ380" t="s">
        <v>207</v>
      </c>
      <c r="EA380" t="s">
        <v>198</v>
      </c>
      <c r="EB380" t="s">
        <v>198</v>
      </c>
      <c r="EC380" t="s">
        <v>198</v>
      </c>
      <c r="ED380">
        <v>0</v>
      </c>
      <c r="EE380">
        <v>0</v>
      </c>
      <c r="EF380">
        <v>0</v>
      </c>
      <c r="EG380">
        <v>0</v>
      </c>
      <c r="EH380">
        <v>255</v>
      </c>
      <c r="EI380">
        <v>255</v>
      </c>
      <c r="EJ380">
        <v>255</v>
      </c>
      <c r="EK380">
        <v>255</v>
      </c>
      <c r="EL380">
        <v>255</v>
      </c>
      <c r="EM380">
        <v>255</v>
      </c>
      <c r="EN380">
        <v>255</v>
      </c>
      <c r="EO380">
        <v>255</v>
      </c>
      <c r="EP380">
        <v>255</v>
      </c>
      <c r="EQ380">
        <v>255</v>
      </c>
      <c r="ER380" t="s">
        <v>208</v>
      </c>
      <c r="ES380" t="s">
        <v>209</v>
      </c>
      <c r="ET380" t="s">
        <v>209</v>
      </c>
      <c r="EU380">
        <v>0</v>
      </c>
      <c r="EV380">
        <v>16.2</v>
      </c>
      <c r="EW380">
        <v>-114.7</v>
      </c>
      <c r="EX380">
        <v>-0.2</v>
      </c>
      <c r="EY380">
        <v>0</v>
      </c>
      <c r="EZ380">
        <v>0</v>
      </c>
      <c r="FA380">
        <v>0</v>
      </c>
      <c r="FB380" t="s">
        <v>198</v>
      </c>
      <c r="FC380" t="s">
        <v>198</v>
      </c>
      <c r="FD380" t="s">
        <v>198</v>
      </c>
      <c r="FE380" t="s">
        <v>198</v>
      </c>
      <c r="FF380" t="s">
        <v>198</v>
      </c>
      <c r="FG380" t="s">
        <v>198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 t="s">
        <v>203</v>
      </c>
      <c r="FP380" t="s">
        <v>203</v>
      </c>
      <c r="FQ380" t="s">
        <v>203</v>
      </c>
      <c r="FR380" t="s">
        <v>203</v>
      </c>
      <c r="FS380" t="s">
        <v>203</v>
      </c>
      <c r="FT380" t="s">
        <v>203</v>
      </c>
      <c r="FU380" t="s">
        <v>198</v>
      </c>
      <c r="FV380" t="s">
        <v>198</v>
      </c>
      <c r="FW380" t="s">
        <v>198</v>
      </c>
      <c r="FX380" t="s">
        <v>198</v>
      </c>
      <c r="FY380" t="s">
        <v>198</v>
      </c>
      <c r="FZ380" t="s">
        <v>198</v>
      </c>
      <c r="GA380">
        <v>31.2</v>
      </c>
      <c r="GB380">
        <v>31.2</v>
      </c>
      <c r="GC380" t="s">
        <v>203</v>
      </c>
      <c r="GD380">
        <v>0</v>
      </c>
      <c r="GE380">
        <v>504</v>
      </c>
      <c r="GF380">
        <v>0</v>
      </c>
      <c r="GG380">
        <v>0</v>
      </c>
      <c r="GH380">
        <v>0</v>
      </c>
      <c r="GI380">
        <v>1</v>
      </c>
      <c r="GJ380">
        <v>1</v>
      </c>
      <c r="GK380">
        <v>0</v>
      </c>
      <c r="GL380" t="s">
        <v>198</v>
      </c>
      <c r="GM380" t="s">
        <v>198</v>
      </c>
      <c r="GN380" t="s">
        <v>198</v>
      </c>
    </row>
    <row r="381" spans="1:196">
      <c r="A381" s="19">
        <v>46316.90829116898</v>
      </c>
      <c r="B381">
        <v>0</v>
      </c>
      <c r="C381">
        <v>0</v>
      </c>
      <c r="D381">
        <v>277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584.2</v>
      </c>
      <c r="N381">
        <v>-0.5</v>
      </c>
      <c r="O381">
        <v>0</v>
      </c>
      <c r="P381">
        <v>0</v>
      </c>
      <c r="Q381">
        <v>0</v>
      </c>
      <c r="R381">
        <v>0</v>
      </c>
      <c r="S381">
        <v>115.6</v>
      </c>
      <c r="T381" t="s">
        <v>485</v>
      </c>
      <c r="U381">
        <v>115.7</v>
      </c>
      <c r="V381">
        <v>1762727256586.8</v>
      </c>
      <c r="W381">
        <v>1</v>
      </c>
      <c r="X381" t="s">
        <v>197</v>
      </c>
      <c r="Y381">
        <v>0</v>
      </c>
      <c r="Z381">
        <v>98</v>
      </c>
      <c r="AA381">
        <v>278</v>
      </c>
      <c r="AB381" t="s">
        <v>197</v>
      </c>
      <c r="AC381" t="s">
        <v>198</v>
      </c>
      <c r="AD381" t="s">
        <v>199</v>
      </c>
      <c r="AE381">
        <v>0</v>
      </c>
      <c r="AF381">
        <v>45</v>
      </c>
      <c r="AG381">
        <v>255</v>
      </c>
      <c r="AH381">
        <v>0</v>
      </c>
      <c r="AI381">
        <v>0</v>
      </c>
      <c r="AJ381">
        <v>0</v>
      </c>
      <c r="AK381">
        <v>12.6</v>
      </c>
      <c r="AL381">
        <v>0</v>
      </c>
      <c r="AM381">
        <v>0</v>
      </c>
      <c r="AN381" t="s">
        <v>197</v>
      </c>
      <c r="AO381">
        <v>100</v>
      </c>
      <c r="AP381" t="s">
        <v>197</v>
      </c>
      <c r="AQ381" t="s">
        <v>200</v>
      </c>
      <c r="AR381">
        <v>1</v>
      </c>
      <c r="AS381">
        <v>0</v>
      </c>
      <c r="AT381" t="s">
        <v>727</v>
      </c>
      <c r="AU381" t="s">
        <v>727</v>
      </c>
      <c r="AV381" t="s">
        <v>202</v>
      </c>
      <c r="AW381" t="s">
        <v>203</v>
      </c>
      <c r="AX381" t="s">
        <v>203</v>
      </c>
      <c r="AY381" t="s">
        <v>203</v>
      </c>
      <c r="AZ381" t="s">
        <v>203</v>
      </c>
      <c r="BA381" t="s">
        <v>203</v>
      </c>
      <c r="BB381" t="s">
        <v>203</v>
      </c>
      <c r="BC381" t="s">
        <v>203</v>
      </c>
      <c r="BD381" t="s">
        <v>203</v>
      </c>
      <c r="BE381" t="s">
        <v>203</v>
      </c>
      <c r="BF381">
        <v>0</v>
      </c>
      <c r="BG381">
        <v>0.2</v>
      </c>
      <c r="BH381">
        <v>50</v>
      </c>
      <c r="BI381">
        <v>0</v>
      </c>
      <c r="BJ381" t="s">
        <v>198</v>
      </c>
      <c r="BK381" t="s">
        <v>198</v>
      </c>
      <c r="BL381" t="s">
        <v>198</v>
      </c>
      <c r="BM381" t="s">
        <v>198</v>
      </c>
      <c r="BN381" t="s">
        <v>198</v>
      </c>
      <c r="BO381" t="s">
        <v>198</v>
      </c>
      <c r="BP381" t="s">
        <v>198</v>
      </c>
      <c r="BQ381" t="s">
        <v>198</v>
      </c>
      <c r="BR381" t="s">
        <v>198</v>
      </c>
      <c r="BS381" t="s">
        <v>198</v>
      </c>
      <c r="BT381" t="s">
        <v>198</v>
      </c>
      <c r="BU381" t="s">
        <v>198</v>
      </c>
      <c r="BV381" t="s">
        <v>198</v>
      </c>
      <c r="BW381" t="s">
        <v>198</v>
      </c>
      <c r="BX381" t="s">
        <v>198</v>
      </c>
      <c r="BY381" t="s">
        <v>198</v>
      </c>
      <c r="BZ381" t="s">
        <v>198</v>
      </c>
      <c r="CA381" t="s">
        <v>198</v>
      </c>
      <c r="CB381" t="s">
        <v>204</v>
      </c>
      <c r="CC381" t="s">
        <v>204</v>
      </c>
      <c r="CD381" t="s">
        <v>204</v>
      </c>
      <c r="CE381" t="s">
        <v>204</v>
      </c>
      <c r="CF381" t="s">
        <v>204</v>
      </c>
      <c r="CG381" t="s">
        <v>204</v>
      </c>
      <c r="CH381" t="s">
        <v>204</v>
      </c>
      <c r="CI381" t="s">
        <v>204</v>
      </c>
      <c r="CJ381" t="s">
        <v>204</v>
      </c>
      <c r="CK381" t="s">
        <v>204</v>
      </c>
      <c r="CL381" t="s">
        <v>204</v>
      </c>
      <c r="CM381" t="s">
        <v>204</v>
      </c>
      <c r="CN381" t="s">
        <v>203</v>
      </c>
      <c r="CO381" t="s">
        <v>203</v>
      </c>
      <c r="CP381" t="s">
        <v>203</v>
      </c>
      <c r="CQ381" t="s">
        <v>203</v>
      </c>
      <c r="CR381" t="s">
        <v>203</v>
      </c>
      <c r="CS381" t="s">
        <v>203</v>
      </c>
      <c r="CT381" t="s">
        <v>203</v>
      </c>
      <c r="CU381" t="s">
        <v>203</v>
      </c>
      <c r="CV381">
        <v>0</v>
      </c>
      <c r="CW381">
        <v>0</v>
      </c>
      <c r="CX381" t="s">
        <v>198</v>
      </c>
      <c r="CY381" t="s">
        <v>198</v>
      </c>
      <c r="CZ381" t="s">
        <v>198</v>
      </c>
      <c r="DA381" t="s">
        <v>198</v>
      </c>
      <c r="DB381" t="s">
        <v>198</v>
      </c>
      <c r="DC381">
        <v>0</v>
      </c>
      <c r="DD381">
        <v>0</v>
      </c>
      <c r="DE381">
        <v>0</v>
      </c>
      <c r="DF381">
        <v>0</v>
      </c>
      <c r="DG381">
        <v>-35.3631166</v>
      </c>
      <c r="DH381">
        <v>149.1639735</v>
      </c>
      <c r="DI381" t="s">
        <v>360</v>
      </c>
      <c r="DJ381">
        <v>1.2</v>
      </c>
      <c r="DK381">
        <v>2</v>
      </c>
      <c r="DL381">
        <v>159.8</v>
      </c>
      <c r="DM381">
        <v>0</v>
      </c>
      <c r="DN381">
        <v>6</v>
      </c>
      <c r="DO381">
        <v>10</v>
      </c>
      <c r="DP381">
        <v>0</v>
      </c>
      <c r="DQ381">
        <v>255</v>
      </c>
      <c r="DR381">
        <v>255</v>
      </c>
      <c r="DS381">
        <v>255</v>
      </c>
      <c r="DT381">
        <v>255</v>
      </c>
      <c r="DU381">
        <v>255</v>
      </c>
      <c r="DV381">
        <v>255</v>
      </c>
      <c r="DW381">
        <v>255</v>
      </c>
      <c r="DX381" t="s">
        <v>206</v>
      </c>
      <c r="DY381" t="s">
        <v>206</v>
      </c>
      <c r="DZ381" t="s">
        <v>207</v>
      </c>
      <c r="EA381" t="s">
        <v>198</v>
      </c>
      <c r="EB381" t="s">
        <v>198</v>
      </c>
      <c r="EC381" t="s">
        <v>198</v>
      </c>
      <c r="ED381">
        <v>0</v>
      </c>
      <c r="EE381">
        <v>0</v>
      </c>
      <c r="EF381">
        <v>0</v>
      </c>
      <c r="EG381">
        <v>0</v>
      </c>
      <c r="EH381">
        <v>255</v>
      </c>
      <c r="EI381">
        <v>255</v>
      </c>
      <c r="EJ381">
        <v>255</v>
      </c>
      <c r="EK381">
        <v>255</v>
      </c>
      <c r="EL381">
        <v>255</v>
      </c>
      <c r="EM381">
        <v>255</v>
      </c>
      <c r="EN381">
        <v>255</v>
      </c>
      <c r="EO381">
        <v>255</v>
      </c>
      <c r="EP381">
        <v>255</v>
      </c>
      <c r="EQ381">
        <v>255</v>
      </c>
      <c r="ER381" t="s">
        <v>208</v>
      </c>
      <c r="ES381" t="s">
        <v>209</v>
      </c>
      <c r="ET381" t="s">
        <v>209</v>
      </c>
      <c r="EU381">
        <v>0</v>
      </c>
      <c r="EV381">
        <v>16.2</v>
      </c>
      <c r="EW381">
        <v>-114.7</v>
      </c>
      <c r="EX381">
        <v>-0.2</v>
      </c>
      <c r="EY381">
        <v>0</v>
      </c>
      <c r="EZ381">
        <v>0</v>
      </c>
      <c r="FA381">
        <v>0</v>
      </c>
      <c r="FB381" t="s">
        <v>198</v>
      </c>
      <c r="FC381" t="s">
        <v>198</v>
      </c>
      <c r="FD381" t="s">
        <v>198</v>
      </c>
      <c r="FE381" t="s">
        <v>198</v>
      </c>
      <c r="FF381" t="s">
        <v>198</v>
      </c>
      <c r="FG381" t="s">
        <v>198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 t="s">
        <v>203</v>
      </c>
      <c r="FP381" t="s">
        <v>203</v>
      </c>
      <c r="FQ381" t="s">
        <v>203</v>
      </c>
      <c r="FR381" t="s">
        <v>203</v>
      </c>
      <c r="FS381" t="s">
        <v>203</v>
      </c>
      <c r="FT381" t="s">
        <v>203</v>
      </c>
      <c r="FU381" t="s">
        <v>198</v>
      </c>
      <c r="FV381" t="s">
        <v>198</v>
      </c>
      <c r="FW381" t="s">
        <v>198</v>
      </c>
      <c r="FX381" t="s">
        <v>198</v>
      </c>
      <c r="FY381" t="s">
        <v>198</v>
      </c>
      <c r="FZ381" t="s">
        <v>198</v>
      </c>
      <c r="GA381">
        <v>31.2</v>
      </c>
      <c r="GB381">
        <v>31.2</v>
      </c>
      <c r="GC381" t="s">
        <v>203</v>
      </c>
      <c r="GD381">
        <v>0</v>
      </c>
      <c r="GE381">
        <v>504</v>
      </c>
      <c r="GF381">
        <v>0</v>
      </c>
      <c r="GG381">
        <v>0</v>
      </c>
      <c r="GH381">
        <v>0</v>
      </c>
      <c r="GI381">
        <v>1</v>
      </c>
      <c r="GJ381">
        <v>1</v>
      </c>
      <c r="GK381">
        <v>0</v>
      </c>
      <c r="GL381" t="s">
        <v>198</v>
      </c>
      <c r="GM381" t="s">
        <v>198</v>
      </c>
      <c r="GN381" t="s">
        <v>198</v>
      </c>
    </row>
    <row r="382" spans="1:196">
      <c r="A382" s="19">
        <v>46316.90830258102</v>
      </c>
      <c r="B382">
        <v>0</v>
      </c>
      <c r="C382">
        <v>0</v>
      </c>
      <c r="D382">
        <v>277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584.2</v>
      </c>
      <c r="N382">
        <v>-0.5</v>
      </c>
      <c r="O382">
        <v>0</v>
      </c>
      <c r="P382">
        <v>0</v>
      </c>
      <c r="Q382">
        <v>0</v>
      </c>
      <c r="R382">
        <v>0</v>
      </c>
      <c r="S382">
        <v>115.6</v>
      </c>
      <c r="T382" t="s">
        <v>485</v>
      </c>
      <c r="U382">
        <v>115.7</v>
      </c>
      <c r="V382">
        <v>1762727256586.8</v>
      </c>
      <c r="W382">
        <v>1</v>
      </c>
      <c r="X382" t="s">
        <v>197</v>
      </c>
      <c r="Y382">
        <v>0</v>
      </c>
      <c r="Z382">
        <v>98</v>
      </c>
      <c r="AA382">
        <v>278</v>
      </c>
      <c r="AB382" t="s">
        <v>197</v>
      </c>
      <c r="AC382" t="s">
        <v>198</v>
      </c>
      <c r="AD382" t="s">
        <v>199</v>
      </c>
      <c r="AE382">
        <v>0</v>
      </c>
      <c r="AF382">
        <v>45</v>
      </c>
      <c r="AG382">
        <v>255</v>
      </c>
      <c r="AH382">
        <v>0</v>
      </c>
      <c r="AI382">
        <v>0</v>
      </c>
      <c r="AJ382">
        <v>0</v>
      </c>
      <c r="AK382">
        <v>12.6</v>
      </c>
      <c r="AL382">
        <v>0</v>
      </c>
      <c r="AM382">
        <v>0</v>
      </c>
      <c r="AN382" t="s">
        <v>197</v>
      </c>
      <c r="AO382">
        <v>100</v>
      </c>
      <c r="AP382" t="s">
        <v>197</v>
      </c>
      <c r="AQ382" t="s">
        <v>200</v>
      </c>
      <c r="AR382">
        <v>1</v>
      </c>
      <c r="AS382">
        <v>0</v>
      </c>
      <c r="AT382" t="s">
        <v>728</v>
      </c>
      <c r="AU382" t="s">
        <v>728</v>
      </c>
      <c r="AV382" t="s">
        <v>202</v>
      </c>
      <c r="AW382" t="s">
        <v>203</v>
      </c>
      <c r="AX382" t="s">
        <v>203</v>
      </c>
      <c r="AY382" t="s">
        <v>203</v>
      </c>
      <c r="AZ382" t="s">
        <v>203</v>
      </c>
      <c r="BA382" t="s">
        <v>203</v>
      </c>
      <c r="BB382" t="s">
        <v>203</v>
      </c>
      <c r="BC382" t="s">
        <v>203</v>
      </c>
      <c r="BD382" t="s">
        <v>203</v>
      </c>
      <c r="BE382" t="s">
        <v>203</v>
      </c>
      <c r="BF382">
        <v>0</v>
      </c>
      <c r="BG382">
        <v>0.2</v>
      </c>
      <c r="BH382">
        <v>50</v>
      </c>
      <c r="BI382">
        <v>0</v>
      </c>
      <c r="BJ382" t="s">
        <v>198</v>
      </c>
      <c r="BK382" t="s">
        <v>198</v>
      </c>
      <c r="BL382" t="s">
        <v>198</v>
      </c>
      <c r="BM382" t="s">
        <v>198</v>
      </c>
      <c r="BN382" t="s">
        <v>198</v>
      </c>
      <c r="BO382" t="s">
        <v>198</v>
      </c>
      <c r="BP382" t="s">
        <v>198</v>
      </c>
      <c r="BQ382" t="s">
        <v>198</v>
      </c>
      <c r="BR382" t="s">
        <v>198</v>
      </c>
      <c r="BS382" t="s">
        <v>198</v>
      </c>
      <c r="BT382" t="s">
        <v>198</v>
      </c>
      <c r="BU382" t="s">
        <v>198</v>
      </c>
      <c r="BV382" t="s">
        <v>198</v>
      </c>
      <c r="BW382" t="s">
        <v>198</v>
      </c>
      <c r="BX382" t="s">
        <v>198</v>
      </c>
      <c r="BY382" t="s">
        <v>198</v>
      </c>
      <c r="BZ382" t="s">
        <v>198</v>
      </c>
      <c r="CA382" t="s">
        <v>198</v>
      </c>
      <c r="CB382" t="s">
        <v>204</v>
      </c>
      <c r="CC382" t="s">
        <v>204</v>
      </c>
      <c r="CD382" t="s">
        <v>204</v>
      </c>
      <c r="CE382" t="s">
        <v>204</v>
      </c>
      <c r="CF382" t="s">
        <v>204</v>
      </c>
      <c r="CG382" t="s">
        <v>204</v>
      </c>
      <c r="CH382" t="s">
        <v>204</v>
      </c>
      <c r="CI382" t="s">
        <v>204</v>
      </c>
      <c r="CJ382" t="s">
        <v>204</v>
      </c>
      <c r="CK382" t="s">
        <v>204</v>
      </c>
      <c r="CL382" t="s">
        <v>204</v>
      </c>
      <c r="CM382" t="s">
        <v>204</v>
      </c>
      <c r="CN382" t="s">
        <v>203</v>
      </c>
      <c r="CO382" t="s">
        <v>203</v>
      </c>
      <c r="CP382" t="s">
        <v>203</v>
      </c>
      <c r="CQ382" t="s">
        <v>203</v>
      </c>
      <c r="CR382" t="s">
        <v>203</v>
      </c>
      <c r="CS382" t="s">
        <v>203</v>
      </c>
      <c r="CT382" t="s">
        <v>203</v>
      </c>
      <c r="CU382" t="s">
        <v>203</v>
      </c>
      <c r="CV382">
        <v>0</v>
      </c>
      <c r="CW382">
        <v>0</v>
      </c>
      <c r="CX382" t="s">
        <v>198</v>
      </c>
      <c r="CY382" t="s">
        <v>198</v>
      </c>
      <c r="CZ382" t="s">
        <v>198</v>
      </c>
      <c r="DA382" t="s">
        <v>198</v>
      </c>
      <c r="DB382" t="s">
        <v>198</v>
      </c>
      <c r="DC382">
        <v>0</v>
      </c>
      <c r="DD382">
        <v>0</v>
      </c>
      <c r="DE382">
        <v>0</v>
      </c>
      <c r="DF382">
        <v>0</v>
      </c>
      <c r="DG382">
        <v>-35.3631166</v>
      </c>
      <c r="DH382">
        <v>149.1639735</v>
      </c>
      <c r="DI382" t="s">
        <v>360</v>
      </c>
      <c r="DJ382">
        <v>1.2</v>
      </c>
      <c r="DK382">
        <v>2</v>
      </c>
      <c r="DL382">
        <v>159.8</v>
      </c>
      <c r="DM382">
        <v>0</v>
      </c>
      <c r="DN382">
        <v>6</v>
      </c>
      <c r="DO382">
        <v>10</v>
      </c>
      <c r="DP382">
        <v>0</v>
      </c>
      <c r="DQ382">
        <v>255</v>
      </c>
      <c r="DR382">
        <v>255</v>
      </c>
      <c r="DS382">
        <v>255</v>
      </c>
      <c r="DT382">
        <v>255</v>
      </c>
      <c r="DU382">
        <v>255</v>
      </c>
      <c r="DV382">
        <v>255</v>
      </c>
      <c r="DW382">
        <v>255</v>
      </c>
      <c r="DX382" t="s">
        <v>206</v>
      </c>
      <c r="DY382" t="s">
        <v>206</v>
      </c>
      <c r="DZ382" t="s">
        <v>207</v>
      </c>
      <c r="EA382" t="s">
        <v>198</v>
      </c>
      <c r="EB382" t="s">
        <v>198</v>
      </c>
      <c r="EC382" t="s">
        <v>198</v>
      </c>
      <c r="ED382">
        <v>0</v>
      </c>
      <c r="EE382">
        <v>0</v>
      </c>
      <c r="EF382">
        <v>0</v>
      </c>
      <c r="EG382">
        <v>0</v>
      </c>
      <c r="EH382">
        <v>255</v>
      </c>
      <c r="EI382">
        <v>255</v>
      </c>
      <c r="EJ382">
        <v>255</v>
      </c>
      <c r="EK382">
        <v>255</v>
      </c>
      <c r="EL382">
        <v>255</v>
      </c>
      <c r="EM382">
        <v>255</v>
      </c>
      <c r="EN382">
        <v>255</v>
      </c>
      <c r="EO382">
        <v>255</v>
      </c>
      <c r="EP382">
        <v>255</v>
      </c>
      <c r="EQ382">
        <v>255</v>
      </c>
      <c r="ER382" t="s">
        <v>208</v>
      </c>
      <c r="ES382" t="s">
        <v>209</v>
      </c>
      <c r="ET382" t="s">
        <v>209</v>
      </c>
      <c r="EU382">
        <v>0</v>
      </c>
      <c r="EV382">
        <v>16.2</v>
      </c>
      <c r="EW382">
        <v>-114.7</v>
      </c>
      <c r="EX382">
        <v>-0.2</v>
      </c>
      <c r="EY382">
        <v>0</v>
      </c>
      <c r="EZ382">
        <v>0</v>
      </c>
      <c r="FA382">
        <v>0</v>
      </c>
      <c r="FB382" t="s">
        <v>198</v>
      </c>
      <c r="FC382" t="s">
        <v>198</v>
      </c>
      <c r="FD382" t="s">
        <v>198</v>
      </c>
      <c r="FE382" t="s">
        <v>198</v>
      </c>
      <c r="FF382" t="s">
        <v>198</v>
      </c>
      <c r="FG382" t="s">
        <v>198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 t="s">
        <v>203</v>
      </c>
      <c r="FP382" t="s">
        <v>203</v>
      </c>
      <c r="FQ382" t="s">
        <v>203</v>
      </c>
      <c r="FR382" t="s">
        <v>203</v>
      </c>
      <c r="FS382" t="s">
        <v>203</v>
      </c>
      <c r="FT382" t="s">
        <v>203</v>
      </c>
      <c r="FU382" t="s">
        <v>198</v>
      </c>
      <c r="FV382" t="s">
        <v>198</v>
      </c>
      <c r="FW382" t="s">
        <v>198</v>
      </c>
      <c r="FX382" t="s">
        <v>198</v>
      </c>
      <c r="FY382" t="s">
        <v>198</v>
      </c>
      <c r="FZ382" t="s">
        <v>198</v>
      </c>
      <c r="GA382">
        <v>31.2</v>
      </c>
      <c r="GB382">
        <v>31.2</v>
      </c>
      <c r="GC382" t="s">
        <v>203</v>
      </c>
      <c r="GD382">
        <v>0</v>
      </c>
      <c r="GE382">
        <v>504</v>
      </c>
      <c r="GF382">
        <v>0</v>
      </c>
      <c r="GG382">
        <v>0</v>
      </c>
      <c r="GH382">
        <v>0</v>
      </c>
      <c r="GI382">
        <v>1</v>
      </c>
      <c r="GJ382">
        <v>1</v>
      </c>
      <c r="GK382">
        <v>0</v>
      </c>
      <c r="GL382" t="s">
        <v>198</v>
      </c>
      <c r="GM382" t="s">
        <v>198</v>
      </c>
      <c r="GN382" t="s">
        <v>198</v>
      </c>
    </row>
    <row r="383" spans="1:196">
      <c r="A383" s="19">
        <v>46316.90831415509</v>
      </c>
      <c r="B383">
        <v>0</v>
      </c>
      <c r="C383">
        <v>0</v>
      </c>
      <c r="D383">
        <v>277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584.2</v>
      </c>
      <c r="N383">
        <v>-0.5</v>
      </c>
      <c r="O383">
        <v>0</v>
      </c>
      <c r="P383">
        <v>0</v>
      </c>
      <c r="Q383">
        <v>0</v>
      </c>
      <c r="R383">
        <v>0</v>
      </c>
      <c r="S383">
        <v>115.6</v>
      </c>
      <c r="T383" t="s">
        <v>485</v>
      </c>
      <c r="U383">
        <v>115.7</v>
      </c>
      <c r="V383">
        <v>1762727256586.8</v>
      </c>
      <c r="W383">
        <v>1</v>
      </c>
      <c r="X383" t="s">
        <v>197</v>
      </c>
      <c r="Y383">
        <v>0</v>
      </c>
      <c r="Z383">
        <v>98</v>
      </c>
      <c r="AA383">
        <v>278</v>
      </c>
      <c r="AB383" t="s">
        <v>197</v>
      </c>
      <c r="AC383" t="s">
        <v>198</v>
      </c>
      <c r="AD383" t="s">
        <v>199</v>
      </c>
      <c r="AE383">
        <v>0</v>
      </c>
      <c r="AF383">
        <v>45</v>
      </c>
      <c r="AG383">
        <v>255</v>
      </c>
      <c r="AH383">
        <v>0</v>
      </c>
      <c r="AI383">
        <v>0</v>
      </c>
      <c r="AJ383">
        <v>0</v>
      </c>
      <c r="AK383">
        <v>12.6</v>
      </c>
      <c r="AL383">
        <v>0</v>
      </c>
      <c r="AM383">
        <v>0</v>
      </c>
      <c r="AN383" t="s">
        <v>197</v>
      </c>
      <c r="AO383">
        <v>100</v>
      </c>
      <c r="AP383" t="s">
        <v>197</v>
      </c>
      <c r="AQ383" t="s">
        <v>200</v>
      </c>
      <c r="AR383">
        <v>1</v>
      </c>
      <c r="AS383">
        <v>0</v>
      </c>
      <c r="AT383" t="s">
        <v>729</v>
      </c>
      <c r="AU383" t="s">
        <v>729</v>
      </c>
      <c r="AV383" t="s">
        <v>202</v>
      </c>
      <c r="AW383" t="s">
        <v>203</v>
      </c>
      <c r="AX383" t="s">
        <v>203</v>
      </c>
      <c r="AY383" t="s">
        <v>203</v>
      </c>
      <c r="AZ383" t="s">
        <v>203</v>
      </c>
      <c r="BA383" t="s">
        <v>203</v>
      </c>
      <c r="BB383" t="s">
        <v>203</v>
      </c>
      <c r="BC383" t="s">
        <v>203</v>
      </c>
      <c r="BD383" t="s">
        <v>203</v>
      </c>
      <c r="BE383" t="s">
        <v>203</v>
      </c>
      <c r="BF383">
        <v>0</v>
      </c>
      <c r="BG383">
        <v>0.2</v>
      </c>
      <c r="BH383">
        <v>50</v>
      </c>
      <c r="BI383">
        <v>0</v>
      </c>
      <c r="BJ383" t="s">
        <v>198</v>
      </c>
      <c r="BK383" t="s">
        <v>198</v>
      </c>
      <c r="BL383" t="s">
        <v>198</v>
      </c>
      <c r="BM383" t="s">
        <v>198</v>
      </c>
      <c r="BN383" t="s">
        <v>198</v>
      </c>
      <c r="BO383" t="s">
        <v>198</v>
      </c>
      <c r="BP383" t="s">
        <v>198</v>
      </c>
      <c r="BQ383" t="s">
        <v>198</v>
      </c>
      <c r="BR383" t="s">
        <v>198</v>
      </c>
      <c r="BS383" t="s">
        <v>198</v>
      </c>
      <c r="BT383" t="s">
        <v>198</v>
      </c>
      <c r="BU383" t="s">
        <v>198</v>
      </c>
      <c r="BV383" t="s">
        <v>198</v>
      </c>
      <c r="BW383" t="s">
        <v>198</v>
      </c>
      <c r="BX383" t="s">
        <v>198</v>
      </c>
      <c r="BY383" t="s">
        <v>198</v>
      </c>
      <c r="BZ383" t="s">
        <v>198</v>
      </c>
      <c r="CA383" t="s">
        <v>198</v>
      </c>
      <c r="CB383" t="s">
        <v>204</v>
      </c>
      <c r="CC383" t="s">
        <v>204</v>
      </c>
      <c r="CD383" t="s">
        <v>204</v>
      </c>
      <c r="CE383" t="s">
        <v>204</v>
      </c>
      <c r="CF383" t="s">
        <v>204</v>
      </c>
      <c r="CG383" t="s">
        <v>204</v>
      </c>
      <c r="CH383" t="s">
        <v>204</v>
      </c>
      <c r="CI383" t="s">
        <v>204</v>
      </c>
      <c r="CJ383" t="s">
        <v>204</v>
      </c>
      <c r="CK383" t="s">
        <v>204</v>
      </c>
      <c r="CL383" t="s">
        <v>204</v>
      </c>
      <c r="CM383" t="s">
        <v>204</v>
      </c>
      <c r="CN383" t="s">
        <v>203</v>
      </c>
      <c r="CO383" t="s">
        <v>203</v>
      </c>
      <c r="CP383" t="s">
        <v>203</v>
      </c>
      <c r="CQ383" t="s">
        <v>203</v>
      </c>
      <c r="CR383" t="s">
        <v>203</v>
      </c>
      <c r="CS383" t="s">
        <v>203</v>
      </c>
      <c r="CT383" t="s">
        <v>203</v>
      </c>
      <c r="CU383" t="s">
        <v>203</v>
      </c>
      <c r="CV383">
        <v>0</v>
      </c>
      <c r="CW383">
        <v>0</v>
      </c>
      <c r="CX383" t="s">
        <v>198</v>
      </c>
      <c r="CY383" t="s">
        <v>198</v>
      </c>
      <c r="CZ383" t="s">
        <v>198</v>
      </c>
      <c r="DA383" t="s">
        <v>198</v>
      </c>
      <c r="DB383" t="s">
        <v>198</v>
      </c>
      <c r="DC383">
        <v>0</v>
      </c>
      <c r="DD383">
        <v>0</v>
      </c>
      <c r="DE383">
        <v>0</v>
      </c>
      <c r="DF383">
        <v>0</v>
      </c>
      <c r="DG383">
        <v>-35.3631166</v>
      </c>
      <c r="DH383">
        <v>149.1639735</v>
      </c>
      <c r="DI383" t="s">
        <v>360</v>
      </c>
      <c r="DJ383">
        <v>1.2</v>
      </c>
      <c r="DK383">
        <v>2</v>
      </c>
      <c r="DL383">
        <v>159.8</v>
      </c>
      <c r="DM383">
        <v>0</v>
      </c>
      <c r="DN383">
        <v>6</v>
      </c>
      <c r="DO383">
        <v>10</v>
      </c>
      <c r="DP383">
        <v>0</v>
      </c>
      <c r="DQ383">
        <v>255</v>
      </c>
      <c r="DR383">
        <v>255</v>
      </c>
      <c r="DS383">
        <v>255</v>
      </c>
      <c r="DT383">
        <v>255</v>
      </c>
      <c r="DU383">
        <v>255</v>
      </c>
      <c r="DV383">
        <v>255</v>
      </c>
      <c r="DW383">
        <v>255</v>
      </c>
      <c r="DX383" t="s">
        <v>206</v>
      </c>
      <c r="DY383" t="s">
        <v>206</v>
      </c>
      <c r="DZ383" t="s">
        <v>207</v>
      </c>
      <c r="EA383" t="s">
        <v>198</v>
      </c>
      <c r="EB383" t="s">
        <v>198</v>
      </c>
      <c r="EC383" t="s">
        <v>198</v>
      </c>
      <c r="ED383">
        <v>0</v>
      </c>
      <c r="EE383">
        <v>0</v>
      </c>
      <c r="EF383">
        <v>0</v>
      </c>
      <c r="EG383">
        <v>0</v>
      </c>
      <c r="EH383">
        <v>255</v>
      </c>
      <c r="EI383">
        <v>255</v>
      </c>
      <c r="EJ383">
        <v>255</v>
      </c>
      <c r="EK383">
        <v>255</v>
      </c>
      <c r="EL383">
        <v>255</v>
      </c>
      <c r="EM383">
        <v>255</v>
      </c>
      <c r="EN383">
        <v>255</v>
      </c>
      <c r="EO383">
        <v>255</v>
      </c>
      <c r="EP383">
        <v>255</v>
      </c>
      <c r="EQ383">
        <v>255</v>
      </c>
      <c r="ER383" t="s">
        <v>208</v>
      </c>
      <c r="ES383" t="s">
        <v>209</v>
      </c>
      <c r="ET383" t="s">
        <v>209</v>
      </c>
      <c r="EU383">
        <v>0</v>
      </c>
      <c r="EV383">
        <v>16.2</v>
      </c>
      <c r="EW383">
        <v>-114.7</v>
      </c>
      <c r="EX383">
        <v>-0.2</v>
      </c>
      <c r="EY383">
        <v>0</v>
      </c>
      <c r="EZ383">
        <v>0</v>
      </c>
      <c r="FA383">
        <v>0</v>
      </c>
      <c r="FB383" t="s">
        <v>198</v>
      </c>
      <c r="FC383" t="s">
        <v>198</v>
      </c>
      <c r="FD383" t="s">
        <v>198</v>
      </c>
      <c r="FE383" t="s">
        <v>198</v>
      </c>
      <c r="FF383" t="s">
        <v>198</v>
      </c>
      <c r="FG383" t="s">
        <v>198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 t="s">
        <v>203</v>
      </c>
      <c r="FP383" t="s">
        <v>203</v>
      </c>
      <c r="FQ383" t="s">
        <v>203</v>
      </c>
      <c r="FR383" t="s">
        <v>203</v>
      </c>
      <c r="FS383" t="s">
        <v>203</v>
      </c>
      <c r="FT383" t="s">
        <v>203</v>
      </c>
      <c r="FU383" t="s">
        <v>198</v>
      </c>
      <c r="FV383" t="s">
        <v>198</v>
      </c>
      <c r="FW383" t="s">
        <v>198</v>
      </c>
      <c r="FX383" t="s">
        <v>198</v>
      </c>
      <c r="FY383" t="s">
        <v>198</v>
      </c>
      <c r="FZ383" t="s">
        <v>198</v>
      </c>
      <c r="GA383">
        <v>31.2</v>
      </c>
      <c r="GB383">
        <v>31.2</v>
      </c>
      <c r="GC383" t="s">
        <v>203</v>
      </c>
      <c r="GD383">
        <v>0</v>
      </c>
      <c r="GE383">
        <v>504</v>
      </c>
      <c r="GF383">
        <v>0</v>
      </c>
      <c r="GG383">
        <v>0</v>
      </c>
      <c r="GH383">
        <v>0</v>
      </c>
      <c r="GI383">
        <v>1</v>
      </c>
      <c r="GJ383">
        <v>1</v>
      </c>
      <c r="GK383">
        <v>0</v>
      </c>
      <c r="GL383" t="s">
        <v>198</v>
      </c>
      <c r="GM383" t="s">
        <v>198</v>
      </c>
      <c r="GN383" t="s">
        <v>198</v>
      </c>
    </row>
    <row r="384" spans="1:196">
      <c r="A384" s="19">
        <v>46316.90832572916</v>
      </c>
      <c r="B384">
        <v>0</v>
      </c>
      <c r="C384">
        <v>0</v>
      </c>
      <c r="D384">
        <v>277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584.2</v>
      </c>
      <c r="N384">
        <v>-0.5</v>
      </c>
      <c r="O384">
        <v>0</v>
      </c>
      <c r="P384">
        <v>0</v>
      </c>
      <c r="Q384">
        <v>0</v>
      </c>
      <c r="R384">
        <v>0</v>
      </c>
      <c r="S384">
        <v>115.6</v>
      </c>
      <c r="T384" t="s">
        <v>485</v>
      </c>
      <c r="U384">
        <v>115.7</v>
      </c>
      <c r="V384">
        <v>1762727256586.8</v>
      </c>
      <c r="W384">
        <v>1</v>
      </c>
      <c r="X384" t="s">
        <v>197</v>
      </c>
      <c r="Y384">
        <v>0</v>
      </c>
      <c r="Z384">
        <v>98</v>
      </c>
      <c r="AA384">
        <v>278</v>
      </c>
      <c r="AB384" t="s">
        <v>197</v>
      </c>
      <c r="AC384" t="s">
        <v>198</v>
      </c>
      <c r="AD384" t="s">
        <v>199</v>
      </c>
      <c r="AE384">
        <v>0</v>
      </c>
      <c r="AF384">
        <v>45</v>
      </c>
      <c r="AG384">
        <v>255</v>
      </c>
      <c r="AH384">
        <v>0</v>
      </c>
      <c r="AI384">
        <v>0</v>
      </c>
      <c r="AJ384">
        <v>0</v>
      </c>
      <c r="AK384">
        <v>12.6</v>
      </c>
      <c r="AL384">
        <v>0</v>
      </c>
      <c r="AM384">
        <v>0</v>
      </c>
      <c r="AN384" t="s">
        <v>197</v>
      </c>
      <c r="AO384">
        <v>100</v>
      </c>
      <c r="AP384" t="s">
        <v>197</v>
      </c>
      <c r="AQ384" t="s">
        <v>200</v>
      </c>
      <c r="AR384">
        <v>1</v>
      </c>
      <c r="AS384">
        <v>0</v>
      </c>
      <c r="AT384" t="s">
        <v>730</v>
      </c>
      <c r="AU384" t="s">
        <v>730</v>
      </c>
      <c r="AV384" t="s">
        <v>202</v>
      </c>
      <c r="AW384" t="s">
        <v>203</v>
      </c>
      <c r="AX384" t="s">
        <v>203</v>
      </c>
      <c r="AY384" t="s">
        <v>203</v>
      </c>
      <c r="AZ384" t="s">
        <v>203</v>
      </c>
      <c r="BA384" t="s">
        <v>203</v>
      </c>
      <c r="BB384" t="s">
        <v>203</v>
      </c>
      <c r="BC384" t="s">
        <v>203</v>
      </c>
      <c r="BD384" t="s">
        <v>203</v>
      </c>
      <c r="BE384" t="s">
        <v>203</v>
      </c>
      <c r="BF384">
        <v>0</v>
      </c>
      <c r="BG384">
        <v>0.2</v>
      </c>
      <c r="BH384">
        <v>50</v>
      </c>
      <c r="BI384">
        <v>0</v>
      </c>
      <c r="BJ384" t="s">
        <v>198</v>
      </c>
      <c r="BK384" t="s">
        <v>198</v>
      </c>
      <c r="BL384" t="s">
        <v>198</v>
      </c>
      <c r="BM384" t="s">
        <v>198</v>
      </c>
      <c r="BN384" t="s">
        <v>198</v>
      </c>
      <c r="BO384" t="s">
        <v>198</v>
      </c>
      <c r="BP384" t="s">
        <v>198</v>
      </c>
      <c r="BQ384" t="s">
        <v>198</v>
      </c>
      <c r="BR384" t="s">
        <v>198</v>
      </c>
      <c r="BS384" t="s">
        <v>198</v>
      </c>
      <c r="BT384" t="s">
        <v>198</v>
      </c>
      <c r="BU384" t="s">
        <v>198</v>
      </c>
      <c r="BV384" t="s">
        <v>198</v>
      </c>
      <c r="BW384" t="s">
        <v>198</v>
      </c>
      <c r="BX384" t="s">
        <v>198</v>
      </c>
      <c r="BY384" t="s">
        <v>198</v>
      </c>
      <c r="BZ384" t="s">
        <v>198</v>
      </c>
      <c r="CA384" t="s">
        <v>198</v>
      </c>
      <c r="CB384" t="s">
        <v>204</v>
      </c>
      <c r="CC384" t="s">
        <v>204</v>
      </c>
      <c r="CD384" t="s">
        <v>204</v>
      </c>
      <c r="CE384" t="s">
        <v>204</v>
      </c>
      <c r="CF384" t="s">
        <v>204</v>
      </c>
      <c r="CG384" t="s">
        <v>204</v>
      </c>
      <c r="CH384" t="s">
        <v>204</v>
      </c>
      <c r="CI384" t="s">
        <v>204</v>
      </c>
      <c r="CJ384" t="s">
        <v>204</v>
      </c>
      <c r="CK384" t="s">
        <v>204</v>
      </c>
      <c r="CL384" t="s">
        <v>204</v>
      </c>
      <c r="CM384" t="s">
        <v>204</v>
      </c>
      <c r="CN384" t="s">
        <v>203</v>
      </c>
      <c r="CO384" t="s">
        <v>203</v>
      </c>
      <c r="CP384" t="s">
        <v>203</v>
      </c>
      <c r="CQ384" t="s">
        <v>203</v>
      </c>
      <c r="CR384" t="s">
        <v>203</v>
      </c>
      <c r="CS384" t="s">
        <v>203</v>
      </c>
      <c r="CT384" t="s">
        <v>203</v>
      </c>
      <c r="CU384" t="s">
        <v>203</v>
      </c>
      <c r="CV384">
        <v>0</v>
      </c>
      <c r="CW384">
        <v>0</v>
      </c>
      <c r="CX384" t="s">
        <v>198</v>
      </c>
      <c r="CY384" t="s">
        <v>198</v>
      </c>
      <c r="CZ384" t="s">
        <v>198</v>
      </c>
      <c r="DA384" t="s">
        <v>198</v>
      </c>
      <c r="DB384" t="s">
        <v>198</v>
      </c>
      <c r="DC384">
        <v>0</v>
      </c>
      <c r="DD384">
        <v>0</v>
      </c>
      <c r="DE384">
        <v>0</v>
      </c>
      <c r="DF384">
        <v>0</v>
      </c>
      <c r="DG384">
        <v>-35.3631166</v>
      </c>
      <c r="DH384">
        <v>149.1639735</v>
      </c>
      <c r="DI384" t="s">
        <v>360</v>
      </c>
      <c r="DJ384">
        <v>1.2</v>
      </c>
      <c r="DK384">
        <v>2</v>
      </c>
      <c r="DL384">
        <v>159.8</v>
      </c>
      <c r="DM384">
        <v>0</v>
      </c>
      <c r="DN384">
        <v>6</v>
      </c>
      <c r="DO384">
        <v>10</v>
      </c>
      <c r="DP384">
        <v>0</v>
      </c>
      <c r="DQ384">
        <v>255</v>
      </c>
      <c r="DR384">
        <v>255</v>
      </c>
      <c r="DS384">
        <v>255</v>
      </c>
      <c r="DT384">
        <v>255</v>
      </c>
      <c r="DU384">
        <v>255</v>
      </c>
      <c r="DV384">
        <v>255</v>
      </c>
      <c r="DW384">
        <v>255</v>
      </c>
      <c r="DX384" t="s">
        <v>206</v>
      </c>
      <c r="DY384" t="s">
        <v>206</v>
      </c>
      <c r="DZ384" t="s">
        <v>207</v>
      </c>
      <c r="EA384" t="s">
        <v>198</v>
      </c>
      <c r="EB384" t="s">
        <v>198</v>
      </c>
      <c r="EC384" t="s">
        <v>198</v>
      </c>
      <c r="ED384">
        <v>0</v>
      </c>
      <c r="EE384">
        <v>0</v>
      </c>
      <c r="EF384">
        <v>0</v>
      </c>
      <c r="EG384">
        <v>0</v>
      </c>
      <c r="EH384">
        <v>255</v>
      </c>
      <c r="EI384">
        <v>255</v>
      </c>
      <c r="EJ384">
        <v>255</v>
      </c>
      <c r="EK384">
        <v>255</v>
      </c>
      <c r="EL384">
        <v>255</v>
      </c>
      <c r="EM384">
        <v>255</v>
      </c>
      <c r="EN384">
        <v>255</v>
      </c>
      <c r="EO384">
        <v>255</v>
      </c>
      <c r="EP384">
        <v>255</v>
      </c>
      <c r="EQ384">
        <v>255</v>
      </c>
      <c r="ER384" t="s">
        <v>208</v>
      </c>
      <c r="ES384" t="s">
        <v>209</v>
      </c>
      <c r="ET384" t="s">
        <v>209</v>
      </c>
      <c r="EU384">
        <v>0</v>
      </c>
      <c r="EV384">
        <v>16.2</v>
      </c>
      <c r="EW384">
        <v>-114.7</v>
      </c>
      <c r="EX384">
        <v>-0.2</v>
      </c>
      <c r="EY384">
        <v>0</v>
      </c>
      <c r="EZ384">
        <v>0</v>
      </c>
      <c r="FA384">
        <v>0</v>
      </c>
      <c r="FB384" t="s">
        <v>198</v>
      </c>
      <c r="FC384" t="s">
        <v>198</v>
      </c>
      <c r="FD384" t="s">
        <v>198</v>
      </c>
      <c r="FE384" t="s">
        <v>198</v>
      </c>
      <c r="FF384" t="s">
        <v>198</v>
      </c>
      <c r="FG384" t="s">
        <v>198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 t="s">
        <v>203</v>
      </c>
      <c r="FP384" t="s">
        <v>203</v>
      </c>
      <c r="FQ384" t="s">
        <v>203</v>
      </c>
      <c r="FR384" t="s">
        <v>203</v>
      </c>
      <c r="FS384" t="s">
        <v>203</v>
      </c>
      <c r="FT384" t="s">
        <v>203</v>
      </c>
      <c r="FU384" t="s">
        <v>198</v>
      </c>
      <c r="FV384" t="s">
        <v>198</v>
      </c>
      <c r="FW384" t="s">
        <v>198</v>
      </c>
      <c r="FX384" t="s">
        <v>198</v>
      </c>
      <c r="FY384" t="s">
        <v>198</v>
      </c>
      <c r="FZ384" t="s">
        <v>198</v>
      </c>
      <c r="GA384">
        <v>31.2</v>
      </c>
      <c r="GB384">
        <v>31.2</v>
      </c>
      <c r="GC384" t="s">
        <v>203</v>
      </c>
      <c r="GD384">
        <v>0</v>
      </c>
      <c r="GE384">
        <v>504</v>
      </c>
      <c r="GF384">
        <v>0</v>
      </c>
      <c r="GG384">
        <v>0</v>
      </c>
      <c r="GH384">
        <v>0</v>
      </c>
      <c r="GI384">
        <v>1</v>
      </c>
      <c r="GJ384">
        <v>1</v>
      </c>
      <c r="GK384">
        <v>0</v>
      </c>
      <c r="GL384" t="s">
        <v>198</v>
      </c>
      <c r="GM384" t="s">
        <v>198</v>
      </c>
      <c r="GN384" t="s">
        <v>198</v>
      </c>
    </row>
    <row r="385" spans="1:196">
      <c r="A385" s="19">
        <v>46316.90833730324</v>
      </c>
      <c r="B385">
        <v>0</v>
      </c>
      <c r="C385">
        <v>0</v>
      </c>
      <c r="D385">
        <v>277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584.2</v>
      </c>
      <c r="N385">
        <v>-0.5</v>
      </c>
      <c r="O385">
        <v>0</v>
      </c>
      <c r="P385">
        <v>0</v>
      </c>
      <c r="Q385">
        <v>0</v>
      </c>
      <c r="R385">
        <v>0</v>
      </c>
      <c r="S385">
        <v>115.6</v>
      </c>
      <c r="T385" t="s">
        <v>485</v>
      </c>
      <c r="U385">
        <v>115.7</v>
      </c>
      <c r="V385">
        <v>1762727256586.8</v>
      </c>
      <c r="W385">
        <v>1</v>
      </c>
      <c r="X385" t="s">
        <v>197</v>
      </c>
      <c r="Y385">
        <v>0</v>
      </c>
      <c r="Z385">
        <v>98</v>
      </c>
      <c r="AA385">
        <v>278</v>
      </c>
      <c r="AB385" t="s">
        <v>197</v>
      </c>
      <c r="AC385" t="s">
        <v>198</v>
      </c>
      <c r="AD385" t="s">
        <v>199</v>
      </c>
      <c r="AE385">
        <v>0</v>
      </c>
      <c r="AF385">
        <v>45</v>
      </c>
      <c r="AG385">
        <v>255</v>
      </c>
      <c r="AH385">
        <v>0</v>
      </c>
      <c r="AI385">
        <v>0</v>
      </c>
      <c r="AJ385">
        <v>0</v>
      </c>
      <c r="AK385">
        <v>12.6</v>
      </c>
      <c r="AL385">
        <v>0</v>
      </c>
      <c r="AM385">
        <v>0</v>
      </c>
      <c r="AN385" t="s">
        <v>197</v>
      </c>
      <c r="AO385">
        <v>100</v>
      </c>
      <c r="AP385" t="s">
        <v>197</v>
      </c>
      <c r="AQ385" t="s">
        <v>200</v>
      </c>
      <c r="AR385">
        <v>1</v>
      </c>
      <c r="AS385">
        <v>0</v>
      </c>
      <c r="AT385" t="s">
        <v>731</v>
      </c>
      <c r="AU385" t="s">
        <v>731</v>
      </c>
      <c r="AV385" t="s">
        <v>202</v>
      </c>
      <c r="AW385" t="s">
        <v>203</v>
      </c>
      <c r="AX385" t="s">
        <v>203</v>
      </c>
      <c r="AY385" t="s">
        <v>203</v>
      </c>
      <c r="AZ385" t="s">
        <v>203</v>
      </c>
      <c r="BA385" t="s">
        <v>203</v>
      </c>
      <c r="BB385" t="s">
        <v>203</v>
      </c>
      <c r="BC385" t="s">
        <v>203</v>
      </c>
      <c r="BD385" t="s">
        <v>203</v>
      </c>
      <c r="BE385" t="s">
        <v>203</v>
      </c>
      <c r="BF385">
        <v>0</v>
      </c>
      <c r="BG385">
        <v>0.2</v>
      </c>
      <c r="BH385">
        <v>50</v>
      </c>
      <c r="BI385">
        <v>0</v>
      </c>
      <c r="BJ385" t="s">
        <v>198</v>
      </c>
      <c r="BK385" t="s">
        <v>198</v>
      </c>
      <c r="BL385" t="s">
        <v>198</v>
      </c>
      <c r="BM385" t="s">
        <v>198</v>
      </c>
      <c r="BN385" t="s">
        <v>198</v>
      </c>
      <c r="BO385" t="s">
        <v>198</v>
      </c>
      <c r="BP385" t="s">
        <v>198</v>
      </c>
      <c r="BQ385" t="s">
        <v>198</v>
      </c>
      <c r="BR385" t="s">
        <v>198</v>
      </c>
      <c r="BS385" t="s">
        <v>198</v>
      </c>
      <c r="BT385" t="s">
        <v>198</v>
      </c>
      <c r="BU385" t="s">
        <v>198</v>
      </c>
      <c r="BV385" t="s">
        <v>198</v>
      </c>
      <c r="BW385" t="s">
        <v>198</v>
      </c>
      <c r="BX385" t="s">
        <v>198</v>
      </c>
      <c r="BY385" t="s">
        <v>198</v>
      </c>
      <c r="BZ385" t="s">
        <v>198</v>
      </c>
      <c r="CA385" t="s">
        <v>198</v>
      </c>
      <c r="CB385" t="s">
        <v>204</v>
      </c>
      <c r="CC385" t="s">
        <v>204</v>
      </c>
      <c r="CD385" t="s">
        <v>204</v>
      </c>
      <c r="CE385" t="s">
        <v>204</v>
      </c>
      <c r="CF385" t="s">
        <v>204</v>
      </c>
      <c r="CG385" t="s">
        <v>204</v>
      </c>
      <c r="CH385" t="s">
        <v>204</v>
      </c>
      <c r="CI385" t="s">
        <v>204</v>
      </c>
      <c r="CJ385" t="s">
        <v>204</v>
      </c>
      <c r="CK385" t="s">
        <v>204</v>
      </c>
      <c r="CL385" t="s">
        <v>204</v>
      </c>
      <c r="CM385" t="s">
        <v>204</v>
      </c>
      <c r="CN385" t="s">
        <v>203</v>
      </c>
      <c r="CO385" t="s">
        <v>203</v>
      </c>
      <c r="CP385" t="s">
        <v>203</v>
      </c>
      <c r="CQ385" t="s">
        <v>203</v>
      </c>
      <c r="CR385" t="s">
        <v>203</v>
      </c>
      <c r="CS385" t="s">
        <v>203</v>
      </c>
      <c r="CT385" t="s">
        <v>203</v>
      </c>
      <c r="CU385" t="s">
        <v>203</v>
      </c>
      <c r="CV385">
        <v>0</v>
      </c>
      <c r="CW385">
        <v>0</v>
      </c>
      <c r="CX385" t="s">
        <v>198</v>
      </c>
      <c r="CY385" t="s">
        <v>198</v>
      </c>
      <c r="CZ385" t="s">
        <v>198</v>
      </c>
      <c r="DA385" t="s">
        <v>198</v>
      </c>
      <c r="DB385" t="s">
        <v>198</v>
      </c>
      <c r="DC385">
        <v>0</v>
      </c>
      <c r="DD385">
        <v>0</v>
      </c>
      <c r="DE385">
        <v>0</v>
      </c>
      <c r="DF385">
        <v>0</v>
      </c>
      <c r="DG385">
        <v>-35.3631166</v>
      </c>
      <c r="DH385">
        <v>149.1639735</v>
      </c>
      <c r="DI385" t="s">
        <v>360</v>
      </c>
      <c r="DJ385">
        <v>1.2</v>
      </c>
      <c r="DK385">
        <v>2</v>
      </c>
      <c r="DL385">
        <v>159.8</v>
      </c>
      <c r="DM385">
        <v>0</v>
      </c>
      <c r="DN385">
        <v>6</v>
      </c>
      <c r="DO385">
        <v>10</v>
      </c>
      <c r="DP385">
        <v>0</v>
      </c>
      <c r="DQ385">
        <v>255</v>
      </c>
      <c r="DR385">
        <v>255</v>
      </c>
      <c r="DS385">
        <v>255</v>
      </c>
      <c r="DT385">
        <v>255</v>
      </c>
      <c r="DU385">
        <v>255</v>
      </c>
      <c r="DV385">
        <v>255</v>
      </c>
      <c r="DW385">
        <v>255</v>
      </c>
      <c r="DX385" t="s">
        <v>206</v>
      </c>
      <c r="DY385" t="s">
        <v>206</v>
      </c>
      <c r="DZ385" t="s">
        <v>207</v>
      </c>
      <c r="EA385" t="s">
        <v>198</v>
      </c>
      <c r="EB385" t="s">
        <v>198</v>
      </c>
      <c r="EC385" t="s">
        <v>198</v>
      </c>
      <c r="ED385">
        <v>0</v>
      </c>
      <c r="EE385">
        <v>0</v>
      </c>
      <c r="EF385">
        <v>0</v>
      </c>
      <c r="EG385">
        <v>0</v>
      </c>
      <c r="EH385">
        <v>255</v>
      </c>
      <c r="EI385">
        <v>255</v>
      </c>
      <c r="EJ385">
        <v>255</v>
      </c>
      <c r="EK385">
        <v>255</v>
      </c>
      <c r="EL385">
        <v>255</v>
      </c>
      <c r="EM385">
        <v>255</v>
      </c>
      <c r="EN385">
        <v>255</v>
      </c>
      <c r="EO385">
        <v>255</v>
      </c>
      <c r="EP385">
        <v>255</v>
      </c>
      <c r="EQ385">
        <v>255</v>
      </c>
      <c r="ER385" t="s">
        <v>208</v>
      </c>
      <c r="ES385" t="s">
        <v>209</v>
      </c>
      <c r="ET385" t="s">
        <v>209</v>
      </c>
      <c r="EU385">
        <v>0</v>
      </c>
      <c r="EV385">
        <v>16.2</v>
      </c>
      <c r="EW385">
        <v>-114.7</v>
      </c>
      <c r="EX385">
        <v>-0.2</v>
      </c>
      <c r="EY385">
        <v>0</v>
      </c>
      <c r="EZ385">
        <v>0</v>
      </c>
      <c r="FA385">
        <v>0</v>
      </c>
      <c r="FB385" t="s">
        <v>198</v>
      </c>
      <c r="FC385" t="s">
        <v>198</v>
      </c>
      <c r="FD385" t="s">
        <v>198</v>
      </c>
      <c r="FE385" t="s">
        <v>198</v>
      </c>
      <c r="FF385" t="s">
        <v>198</v>
      </c>
      <c r="FG385" t="s">
        <v>198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 t="s">
        <v>203</v>
      </c>
      <c r="FP385" t="s">
        <v>203</v>
      </c>
      <c r="FQ385" t="s">
        <v>203</v>
      </c>
      <c r="FR385" t="s">
        <v>203</v>
      </c>
      <c r="FS385" t="s">
        <v>203</v>
      </c>
      <c r="FT385" t="s">
        <v>203</v>
      </c>
      <c r="FU385" t="s">
        <v>198</v>
      </c>
      <c r="FV385" t="s">
        <v>198</v>
      </c>
      <c r="FW385" t="s">
        <v>198</v>
      </c>
      <c r="FX385" t="s">
        <v>198</v>
      </c>
      <c r="FY385" t="s">
        <v>198</v>
      </c>
      <c r="FZ385" t="s">
        <v>198</v>
      </c>
      <c r="GA385">
        <v>31.2</v>
      </c>
      <c r="GB385">
        <v>31.2</v>
      </c>
      <c r="GC385" t="s">
        <v>203</v>
      </c>
      <c r="GD385">
        <v>0</v>
      </c>
      <c r="GE385">
        <v>504</v>
      </c>
      <c r="GF385">
        <v>0</v>
      </c>
      <c r="GG385">
        <v>0</v>
      </c>
      <c r="GH385">
        <v>0</v>
      </c>
      <c r="GI385">
        <v>1</v>
      </c>
      <c r="GJ385">
        <v>1</v>
      </c>
      <c r="GK385">
        <v>0</v>
      </c>
      <c r="GL385" t="s">
        <v>198</v>
      </c>
      <c r="GM385" t="s">
        <v>198</v>
      </c>
      <c r="GN385" t="s">
        <v>198</v>
      </c>
    </row>
    <row r="386" spans="1:196">
      <c r="A386" s="19">
        <v>46316.90834887732</v>
      </c>
      <c r="B386">
        <v>0</v>
      </c>
      <c r="C386">
        <v>0</v>
      </c>
      <c r="D386">
        <v>277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584.2</v>
      </c>
      <c r="N386">
        <v>-0.5</v>
      </c>
      <c r="O386">
        <v>0</v>
      </c>
      <c r="P386">
        <v>0</v>
      </c>
      <c r="Q386">
        <v>0</v>
      </c>
      <c r="R386">
        <v>0</v>
      </c>
      <c r="S386">
        <v>115.6</v>
      </c>
      <c r="T386" t="s">
        <v>485</v>
      </c>
      <c r="U386">
        <v>115.7</v>
      </c>
      <c r="V386">
        <v>1762727256586.8</v>
      </c>
      <c r="W386">
        <v>1</v>
      </c>
      <c r="X386" t="s">
        <v>197</v>
      </c>
      <c r="Y386">
        <v>0</v>
      </c>
      <c r="Z386">
        <v>98</v>
      </c>
      <c r="AA386">
        <v>278</v>
      </c>
      <c r="AB386" t="s">
        <v>197</v>
      </c>
      <c r="AC386" t="s">
        <v>198</v>
      </c>
      <c r="AD386" t="s">
        <v>199</v>
      </c>
      <c r="AE386">
        <v>0</v>
      </c>
      <c r="AF386">
        <v>45</v>
      </c>
      <c r="AG386">
        <v>255</v>
      </c>
      <c r="AH386">
        <v>0</v>
      </c>
      <c r="AI386">
        <v>0</v>
      </c>
      <c r="AJ386">
        <v>0</v>
      </c>
      <c r="AK386">
        <v>12.6</v>
      </c>
      <c r="AL386">
        <v>0</v>
      </c>
      <c r="AM386">
        <v>0</v>
      </c>
      <c r="AN386" t="s">
        <v>197</v>
      </c>
      <c r="AO386">
        <v>100</v>
      </c>
      <c r="AP386" t="s">
        <v>197</v>
      </c>
      <c r="AQ386" t="s">
        <v>200</v>
      </c>
      <c r="AR386">
        <v>1</v>
      </c>
      <c r="AS386">
        <v>0</v>
      </c>
      <c r="AT386" t="s">
        <v>732</v>
      </c>
      <c r="AU386" t="s">
        <v>732</v>
      </c>
      <c r="AV386" t="s">
        <v>202</v>
      </c>
      <c r="AW386" t="s">
        <v>203</v>
      </c>
      <c r="AX386" t="s">
        <v>203</v>
      </c>
      <c r="AY386" t="s">
        <v>203</v>
      </c>
      <c r="AZ386" t="s">
        <v>203</v>
      </c>
      <c r="BA386" t="s">
        <v>203</v>
      </c>
      <c r="BB386" t="s">
        <v>203</v>
      </c>
      <c r="BC386" t="s">
        <v>203</v>
      </c>
      <c r="BD386" t="s">
        <v>203</v>
      </c>
      <c r="BE386" t="s">
        <v>203</v>
      </c>
      <c r="BF386">
        <v>0</v>
      </c>
      <c r="BG386">
        <v>0.2</v>
      </c>
      <c r="BH386">
        <v>50</v>
      </c>
      <c r="BI386">
        <v>0</v>
      </c>
      <c r="BJ386" t="s">
        <v>198</v>
      </c>
      <c r="BK386" t="s">
        <v>198</v>
      </c>
      <c r="BL386" t="s">
        <v>198</v>
      </c>
      <c r="BM386" t="s">
        <v>198</v>
      </c>
      <c r="BN386" t="s">
        <v>198</v>
      </c>
      <c r="BO386" t="s">
        <v>198</v>
      </c>
      <c r="BP386" t="s">
        <v>198</v>
      </c>
      <c r="BQ386" t="s">
        <v>198</v>
      </c>
      <c r="BR386" t="s">
        <v>198</v>
      </c>
      <c r="BS386" t="s">
        <v>198</v>
      </c>
      <c r="BT386" t="s">
        <v>198</v>
      </c>
      <c r="BU386" t="s">
        <v>198</v>
      </c>
      <c r="BV386" t="s">
        <v>198</v>
      </c>
      <c r="BW386" t="s">
        <v>198</v>
      </c>
      <c r="BX386" t="s">
        <v>198</v>
      </c>
      <c r="BY386" t="s">
        <v>198</v>
      </c>
      <c r="BZ386" t="s">
        <v>198</v>
      </c>
      <c r="CA386" t="s">
        <v>198</v>
      </c>
      <c r="CB386" t="s">
        <v>204</v>
      </c>
      <c r="CC386" t="s">
        <v>204</v>
      </c>
      <c r="CD386" t="s">
        <v>204</v>
      </c>
      <c r="CE386" t="s">
        <v>204</v>
      </c>
      <c r="CF386" t="s">
        <v>204</v>
      </c>
      <c r="CG386" t="s">
        <v>204</v>
      </c>
      <c r="CH386" t="s">
        <v>204</v>
      </c>
      <c r="CI386" t="s">
        <v>204</v>
      </c>
      <c r="CJ386" t="s">
        <v>204</v>
      </c>
      <c r="CK386" t="s">
        <v>204</v>
      </c>
      <c r="CL386" t="s">
        <v>204</v>
      </c>
      <c r="CM386" t="s">
        <v>204</v>
      </c>
      <c r="CN386" t="s">
        <v>203</v>
      </c>
      <c r="CO386" t="s">
        <v>203</v>
      </c>
      <c r="CP386" t="s">
        <v>203</v>
      </c>
      <c r="CQ386" t="s">
        <v>203</v>
      </c>
      <c r="CR386" t="s">
        <v>203</v>
      </c>
      <c r="CS386" t="s">
        <v>203</v>
      </c>
      <c r="CT386" t="s">
        <v>203</v>
      </c>
      <c r="CU386" t="s">
        <v>203</v>
      </c>
      <c r="CV386">
        <v>0</v>
      </c>
      <c r="CW386">
        <v>0</v>
      </c>
      <c r="CX386" t="s">
        <v>198</v>
      </c>
      <c r="CY386" t="s">
        <v>198</v>
      </c>
      <c r="CZ386" t="s">
        <v>198</v>
      </c>
      <c r="DA386" t="s">
        <v>198</v>
      </c>
      <c r="DB386" t="s">
        <v>198</v>
      </c>
      <c r="DC386">
        <v>0</v>
      </c>
      <c r="DD386">
        <v>0</v>
      </c>
      <c r="DE386">
        <v>0</v>
      </c>
      <c r="DF386">
        <v>0</v>
      </c>
      <c r="DG386">
        <v>-35.3631166</v>
      </c>
      <c r="DH386">
        <v>149.1639735</v>
      </c>
      <c r="DI386" t="s">
        <v>360</v>
      </c>
      <c r="DJ386">
        <v>1.2</v>
      </c>
      <c r="DK386">
        <v>2</v>
      </c>
      <c r="DL386">
        <v>159.8</v>
      </c>
      <c r="DM386">
        <v>0</v>
      </c>
      <c r="DN386">
        <v>6</v>
      </c>
      <c r="DO386">
        <v>10</v>
      </c>
      <c r="DP386">
        <v>0</v>
      </c>
      <c r="DQ386">
        <v>255</v>
      </c>
      <c r="DR386">
        <v>255</v>
      </c>
      <c r="DS386">
        <v>255</v>
      </c>
      <c r="DT386">
        <v>255</v>
      </c>
      <c r="DU386">
        <v>255</v>
      </c>
      <c r="DV386">
        <v>255</v>
      </c>
      <c r="DW386">
        <v>255</v>
      </c>
      <c r="DX386" t="s">
        <v>206</v>
      </c>
      <c r="DY386" t="s">
        <v>206</v>
      </c>
      <c r="DZ386" t="s">
        <v>207</v>
      </c>
      <c r="EA386" t="s">
        <v>198</v>
      </c>
      <c r="EB386" t="s">
        <v>198</v>
      </c>
      <c r="EC386" t="s">
        <v>198</v>
      </c>
      <c r="ED386">
        <v>0</v>
      </c>
      <c r="EE386">
        <v>0</v>
      </c>
      <c r="EF386">
        <v>0</v>
      </c>
      <c r="EG386">
        <v>0</v>
      </c>
      <c r="EH386">
        <v>255</v>
      </c>
      <c r="EI386">
        <v>255</v>
      </c>
      <c r="EJ386">
        <v>255</v>
      </c>
      <c r="EK386">
        <v>255</v>
      </c>
      <c r="EL386">
        <v>255</v>
      </c>
      <c r="EM386">
        <v>255</v>
      </c>
      <c r="EN386">
        <v>255</v>
      </c>
      <c r="EO386">
        <v>255</v>
      </c>
      <c r="EP386">
        <v>255</v>
      </c>
      <c r="EQ386">
        <v>255</v>
      </c>
      <c r="ER386" t="s">
        <v>208</v>
      </c>
      <c r="ES386" t="s">
        <v>209</v>
      </c>
      <c r="ET386" t="s">
        <v>209</v>
      </c>
      <c r="EU386">
        <v>0</v>
      </c>
      <c r="EV386">
        <v>16.2</v>
      </c>
      <c r="EW386">
        <v>-114.7</v>
      </c>
      <c r="EX386">
        <v>-0.2</v>
      </c>
      <c r="EY386">
        <v>0</v>
      </c>
      <c r="EZ386">
        <v>0</v>
      </c>
      <c r="FA386">
        <v>0</v>
      </c>
      <c r="FB386" t="s">
        <v>198</v>
      </c>
      <c r="FC386" t="s">
        <v>198</v>
      </c>
      <c r="FD386" t="s">
        <v>198</v>
      </c>
      <c r="FE386" t="s">
        <v>198</v>
      </c>
      <c r="FF386" t="s">
        <v>198</v>
      </c>
      <c r="FG386" t="s">
        <v>198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 t="s">
        <v>203</v>
      </c>
      <c r="FP386" t="s">
        <v>203</v>
      </c>
      <c r="FQ386" t="s">
        <v>203</v>
      </c>
      <c r="FR386" t="s">
        <v>203</v>
      </c>
      <c r="FS386" t="s">
        <v>203</v>
      </c>
      <c r="FT386" t="s">
        <v>203</v>
      </c>
      <c r="FU386" t="s">
        <v>198</v>
      </c>
      <c r="FV386" t="s">
        <v>198</v>
      </c>
      <c r="FW386" t="s">
        <v>198</v>
      </c>
      <c r="FX386" t="s">
        <v>198</v>
      </c>
      <c r="FY386" t="s">
        <v>198</v>
      </c>
      <c r="FZ386" t="s">
        <v>198</v>
      </c>
      <c r="GA386">
        <v>31.2</v>
      </c>
      <c r="GB386">
        <v>31.2</v>
      </c>
      <c r="GC386" t="s">
        <v>203</v>
      </c>
      <c r="GD386">
        <v>0</v>
      </c>
      <c r="GE386">
        <v>504</v>
      </c>
      <c r="GF386">
        <v>0</v>
      </c>
      <c r="GG386">
        <v>0</v>
      </c>
      <c r="GH386">
        <v>0</v>
      </c>
      <c r="GI386">
        <v>1</v>
      </c>
      <c r="GJ386">
        <v>1</v>
      </c>
      <c r="GK386">
        <v>0</v>
      </c>
      <c r="GL386" t="s">
        <v>198</v>
      </c>
      <c r="GM386" t="s">
        <v>198</v>
      </c>
      <c r="GN386" t="s">
        <v>198</v>
      </c>
    </row>
    <row r="387" spans="1:196">
      <c r="A387" s="19">
        <v>46316.90836045139</v>
      </c>
      <c r="B387">
        <v>0</v>
      </c>
      <c r="C387">
        <v>0</v>
      </c>
      <c r="D387">
        <v>277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584.2</v>
      </c>
      <c r="N387">
        <v>-0.5</v>
      </c>
      <c r="O387">
        <v>0</v>
      </c>
      <c r="P387">
        <v>0</v>
      </c>
      <c r="Q387">
        <v>0</v>
      </c>
      <c r="R387">
        <v>0</v>
      </c>
      <c r="S387">
        <v>115.6</v>
      </c>
      <c r="T387" t="s">
        <v>485</v>
      </c>
      <c r="U387">
        <v>115.7</v>
      </c>
      <c r="V387">
        <v>1762727256586.8</v>
      </c>
      <c r="W387">
        <v>1</v>
      </c>
      <c r="X387" t="s">
        <v>197</v>
      </c>
      <c r="Y387">
        <v>0</v>
      </c>
      <c r="Z387">
        <v>98</v>
      </c>
      <c r="AA387">
        <v>278</v>
      </c>
      <c r="AB387" t="s">
        <v>197</v>
      </c>
      <c r="AC387" t="s">
        <v>198</v>
      </c>
      <c r="AD387" t="s">
        <v>199</v>
      </c>
      <c r="AE387">
        <v>0</v>
      </c>
      <c r="AF387">
        <v>45</v>
      </c>
      <c r="AG387">
        <v>255</v>
      </c>
      <c r="AH387">
        <v>0</v>
      </c>
      <c r="AI387">
        <v>0</v>
      </c>
      <c r="AJ387">
        <v>0</v>
      </c>
      <c r="AK387">
        <v>12.6</v>
      </c>
      <c r="AL387">
        <v>0</v>
      </c>
      <c r="AM387">
        <v>0</v>
      </c>
      <c r="AN387" t="s">
        <v>197</v>
      </c>
      <c r="AO387">
        <v>100</v>
      </c>
      <c r="AP387" t="s">
        <v>197</v>
      </c>
      <c r="AQ387" t="s">
        <v>200</v>
      </c>
      <c r="AR387">
        <v>1</v>
      </c>
      <c r="AS387">
        <v>0</v>
      </c>
      <c r="AT387" t="s">
        <v>733</v>
      </c>
      <c r="AU387" t="s">
        <v>733</v>
      </c>
      <c r="AV387" t="s">
        <v>202</v>
      </c>
      <c r="AW387" t="s">
        <v>203</v>
      </c>
      <c r="AX387" t="s">
        <v>203</v>
      </c>
      <c r="AY387" t="s">
        <v>203</v>
      </c>
      <c r="AZ387" t="s">
        <v>203</v>
      </c>
      <c r="BA387" t="s">
        <v>203</v>
      </c>
      <c r="BB387" t="s">
        <v>203</v>
      </c>
      <c r="BC387" t="s">
        <v>203</v>
      </c>
      <c r="BD387" t="s">
        <v>203</v>
      </c>
      <c r="BE387" t="s">
        <v>203</v>
      </c>
      <c r="BF387">
        <v>0</v>
      </c>
      <c r="BG387">
        <v>0.2</v>
      </c>
      <c r="BH387">
        <v>50</v>
      </c>
      <c r="BI387">
        <v>0</v>
      </c>
      <c r="BJ387" t="s">
        <v>198</v>
      </c>
      <c r="BK387" t="s">
        <v>198</v>
      </c>
      <c r="BL387" t="s">
        <v>198</v>
      </c>
      <c r="BM387" t="s">
        <v>198</v>
      </c>
      <c r="BN387" t="s">
        <v>198</v>
      </c>
      <c r="BO387" t="s">
        <v>198</v>
      </c>
      <c r="BP387" t="s">
        <v>198</v>
      </c>
      <c r="BQ387" t="s">
        <v>198</v>
      </c>
      <c r="BR387" t="s">
        <v>198</v>
      </c>
      <c r="BS387" t="s">
        <v>198</v>
      </c>
      <c r="BT387" t="s">
        <v>198</v>
      </c>
      <c r="BU387" t="s">
        <v>198</v>
      </c>
      <c r="BV387" t="s">
        <v>198</v>
      </c>
      <c r="BW387" t="s">
        <v>198</v>
      </c>
      <c r="BX387" t="s">
        <v>198</v>
      </c>
      <c r="BY387" t="s">
        <v>198</v>
      </c>
      <c r="BZ387" t="s">
        <v>198</v>
      </c>
      <c r="CA387" t="s">
        <v>198</v>
      </c>
      <c r="CB387" t="s">
        <v>204</v>
      </c>
      <c r="CC387" t="s">
        <v>204</v>
      </c>
      <c r="CD387" t="s">
        <v>204</v>
      </c>
      <c r="CE387" t="s">
        <v>204</v>
      </c>
      <c r="CF387" t="s">
        <v>204</v>
      </c>
      <c r="CG387" t="s">
        <v>204</v>
      </c>
      <c r="CH387" t="s">
        <v>204</v>
      </c>
      <c r="CI387" t="s">
        <v>204</v>
      </c>
      <c r="CJ387" t="s">
        <v>204</v>
      </c>
      <c r="CK387" t="s">
        <v>204</v>
      </c>
      <c r="CL387" t="s">
        <v>204</v>
      </c>
      <c r="CM387" t="s">
        <v>204</v>
      </c>
      <c r="CN387" t="s">
        <v>203</v>
      </c>
      <c r="CO387" t="s">
        <v>203</v>
      </c>
      <c r="CP387" t="s">
        <v>203</v>
      </c>
      <c r="CQ387" t="s">
        <v>203</v>
      </c>
      <c r="CR387" t="s">
        <v>203</v>
      </c>
      <c r="CS387" t="s">
        <v>203</v>
      </c>
      <c r="CT387" t="s">
        <v>203</v>
      </c>
      <c r="CU387" t="s">
        <v>203</v>
      </c>
      <c r="CV387">
        <v>0</v>
      </c>
      <c r="CW387">
        <v>0</v>
      </c>
      <c r="CX387" t="s">
        <v>198</v>
      </c>
      <c r="CY387" t="s">
        <v>198</v>
      </c>
      <c r="CZ387" t="s">
        <v>198</v>
      </c>
      <c r="DA387" t="s">
        <v>198</v>
      </c>
      <c r="DB387" t="s">
        <v>198</v>
      </c>
      <c r="DC387">
        <v>0</v>
      </c>
      <c r="DD387">
        <v>0</v>
      </c>
      <c r="DE387">
        <v>0</v>
      </c>
      <c r="DF387">
        <v>0</v>
      </c>
      <c r="DG387">
        <v>-35.3631166</v>
      </c>
      <c r="DH387">
        <v>149.1639735</v>
      </c>
      <c r="DI387" t="s">
        <v>360</v>
      </c>
      <c r="DJ387">
        <v>1.2</v>
      </c>
      <c r="DK387">
        <v>2</v>
      </c>
      <c r="DL387">
        <v>159.8</v>
      </c>
      <c r="DM387">
        <v>0</v>
      </c>
      <c r="DN387">
        <v>6</v>
      </c>
      <c r="DO387">
        <v>10</v>
      </c>
      <c r="DP387">
        <v>0</v>
      </c>
      <c r="DQ387">
        <v>255</v>
      </c>
      <c r="DR387">
        <v>255</v>
      </c>
      <c r="DS387">
        <v>255</v>
      </c>
      <c r="DT387">
        <v>255</v>
      </c>
      <c r="DU387">
        <v>255</v>
      </c>
      <c r="DV387">
        <v>255</v>
      </c>
      <c r="DW387">
        <v>255</v>
      </c>
      <c r="DX387" t="s">
        <v>206</v>
      </c>
      <c r="DY387" t="s">
        <v>206</v>
      </c>
      <c r="DZ387" t="s">
        <v>207</v>
      </c>
      <c r="EA387" t="s">
        <v>198</v>
      </c>
      <c r="EB387" t="s">
        <v>198</v>
      </c>
      <c r="EC387" t="s">
        <v>198</v>
      </c>
      <c r="ED387">
        <v>0</v>
      </c>
      <c r="EE387">
        <v>0</v>
      </c>
      <c r="EF387">
        <v>0</v>
      </c>
      <c r="EG387">
        <v>0</v>
      </c>
      <c r="EH387">
        <v>255</v>
      </c>
      <c r="EI387">
        <v>255</v>
      </c>
      <c r="EJ387">
        <v>255</v>
      </c>
      <c r="EK387">
        <v>255</v>
      </c>
      <c r="EL387">
        <v>255</v>
      </c>
      <c r="EM387">
        <v>255</v>
      </c>
      <c r="EN387">
        <v>255</v>
      </c>
      <c r="EO387">
        <v>255</v>
      </c>
      <c r="EP387">
        <v>255</v>
      </c>
      <c r="EQ387">
        <v>255</v>
      </c>
      <c r="ER387" t="s">
        <v>208</v>
      </c>
      <c r="ES387" t="s">
        <v>209</v>
      </c>
      <c r="ET387" t="s">
        <v>209</v>
      </c>
      <c r="EU387">
        <v>0</v>
      </c>
      <c r="EV387">
        <v>16.2</v>
      </c>
      <c r="EW387">
        <v>-114.7</v>
      </c>
      <c r="EX387">
        <v>-0.2</v>
      </c>
      <c r="EY387">
        <v>0</v>
      </c>
      <c r="EZ387">
        <v>0</v>
      </c>
      <c r="FA387">
        <v>0</v>
      </c>
      <c r="FB387" t="s">
        <v>198</v>
      </c>
      <c r="FC387" t="s">
        <v>198</v>
      </c>
      <c r="FD387" t="s">
        <v>198</v>
      </c>
      <c r="FE387" t="s">
        <v>198</v>
      </c>
      <c r="FF387" t="s">
        <v>198</v>
      </c>
      <c r="FG387" t="s">
        <v>198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 t="s">
        <v>203</v>
      </c>
      <c r="FP387" t="s">
        <v>203</v>
      </c>
      <c r="FQ387" t="s">
        <v>203</v>
      </c>
      <c r="FR387" t="s">
        <v>203</v>
      </c>
      <c r="FS387" t="s">
        <v>203</v>
      </c>
      <c r="FT387" t="s">
        <v>203</v>
      </c>
      <c r="FU387" t="s">
        <v>198</v>
      </c>
      <c r="FV387" t="s">
        <v>198</v>
      </c>
      <c r="FW387" t="s">
        <v>198</v>
      </c>
      <c r="FX387" t="s">
        <v>198</v>
      </c>
      <c r="FY387" t="s">
        <v>198</v>
      </c>
      <c r="FZ387" t="s">
        <v>198</v>
      </c>
      <c r="GA387">
        <v>31.2</v>
      </c>
      <c r="GB387">
        <v>31.2</v>
      </c>
      <c r="GC387" t="s">
        <v>203</v>
      </c>
      <c r="GD387">
        <v>0</v>
      </c>
      <c r="GE387">
        <v>504</v>
      </c>
      <c r="GF387">
        <v>0</v>
      </c>
      <c r="GG387">
        <v>0</v>
      </c>
      <c r="GH387">
        <v>0</v>
      </c>
      <c r="GI387">
        <v>1</v>
      </c>
      <c r="GJ387">
        <v>1</v>
      </c>
      <c r="GK387">
        <v>0</v>
      </c>
      <c r="GL387" t="s">
        <v>198</v>
      </c>
      <c r="GM387" t="s">
        <v>198</v>
      </c>
      <c r="GN387" t="s">
        <v>198</v>
      </c>
    </row>
    <row r="388" spans="1:196">
      <c r="A388" s="19">
        <v>46316.90837202546</v>
      </c>
      <c r="B388">
        <v>0</v>
      </c>
      <c r="C388">
        <v>0</v>
      </c>
      <c r="D388">
        <v>277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584.2</v>
      </c>
      <c r="N388">
        <v>-0.5</v>
      </c>
      <c r="O388">
        <v>0</v>
      </c>
      <c r="P388">
        <v>0</v>
      </c>
      <c r="Q388">
        <v>0</v>
      </c>
      <c r="R388">
        <v>0</v>
      </c>
      <c r="S388">
        <v>115.6</v>
      </c>
      <c r="T388" t="s">
        <v>485</v>
      </c>
      <c r="U388">
        <v>115.7</v>
      </c>
      <c r="V388">
        <v>1762727256586.8</v>
      </c>
      <c r="W388">
        <v>1</v>
      </c>
      <c r="X388" t="s">
        <v>197</v>
      </c>
      <c r="Y388">
        <v>0</v>
      </c>
      <c r="Z388">
        <v>98</v>
      </c>
      <c r="AA388">
        <v>278</v>
      </c>
      <c r="AB388" t="s">
        <v>197</v>
      </c>
      <c r="AC388" t="s">
        <v>198</v>
      </c>
      <c r="AD388" t="s">
        <v>199</v>
      </c>
      <c r="AE388">
        <v>0</v>
      </c>
      <c r="AF388">
        <v>45</v>
      </c>
      <c r="AG388">
        <v>255</v>
      </c>
      <c r="AH388">
        <v>0</v>
      </c>
      <c r="AI388">
        <v>0</v>
      </c>
      <c r="AJ388">
        <v>0</v>
      </c>
      <c r="AK388">
        <v>12.6</v>
      </c>
      <c r="AL388">
        <v>0</v>
      </c>
      <c r="AM388">
        <v>0</v>
      </c>
      <c r="AN388" t="s">
        <v>197</v>
      </c>
      <c r="AO388">
        <v>100</v>
      </c>
      <c r="AP388" t="s">
        <v>197</v>
      </c>
      <c r="AQ388" t="s">
        <v>200</v>
      </c>
      <c r="AR388">
        <v>1</v>
      </c>
      <c r="AS388">
        <v>0</v>
      </c>
      <c r="AT388" t="s">
        <v>734</v>
      </c>
      <c r="AU388" t="s">
        <v>734</v>
      </c>
      <c r="AV388" t="s">
        <v>202</v>
      </c>
      <c r="AW388" t="s">
        <v>203</v>
      </c>
      <c r="AX388" t="s">
        <v>203</v>
      </c>
      <c r="AY388" t="s">
        <v>203</v>
      </c>
      <c r="AZ388" t="s">
        <v>203</v>
      </c>
      <c r="BA388" t="s">
        <v>203</v>
      </c>
      <c r="BB388" t="s">
        <v>203</v>
      </c>
      <c r="BC388" t="s">
        <v>203</v>
      </c>
      <c r="BD388" t="s">
        <v>203</v>
      </c>
      <c r="BE388" t="s">
        <v>203</v>
      </c>
      <c r="BF388">
        <v>0</v>
      </c>
      <c r="BG388">
        <v>0.2</v>
      </c>
      <c r="BH388">
        <v>50</v>
      </c>
      <c r="BI388">
        <v>0</v>
      </c>
      <c r="BJ388" t="s">
        <v>198</v>
      </c>
      <c r="BK388" t="s">
        <v>198</v>
      </c>
      <c r="BL388" t="s">
        <v>198</v>
      </c>
      <c r="BM388" t="s">
        <v>198</v>
      </c>
      <c r="BN388" t="s">
        <v>198</v>
      </c>
      <c r="BO388" t="s">
        <v>198</v>
      </c>
      <c r="BP388" t="s">
        <v>198</v>
      </c>
      <c r="BQ388" t="s">
        <v>198</v>
      </c>
      <c r="BR388" t="s">
        <v>198</v>
      </c>
      <c r="BS388" t="s">
        <v>198</v>
      </c>
      <c r="BT388" t="s">
        <v>198</v>
      </c>
      <c r="BU388" t="s">
        <v>198</v>
      </c>
      <c r="BV388" t="s">
        <v>198</v>
      </c>
      <c r="BW388" t="s">
        <v>198</v>
      </c>
      <c r="BX388" t="s">
        <v>198</v>
      </c>
      <c r="BY388" t="s">
        <v>198</v>
      </c>
      <c r="BZ388" t="s">
        <v>198</v>
      </c>
      <c r="CA388" t="s">
        <v>198</v>
      </c>
      <c r="CB388" t="s">
        <v>204</v>
      </c>
      <c r="CC388" t="s">
        <v>204</v>
      </c>
      <c r="CD388" t="s">
        <v>204</v>
      </c>
      <c r="CE388" t="s">
        <v>204</v>
      </c>
      <c r="CF388" t="s">
        <v>204</v>
      </c>
      <c r="CG388" t="s">
        <v>204</v>
      </c>
      <c r="CH388" t="s">
        <v>204</v>
      </c>
      <c r="CI388" t="s">
        <v>204</v>
      </c>
      <c r="CJ388" t="s">
        <v>204</v>
      </c>
      <c r="CK388" t="s">
        <v>204</v>
      </c>
      <c r="CL388" t="s">
        <v>204</v>
      </c>
      <c r="CM388" t="s">
        <v>204</v>
      </c>
      <c r="CN388" t="s">
        <v>203</v>
      </c>
      <c r="CO388" t="s">
        <v>203</v>
      </c>
      <c r="CP388" t="s">
        <v>203</v>
      </c>
      <c r="CQ388" t="s">
        <v>203</v>
      </c>
      <c r="CR388" t="s">
        <v>203</v>
      </c>
      <c r="CS388" t="s">
        <v>203</v>
      </c>
      <c r="CT388" t="s">
        <v>203</v>
      </c>
      <c r="CU388" t="s">
        <v>203</v>
      </c>
      <c r="CV388">
        <v>0</v>
      </c>
      <c r="CW388">
        <v>0</v>
      </c>
      <c r="CX388" t="s">
        <v>198</v>
      </c>
      <c r="CY388" t="s">
        <v>198</v>
      </c>
      <c r="CZ388" t="s">
        <v>198</v>
      </c>
      <c r="DA388" t="s">
        <v>198</v>
      </c>
      <c r="DB388" t="s">
        <v>198</v>
      </c>
      <c r="DC388">
        <v>0</v>
      </c>
      <c r="DD388">
        <v>0</v>
      </c>
      <c r="DE388">
        <v>0</v>
      </c>
      <c r="DF388">
        <v>0</v>
      </c>
      <c r="DG388">
        <v>-35.3631166</v>
      </c>
      <c r="DH388">
        <v>149.1639735</v>
      </c>
      <c r="DI388" t="s">
        <v>360</v>
      </c>
      <c r="DJ388">
        <v>1.2</v>
      </c>
      <c r="DK388">
        <v>2</v>
      </c>
      <c r="DL388">
        <v>159.8</v>
      </c>
      <c r="DM388">
        <v>0</v>
      </c>
      <c r="DN388">
        <v>6</v>
      </c>
      <c r="DO388">
        <v>10</v>
      </c>
      <c r="DP388">
        <v>0</v>
      </c>
      <c r="DQ388">
        <v>255</v>
      </c>
      <c r="DR388">
        <v>255</v>
      </c>
      <c r="DS388">
        <v>255</v>
      </c>
      <c r="DT388">
        <v>255</v>
      </c>
      <c r="DU388">
        <v>255</v>
      </c>
      <c r="DV388">
        <v>255</v>
      </c>
      <c r="DW388">
        <v>255</v>
      </c>
      <c r="DX388" t="s">
        <v>206</v>
      </c>
      <c r="DY388" t="s">
        <v>206</v>
      </c>
      <c r="DZ388" t="s">
        <v>207</v>
      </c>
      <c r="EA388" t="s">
        <v>198</v>
      </c>
      <c r="EB388" t="s">
        <v>198</v>
      </c>
      <c r="EC388" t="s">
        <v>198</v>
      </c>
      <c r="ED388">
        <v>0</v>
      </c>
      <c r="EE388">
        <v>0</v>
      </c>
      <c r="EF388">
        <v>0</v>
      </c>
      <c r="EG388">
        <v>0</v>
      </c>
      <c r="EH388">
        <v>255</v>
      </c>
      <c r="EI388">
        <v>255</v>
      </c>
      <c r="EJ388">
        <v>255</v>
      </c>
      <c r="EK388">
        <v>255</v>
      </c>
      <c r="EL388">
        <v>255</v>
      </c>
      <c r="EM388">
        <v>255</v>
      </c>
      <c r="EN388">
        <v>255</v>
      </c>
      <c r="EO388">
        <v>255</v>
      </c>
      <c r="EP388">
        <v>255</v>
      </c>
      <c r="EQ388">
        <v>255</v>
      </c>
      <c r="ER388" t="s">
        <v>208</v>
      </c>
      <c r="ES388" t="s">
        <v>209</v>
      </c>
      <c r="ET388" t="s">
        <v>209</v>
      </c>
      <c r="EU388">
        <v>0</v>
      </c>
      <c r="EV388">
        <v>16.2</v>
      </c>
      <c r="EW388">
        <v>-114.7</v>
      </c>
      <c r="EX388">
        <v>-0.2</v>
      </c>
      <c r="EY388">
        <v>0</v>
      </c>
      <c r="EZ388">
        <v>0</v>
      </c>
      <c r="FA388">
        <v>0</v>
      </c>
      <c r="FB388" t="s">
        <v>198</v>
      </c>
      <c r="FC388" t="s">
        <v>198</v>
      </c>
      <c r="FD388" t="s">
        <v>198</v>
      </c>
      <c r="FE388" t="s">
        <v>198</v>
      </c>
      <c r="FF388" t="s">
        <v>198</v>
      </c>
      <c r="FG388" t="s">
        <v>198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 t="s">
        <v>203</v>
      </c>
      <c r="FP388" t="s">
        <v>203</v>
      </c>
      <c r="FQ388" t="s">
        <v>203</v>
      </c>
      <c r="FR388" t="s">
        <v>203</v>
      </c>
      <c r="FS388" t="s">
        <v>203</v>
      </c>
      <c r="FT388" t="s">
        <v>203</v>
      </c>
      <c r="FU388" t="s">
        <v>198</v>
      </c>
      <c r="FV388" t="s">
        <v>198</v>
      </c>
      <c r="FW388" t="s">
        <v>198</v>
      </c>
      <c r="FX388" t="s">
        <v>198</v>
      </c>
      <c r="FY388" t="s">
        <v>198</v>
      </c>
      <c r="FZ388" t="s">
        <v>198</v>
      </c>
      <c r="GA388">
        <v>31.2</v>
      </c>
      <c r="GB388">
        <v>31.2</v>
      </c>
      <c r="GC388" t="s">
        <v>203</v>
      </c>
      <c r="GD388">
        <v>0</v>
      </c>
      <c r="GE388">
        <v>504</v>
      </c>
      <c r="GF388">
        <v>0</v>
      </c>
      <c r="GG388">
        <v>0</v>
      </c>
      <c r="GH388">
        <v>0</v>
      </c>
      <c r="GI388">
        <v>1</v>
      </c>
      <c r="GJ388">
        <v>1</v>
      </c>
      <c r="GK388">
        <v>0</v>
      </c>
      <c r="GL388" t="s">
        <v>198</v>
      </c>
      <c r="GM388" t="s">
        <v>198</v>
      </c>
      <c r="GN388" t="s">
        <v>198</v>
      </c>
    </row>
    <row r="389" spans="1:196">
      <c r="A389" s="19">
        <v>46316.90838359953</v>
      </c>
      <c r="B389">
        <v>0</v>
      </c>
      <c r="C389">
        <v>0</v>
      </c>
      <c r="D389">
        <v>277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584.2</v>
      </c>
      <c r="N389">
        <v>-0.5</v>
      </c>
      <c r="O389">
        <v>0</v>
      </c>
      <c r="P389">
        <v>0</v>
      </c>
      <c r="Q389">
        <v>0</v>
      </c>
      <c r="R389">
        <v>0</v>
      </c>
      <c r="S389">
        <v>115.6</v>
      </c>
      <c r="T389" t="s">
        <v>485</v>
      </c>
      <c r="U389">
        <v>115.7</v>
      </c>
      <c r="V389">
        <v>1762727256586.8</v>
      </c>
      <c r="W389">
        <v>1</v>
      </c>
      <c r="X389" t="s">
        <v>197</v>
      </c>
      <c r="Y389">
        <v>0</v>
      </c>
      <c r="Z389">
        <v>98</v>
      </c>
      <c r="AA389">
        <v>278</v>
      </c>
      <c r="AB389" t="s">
        <v>197</v>
      </c>
      <c r="AC389" t="s">
        <v>198</v>
      </c>
      <c r="AD389" t="s">
        <v>199</v>
      </c>
      <c r="AE389">
        <v>0</v>
      </c>
      <c r="AF389">
        <v>45</v>
      </c>
      <c r="AG389">
        <v>255</v>
      </c>
      <c r="AH389">
        <v>0</v>
      </c>
      <c r="AI389">
        <v>0</v>
      </c>
      <c r="AJ389">
        <v>0</v>
      </c>
      <c r="AK389">
        <v>12.6</v>
      </c>
      <c r="AL389">
        <v>0</v>
      </c>
      <c r="AM389">
        <v>0</v>
      </c>
      <c r="AN389" t="s">
        <v>197</v>
      </c>
      <c r="AO389">
        <v>100</v>
      </c>
      <c r="AP389" t="s">
        <v>197</v>
      </c>
      <c r="AQ389" t="s">
        <v>200</v>
      </c>
      <c r="AR389">
        <v>1</v>
      </c>
      <c r="AS389">
        <v>0</v>
      </c>
      <c r="AT389" t="s">
        <v>735</v>
      </c>
      <c r="AU389" t="s">
        <v>735</v>
      </c>
      <c r="AV389" t="s">
        <v>202</v>
      </c>
      <c r="AW389" t="s">
        <v>203</v>
      </c>
      <c r="AX389" t="s">
        <v>203</v>
      </c>
      <c r="AY389" t="s">
        <v>203</v>
      </c>
      <c r="AZ389" t="s">
        <v>203</v>
      </c>
      <c r="BA389" t="s">
        <v>203</v>
      </c>
      <c r="BB389" t="s">
        <v>203</v>
      </c>
      <c r="BC389" t="s">
        <v>203</v>
      </c>
      <c r="BD389" t="s">
        <v>203</v>
      </c>
      <c r="BE389" t="s">
        <v>203</v>
      </c>
      <c r="BF389">
        <v>0</v>
      </c>
      <c r="BG389">
        <v>0.2</v>
      </c>
      <c r="BH389">
        <v>50</v>
      </c>
      <c r="BI389">
        <v>0</v>
      </c>
      <c r="BJ389" t="s">
        <v>198</v>
      </c>
      <c r="BK389" t="s">
        <v>198</v>
      </c>
      <c r="BL389" t="s">
        <v>198</v>
      </c>
      <c r="BM389" t="s">
        <v>198</v>
      </c>
      <c r="BN389" t="s">
        <v>198</v>
      </c>
      <c r="BO389" t="s">
        <v>198</v>
      </c>
      <c r="BP389" t="s">
        <v>198</v>
      </c>
      <c r="BQ389" t="s">
        <v>198</v>
      </c>
      <c r="BR389" t="s">
        <v>198</v>
      </c>
      <c r="BS389" t="s">
        <v>198</v>
      </c>
      <c r="BT389" t="s">
        <v>198</v>
      </c>
      <c r="BU389" t="s">
        <v>198</v>
      </c>
      <c r="BV389" t="s">
        <v>198</v>
      </c>
      <c r="BW389" t="s">
        <v>198</v>
      </c>
      <c r="BX389" t="s">
        <v>198</v>
      </c>
      <c r="BY389" t="s">
        <v>198</v>
      </c>
      <c r="BZ389" t="s">
        <v>198</v>
      </c>
      <c r="CA389" t="s">
        <v>198</v>
      </c>
      <c r="CB389" t="s">
        <v>204</v>
      </c>
      <c r="CC389" t="s">
        <v>204</v>
      </c>
      <c r="CD389" t="s">
        <v>204</v>
      </c>
      <c r="CE389" t="s">
        <v>204</v>
      </c>
      <c r="CF389" t="s">
        <v>204</v>
      </c>
      <c r="CG389" t="s">
        <v>204</v>
      </c>
      <c r="CH389" t="s">
        <v>204</v>
      </c>
      <c r="CI389" t="s">
        <v>204</v>
      </c>
      <c r="CJ389" t="s">
        <v>204</v>
      </c>
      <c r="CK389" t="s">
        <v>204</v>
      </c>
      <c r="CL389" t="s">
        <v>204</v>
      </c>
      <c r="CM389" t="s">
        <v>204</v>
      </c>
      <c r="CN389" t="s">
        <v>203</v>
      </c>
      <c r="CO389" t="s">
        <v>203</v>
      </c>
      <c r="CP389" t="s">
        <v>203</v>
      </c>
      <c r="CQ389" t="s">
        <v>203</v>
      </c>
      <c r="CR389" t="s">
        <v>203</v>
      </c>
      <c r="CS389" t="s">
        <v>203</v>
      </c>
      <c r="CT389" t="s">
        <v>203</v>
      </c>
      <c r="CU389" t="s">
        <v>203</v>
      </c>
      <c r="CV389">
        <v>0</v>
      </c>
      <c r="CW389">
        <v>0</v>
      </c>
      <c r="CX389" t="s">
        <v>198</v>
      </c>
      <c r="CY389" t="s">
        <v>198</v>
      </c>
      <c r="CZ389" t="s">
        <v>198</v>
      </c>
      <c r="DA389" t="s">
        <v>198</v>
      </c>
      <c r="DB389" t="s">
        <v>198</v>
      </c>
      <c r="DC389">
        <v>0</v>
      </c>
      <c r="DD389">
        <v>0</v>
      </c>
      <c r="DE389">
        <v>0</v>
      </c>
      <c r="DF389">
        <v>0</v>
      </c>
      <c r="DG389">
        <v>-35.3631166</v>
      </c>
      <c r="DH389">
        <v>149.1639735</v>
      </c>
      <c r="DI389" t="s">
        <v>360</v>
      </c>
      <c r="DJ389">
        <v>1.2</v>
      </c>
      <c r="DK389">
        <v>2</v>
      </c>
      <c r="DL389">
        <v>159.8</v>
      </c>
      <c r="DM389">
        <v>0</v>
      </c>
      <c r="DN389">
        <v>6</v>
      </c>
      <c r="DO389">
        <v>10</v>
      </c>
      <c r="DP389">
        <v>0</v>
      </c>
      <c r="DQ389">
        <v>255</v>
      </c>
      <c r="DR389">
        <v>255</v>
      </c>
      <c r="DS389">
        <v>255</v>
      </c>
      <c r="DT389">
        <v>255</v>
      </c>
      <c r="DU389">
        <v>255</v>
      </c>
      <c r="DV389">
        <v>255</v>
      </c>
      <c r="DW389">
        <v>255</v>
      </c>
      <c r="DX389" t="s">
        <v>206</v>
      </c>
      <c r="DY389" t="s">
        <v>206</v>
      </c>
      <c r="DZ389" t="s">
        <v>207</v>
      </c>
      <c r="EA389" t="s">
        <v>198</v>
      </c>
      <c r="EB389" t="s">
        <v>198</v>
      </c>
      <c r="EC389" t="s">
        <v>198</v>
      </c>
      <c r="ED389">
        <v>0</v>
      </c>
      <c r="EE389">
        <v>0</v>
      </c>
      <c r="EF389">
        <v>0</v>
      </c>
      <c r="EG389">
        <v>0</v>
      </c>
      <c r="EH389">
        <v>255</v>
      </c>
      <c r="EI389">
        <v>255</v>
      </c>
      <c r="EJ389">
        <v>255</v>
      </c>
      <c r="EK389">
        <v>255</v>
      </c>
      <c r="EL389">
        <v>255</v>
      </c>
      <c r="EM389">
        <v>255</v>
      </c>
      <c r="EN389">
        <v>255</v>
      </c>
      <c r="EO389">
        <v>255</v>
      </c>
      <c r="EP389">
        <v>255</v>
      </c>
      <c r="EQ389">
        <v>255</v>
      </c>
      <c r="ER389" t="s">
        <v>208</v>
      </c>
      <c r="ES389" t="s">
        <v>209</v>
      </c>
      <c r="ET389" t="s">
        <v>209</v>
      </c>
      <c r="EU389">
        <v>0</v>
      </c>
      <c r="EV389">
        <v>16.2</v>
      </c>
      <c r="EW389">
        <v>-114.7</v>
      </c>
      <c r="EX389">
        <v>-0.2</v>
      </c>
      <c r="EY389">
        <v>0</v>
      </c>
      <c r="EZ389">
        <v>0</v>
      </c>
      <c r="FA389">
        <v>0</v>
      </c>
      <c r="FB389" t="s">
        <v>198</v>
      </c>
      <c r="FC389" t="s">
        <v>198</v>
      </c>
      <c r="FD389" t="s">
        <v>198</v>
      </c>
      <c r="FE389" t="s">
        <v>198</v>
      </c>
      <c r="FF389" t="s">
        <v>198</v>
      </c>
      <c r="FG389" t="s">
        <v>198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 t="s">
        <v>203</v>
      </c>
      <c r="FP389" t="s">
        <v>203</v>
      </c>
      <c r="FQ389" t="s">
        <v>203</v>
      </c>
      <c r="FR389" t="s">
        <v>203</v>
      </c>
      <c r="FS389" t="s">
        <v>203</v>
      </c>
      <c r="FT389" t="s">
        <v>203</v>
      </c>
      <c r="FU389" t="s">
        <v>198</v>
      </c>
      <c r="FV389" t="s">
        <v>198</v>
      </c>
      <c r="FW389" t="s">
        <v>198</v>
      </c>
      <c r="FX389" t="s">
        <v>198</v>
      </c>
      <c r="FY389" t="s">
        <v>198</v>
      </c>
      <c r="FZ389" t="s">
        <v>198</v>
      </c>
      <c r="GA389">
        <v>31.2</v>
      </c>
      <c r="GB389">
        <v>31.2</v>
      </c>
      <c r="GC389" t="s">
        <v>203</v>
      </c>
      <c r="GD389">
        <v>0</v>
      </c>
      <c r="GE389">
        <v>504</v>
      </c>
      <c r="GF389">
        <v>0</v>
      </c>
      <c r="GG389">
        <v>0</v>
      </c>
      <c r="GH389">
        <v>0</v>
      </c>
      <c r="GI389">
        <v>1</v>
      </c>
      <c r="GJ389">
        <v>1</v>
      </c>
      <c r="GK389">
        <v>0</v>
      </c>
      <c r="GL389" t="s">
        <v>198</v>
      </c>
      <c r="GM389" t="s">
        <v>198</v>
      </c>
      <c r="GN389" t="s">
        <v>198</v>
      </c>
    </row>
    <row r="390" spans="1:196">
      <c r="A390" s="19">
        <v>46316.90839516203</v>
      </c>
      <c r="B390">
        <v>0</v>
      </c>
      <c r="C390">
        <v>0</v>
      </c>
      <c r="D390">
        <v>277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584.2</v>
      </c>
      <c r="N390">
        <v>-0.5</v>
      </c>
      <c r="O390">
        <v>0</v>
      </c>
      <c r="P390">
        <v>0</v>
      </c>
      <c r="Q390">
        <v>0</v>
      </c>
      <c r="R390">
        <v>0</v>
      </c>
      <c r="S390">
        <v>115.6</v>
      </c>
      <c r="T390" t="s">
        <v>485</v>
      </c>
      <c r="U390">
        <v>115.7</v>
      </c>
      <c r="V390">
        <v>1762727256586.8</v>
      </c>
      <c r="W390">
        <v>1</v>
      </c>
      <c r="X390" t="s">
        <v>197</v>
      </c>
      <c r="Y390">
        <v>0</v>
      </c>
      <c r="Z390">
        <v>98</v>
      </c>
      <c r="AA390">
        <v>278</v>
      </c>
      <c r="AB390" t="s">
        <v>197</v>
      </c>
      <c r="AC390" t="s">
        <v>198</v>
      </c>
      <c r="AD390" t="s">
        <v>199</v>
      </c>
      <c r="AE390">
        <v>0</v>
      </c>
      <c r="AF390">
        <v>45</v>
      </c>
      <c r="AG390">
        <v>255</v>
      </c>
      <c r="AH390">
        <v>0</v>
      </c>
      <c r="AI390">
        <v>0</v>
      </c>
      <c r="AJ390">
        <v>0</v>
      </c>
      <c r="AK390">
        <v>12.6</v>
      </c>
      <c r="AL390">
        <v>0</v>
      </c>
      <c r="AM390">
        <v>0</v>
      </c>
      <c r="AN390" t="s">
        <v>197</v>
      </c>
      <c r="AO390">
        <v>100</v>
      </c>
      <c r="AP390" t="s">
        <v>197</v>
      </c>
      <c r="AQ390" t="s">
        <v>200</v>
      </c>
      <c r="AR390">
        <v>1</v>
      </c>
      <c r="AS390">
        <v>0</v>
      </c>
      <c r="AT390" t="s">
        <v>736</v>
      </c>
      <c r="AU390" t="s">
        <v>736</v>
      </c>
      <c r="AV390" t="s">
        <v>202</v>
      </c>
      <c r="AW390" t="s">
        <v>203</v>
      </c>
      <c r="AX390" t="s">
        <v>203</v>
      </c>
      <c r="AY390" t="s">
        <v>203</v>
      </c>
      <c r="AZ390" t="s">
        <v>203</v>
      </c>
      <c r="BA390" t="s">
        <v>203</v>
      </c>
      <c r="BB390" t="s">
        <v>203</v>
      </c>
      <c r="BC390" t="s">
        <v>203</v>
      </c>
      <c r="BD390" t="s">
        <v>203</v>
      </c>
      <c r="BE390" t="s">
        <v>203</v>
      </c>
      <c r="BF390">
        <v>0</v>
      </c>
      <c r="BG390">
        <v>0.2</v>
      </c>
      <c r="BH390">
        <v>50</v>
      </c>
      <c r="BI390">
        <v>0</v>
      </c>
      <c r="BJ390" t="s">
        <v>198</v>
      </c>
      <c r="BK390" t="s">
        <v>198</v>
      </c>
      <c r="BL390" t="s">
        <v>198</v>
      </c>
      <c r="BM390" t="s">
        <v>198</v>
      </c>
      <c r="BN390" t="s">
        <v>198</v>
      </c>
      <c r="BO390" t="s">
        <v>198</v>
      </c>
      <c r="BP390" t="s">
        <v>198</v>
      </c>
      <c r="BQ390" t="s">
        <v>198</v>
      </c>
      <c r="BR390" t="s">
        <v>198</v>
      </c>
      <c r="BS390" t="s">
        <v>198</v>
      </c>
      <c r="BT390" t="s">
        <v>198</v>
      </c>
      <c r="BU390" t="s">
        <v>198</v>
      </c>
      <c r="BV390" t="s">
        <v>198</v>
      </c>
      <c r="BW390" t="s">
        <v>198</v>
      </c>
      <c r="BX390" t="s">
        <v>198</v>
      </c>
      <c r="BY390" t="s">
        <v>198</v>
      </c>
      <c r="BZ390" t="s">
        <v>198</v>
      </c>
      <c r="CA390" t="s">
        <v>198</v>
      </c>
      <c r="CB390" t="s">
        <v>204</v>
      </c>
      <c r="CC390" t="s">
        <v>204</v>
      </c>
      <c r="CD390" t="s">
        <v>204</v>
      </c>
      <c r="CE390" t="s">
        <v>204</v>
      </c>
      <c r="CF390" t="s">
        <v>204</v>
      </c>
      <c r="CG390" t="s">
        <v>204</v>
      </c>
      <c r="CH390" t="s">
        <v>204</v>
      </c>
      <c r="CI390" t="s">
        <v>204</v>
      </c>
      <c r="CJ390" t="s">
        <v>204</v>
      </c>
      <c r="CK390" t="s">
        <v>204</v>
      </c>
      <c r="CL390" t="s">
        <v>204</v>
      </c>
      <c r="CM390" t="s">
        <v>204</v>
      </c>
      <c r="CN390" t="s">
        <v>203</v>
      </c>
      <c r="CO390" t="s">
        <v>203</v>
      </c>
      <c r="CP390" t="s">
        <v>203</v>
      </c>
      <c r="CQ390" t="s">
        <v>203</v>
      </c>
      <c r="CR390" t="s">
        <v>203</v>
      </c>
      <c r="CS390" t="s">
        <v>203</v>
      </c>
      <c r="CT390" t="s">
        <v>203</v>
      </c>
      <c r="CU390" t="s">
        <v>203</v>
      </c>
      <c r="CV390">
        <v>0</v>
      </c>
      <c r="CW390">
        <v>0</v>
      </c>
      <c r="CX390" t="s">
        <v>198</v>
      </c>
      <c r="CY390" t="s">
        <v>198</v>
      </c>
      <c r="CZ390" t="s">
        <v>198</v>
      </c>
      <c r="DA390" t="s">
        <v>198</v>
      </c>
      <c r="DB390" t="s">
        <v>198</v>
      </c>
      <c r="DC390">
        <v>0</v>
      </c>
      <c r="DD390">
        <v>0</v>
      </c>
      <c r="DE390">
        <v>0</v>
      </c>
      <c r="DF390">
        <v>0</v>
      </c>
      <c r="DG390">
        <v>-35.3631166</v>
      </c>
      <c r="DH390">
        <v>149.1639735</v>
      </c>
      <c r="DI390" t="s">
        <v>360</v>
      </c>
      <c r="DJ390">
        <v>1.2</v>
      </c>
      <c r="DK390">
        <v>2</v>
      </c>
      <c r="DL390">
        <v>159.8</v>
      </c>
      <c r="DM390">
        <v>0</v>
      </c>
      <c r="DN390">
        <v>6</v>
      </c>
      <c r="DO390">
        <v>10</v>
      </c>
      <c r="DP390">
        <v>0</v>
      </c>
      <c r="DQ390">
        <v>255</v>
      </c>
      <c r="DR390">
        <v>255</v>
      </c>
      <c r="DS390">
        <v>255</v>
      </c>
      <c r="DT390">
        <v>255</v>
      </c>
      <c r="DU390">
        <v>255</v>
      </c>
      <c r="DV390">
        <v>255</v>
      </c>
      <c r="DW390">
        <v>255</v>
      </c>
      <c r="DX390" t="s">
        <v>206</v>
      </c>
      <c r="DY390" t="s">
        <v>206</v>
      </c>
      <c r="DZ390" t="s">
        <v>207</v>
      </c>
      <c r="EA390" t="s">
        <v>198</v>
      </c>
      <c r="EB390" t="s">
        <v>198</v>
      </c>
      <c r="EC390" t="s">
        <v>198</v>
      </c>
      <c r="ED390">
        <v>0</v>
      </c>
      <c r="EE390">
        <v>0</v>
      </c>
      <c r="EF390">
        <v>0</v>
      </c>
      <c r="EG390">
        <v>0</v>
      </c>
      <c r="EH390">
        <v>255</v>
      </c>
      <c r="EI390">
        <v>255</v>
      </c>
      <c r="EJ390">
        <v>255</v>
      </c>
      <c r="EK390">
        <v>255</v>
      </c>
      <c r="EL390">
        <v>255</v>
      </c>
      <c r="EM390">
        <v>255</v>
      </c>
      <c r="EN390">
        <v>255</v>
      </c>
      <c r="EO390">
        <v>255</v>
      </c>
      <c r="EP390">
        <v>255</v>
      </c>
      <c r="EQ390">
        <v>255</v>
      </c>
      <c r="ER390" t="s">
        <v>208</v>
      </c>
      <c r="ES390" t="s">
        <v>209</v>
      </c>
      <c r="ET390" t="s">
        <v>209</v>
      </c>
      <c r="EU390">
        <v>0</v>
      </c>
      <c r="EV390">
        <v>16.2</v>
      </c>
      <c r="EW390">
        <v>-114.7</v>
      </c>
      <c r="EX390">
        <v>-0.2</v>
      </c>
      <c r="EY390">
        <v>0</v>
      </c>
      <c r="EZ390">
        <v>0</v>
      </c>
      <c r="FA390">
        <v>0</v>
      </c>
      <c r="FB390" t="s">
        <v>198</v>
      </c>
      <c r="FC390" t="s">
        <v>198</v>
      </c>
      <c r="FD390" t="s">
        <v>198</v>
      </c>
      <c r="FE390" t="s">
        <v>198</v>
      </c>
      <c r="FF390" t="s">
        <v>198</v>
      </c>
      <c r="FG390" t="s">
        <v>198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 t="s">
        <v>203</v>
      </c>
      <c r="FP390" t="s">
        <v>203</v>
      </c>
      <c r="FQ390" t="s">
        <v>203</v>
      </c>
      <c r="FR390" t="s">
        <v>203</v>
      </c>
      <c r="FS390" t="s">
        <v>203</v>
      </c>
      <c r="FT390" t="s">
        <v>203</v>
      </c>
      <c r="FU390" t="s">
        <v>198</v>
      </c>
      <c r="FV390" t="s">
        <v>198</v>
      </c>
      <c r="FW390" t="s">
        <v>198</v>
      </c>
      <c r="FX390" t="s">
        <v>198</v>
      </c>
      <c r="FY390" t="s">
        <v>198</v>
      </c>
      <c r="FZ390" t="s">
        <v>198</v>
      </c>
      <c r="GA390">
        <v>31.2</v>
      </c>
      <c r="GB390">
        <v>31.2</v>
      </c>
      <c r="GC390" t="s">
        <v>203</v>
      </c>
      <c r="GD390">
        <v>0</v>
      </c>
      <c r="GE390">
        <v>504</v>
      </c>
      <c r="GF390">
        <v>0</v>
      </c>
      <c r="GG390">
        <v>0</v>
      </c>
      <c r="GH390">
        <v>0</v>
      </c>
      <c r="GI390">
        <v>1</v>
      </c>
      <c r="GJ390">
        <v>1</v>
      </c>
      <c r="GK390">
        <v>0</v>
      </c>
      <c r="GL390" t="s">
        <v>198</v>
      </c>
      <c r="GM390" t="s">
        <v>198</v>
      </c>
      <c r="GN390" t="s">
        <v>198</v>
      </c>
    </row>
    <row r="391" spans="1:196">
      <c r="A391" s="19">
        <v>46316.90840674769</v>
      </c>
      <c r="B391">
        <v>0</v>
      </c>
      <c r="C391">
        <v>0</v>
      </c>
      <c r="D391">
        <v>277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584.2</v>
      </c>
      <c r="N391">
        <v>-0.5</v>
      </c>
      <c r="O391">
        <v>0</v>
      </c>
      <c r="P391">
        <v>0</v>
      </c>
      <c r="Q391">
        <v>0</v>
      </c>
      <c r="R391">
        <v>0</v>
      </c>
      <c r="S391">
        <v>115.6</v>
      </c>
      <c r="T391" t="s">
        <v>485</v>
      </c>
      <c r="U391">
        <v>115.7</v>
      </c>
      <c r="V391">
        <v>1762727256586.8</v>
      </c>
      <c r="W391">
        <v>1</v>
      </c>
      <c r="X391" t="s">
        <v>197</v>
      </c>
      <c r="Y391">
        <v>0</v>
      </c>
      <c r="Z391">
        <v>98</v>
      </c>
      <c r="AA391">
        <v>278</v>
      </c>
      <c r="AB391" t="s">
        <v>197</v>
      </c>
      <c r="AC391" t="s">
        <v>198</v>
      </c>
      <c r="AD391" t="s">
        <v>199</v>
      </c>
      <c r="AE391">
        <v>0</v>
      </c>
      <c r="AF391">
        <v>45</v>
      </c>
      <c r="AG391">
        <v>255</v>
      </c>
      <c r="AH391">
        <v>0</v>
      </c>
      <c r="AI391">
        <v>0</v>
      </c>
      <c r="AJ391">
        <v>0</v>
      </c>
      <c r="AK391">
        <v>12.6</v>
      </c>
      <c r="AL391">
        <v>0</v>
      </c>
      <c r="AM391">
        <v>0</v>
      </c>
      <c r="AN391" t="s">
        <v>197</v>
      </c>
      <c r="AO391">
        <v>100</v>
      </c>
      <c r="AP391" t="s">
        <v>197</v>
      </c>
      <c r="AQ391" t="s">
        <v>200</v>
      </c>
      <c r="AR391">
        <v>1</v>
      </c>
      <c r="AS391">
        <v>0</v>
      </c>
      <c r="AT391" t="s">
        <v>737</v>
      </c>
      <c r="AU391" t="s">
        <v>737</v>
      </c>
      <c r="AV391" t="s">
        <v>202</v>
      </c>
      <c r="AW391" t="s">
        <v>203</v>
      </c>
      <c r="AX391" t="s">
        <v>203</v>
      </c>
      <c r="AY391" t="s">
        <v>203</v>
      </c>
      <c r="AZ391" t="s">
        <v>203</v>
      </c>
      <c r="BA391" t="s">
        <v>203</v>
      </c>
      <c r="BB391" t="s">
        <v>203</v>
      </c>
      <c r="BC391" t="s">
        <v>203</v>
      </c>
      <c r="BD391" t="s">
        <v>203</v>
      </c>
      <c r="BE391" t="s">
        <v>203</v>
      </c>
      <c r="BF391">
        <v>0</v>
      </c>
      <c r="BG391">
        <v>0.2</v>
      </c>
      <c r="BH391">
        <v>50</v>
      </c>
      <c r="BI391">
        <v>0</v>
      </c>
      <c r="BJ391" t="s">
        <v>198</v>
      </c>
      <c r="BK391" t="s">
        <v>198</v>
      </c>
      <c r="BL391" t="s">
        <v>198</v>
      </c>
      <c r="BM391" t="s">
        <v>198</v>
      </c>
      <c r="BN391" t="s">
        <v>198</v>
      </c>
      <c r="BO391" t="s">
        <v>198</v>
      </c>
      <c r="BP391" t="s">
        <v>198</v>
      </c>
      <c r="BQ391" t="s">
        <v>198</v>
      </c>
      <c r="BR391" t="s">
        <v>198</v>
      </c>
      <c r="BS391" t="s">
        <v>198</v>
      </c>
      <c r="BT391" t="s">
        <v>198</v>
      </c>
      <c r="BU391" t="s">
        <v>198</v>
      </c>
      <c r="BV391" t="s">
        <v>198</v>
      </c>
      <c r="BW391" t="s">
        <v>198</v>
      </c>
      <c r="BX391" t="s">
        <v>198</v>
      </c>
      <c r="BY391" t="s">
        <v>198</v>
      </c>
      <c r="BZ391" t="s">
        <v>198</v>
      </c>
      <c r="CA391" t="s">
        <v>198</v>
      </c>
      <c r="CB391" t="s">
        <v>204</v>
      </c>
      <c r="CC391" t="s">
        <v>204</v>
      </c>
      <c r="CD391" t="s">
        <v>204</v>
      </c>
      <c r="CE391" t="s">
        <v>204</v>
      </c>
      <c r="CF391" t="s">
        <v>204</v>
      </c>
      <c r="CG391" t="s">
        <v>204</v>
      </c>
      <c r="CH391" t="s">
        <v>204</v>
      </c>
      <c r="CI391" t="s">
        <v>204</v>
      </c>
      <c r="CJ391" t="s">
        <v>204</v>
      </c>
      <c r="CK391" t="s">
        <v>204</v>
      </c>
      <c r="CL391" t="s">
        <v>204</v>
      </c>
      <c r="CM391" t="s">
        <v>204</v>
      </c>
      <c r="CN391" t="s">
        <v>203</v>
      </c>
      <c r="CO391" t="s">
        <v>203</v>
      </c>
      <c r="CP391" t="s">
        <v>203</v>
      </c>
      <c r="CQ391" t="s">
        <v>203</v>
      </c>
      <c r="CR391" t="s">
        <v>203</v>
      </c>
      <c r="CS391" t="s">
        <v>203</v>
      </c>
      <c r="CT391" t="s">
        <v>203</v>
      </c>
      <c r="CU391" t="s">
        <v>203</v>
      </c>
      <c r="CV391">
        <v>0</v>
      </c>
      <c r="CW391">
        <v>0</v>
      </c>
      <c r="CX391" t="s">
        <v>198</v>
      </c>
      <c r="CY391" t="s">
        <v>198</v>
      </c>
      <c r="CZ391" t="s">
        <v>198</v>
      </c>
      <c r="DA391" t="s">
        <v>198</v>
      </c>
      <c r="DB391" t="s">
        <v>198</v>
      </c>
      <c r="DC391">
        <v>0</v>
      </c>
      <c r="DD391">
        <v>0</v>
      </c>
      <c r="DE391">
        <v>0</v>
      </c>
      <c r="DF391">
        <v>0</v>
      </c>
      <c r="DG391">
        <v>-35.3631166</v>
      </c>
      <c r="DH391">
        <v>149.1639735</v>
      </c>
      <c r="DI391" t="s">
        <v>360</v>
      </c>
      <c r="DJ391">
        <v>1.2</v>
      </c>
      <c r="DK391">
        <v>2</v>
      </c>
      <c r="DL391">
        <v>159.8</v>
      </c>
      <c r="DM391">
        <v>0</v>
      </c>
      <c r="DN391">
        <v>6</v>
      </c>
      <c r="DO391">
        <v>10</v>
      </c>
      <c r="DP391">
        <v>0</v>
      </c>
      <c r="DQ391">
        <v>255</v>
      </c>
      <c r="DR391">
        <v>255</v>
      </c>
      <c r="DS391">
        <v>255</v>
      </c>
      <c r="DT391">
        <v>255</v>
      </c>
      <c r="DU391">
        <v>255</v>
      </c>
      <c r="DV391">
        <v>255</v>
      </c>
      <c r="DW391">
        <v>255</v>
      </c>
      <c r="DX391" t="s">
        <v>206</v>
      </c>
      <c r="DY391" t="s">
        <v>206</v>
      </c>
      <c r="DZ391" t="s">
        <v>207</v>
      </c>
      <c r="EA391" t="s">
        <v>198</v>
      </c>
      <c r="EB391" t="s">
        <v>198</v>
      </c>
      <c r="EC391" t="s">
        <v>198</v>
      </c>
      <c r="ED391">
        <v>0</v>
      </c>
      <c r="EE391">
        <v>0</v>
      </c>
      <c r="EF391">
        <v>0</v>
      </c>
      <c r="EG391">
        <v>0</v>
      </c>
      <c r="EH391">
        <v>255</v>
      </c>
      <c r="EI391">
        <v>255</v>
      </c>
      <c r="EJ391">
        <v>255</v>
      </c>
      <c r="EK391">
        <v>255</v>
      </c>
      <c r="EL391">
        <v>255</v>
      </c>
      <c r="EM391">
        <v>255</v>
      </c>
      <c r="EN391">
        <v>255</v>
      </c>
      <c r="EO391">
        <v>255</v>
      </c>
      <c r="EP391">
        <v>255</v>
      </c>
      <c r="EQ391">
        <v>255</v>
      </c>
      <c r="ER391" t="s">
        <v>208</v>
      </c>
      <c r="ES391" t="s">
        <v>209</v>
      </c>
      <c r="ET391" t="s">
        <v>209</v>
      </c>
      <c r="EU391">
        <v>0</v>
      </c>
      <c r="EV391">
        <v>16.2</v>
      </c>
      <c r="EW391">
        <v>-114.7</v>
      </c>
      <c r="EX391">
        <v>-0.2</v>
      </c>
      <c r="EY391">
        <v>0</v>
      </c>
      <c r="EZ391">
        <v>0</v>
      </c>
      <c r="FA391">
        <v>0</v>
      </c>
      <c r="FB391" t="s">
        <v>198</v>
      </c>
      <c r="FC391" t="s">
        <v>198</v>
      </c>
      <c r="FD391" t="s">
        <v>198</v>
      </c>
      <c r="FE391" t="s">
        <v>198</v>
      </c>
      <c r="FF391" t="s">
        <v>198</v>
      </c>
      <c r="FG391" t="s">
        <v>198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 t="s">
        <v>203</v>
      </c>
      <c r="FP391" t="s">
        <v>203</v>
      </c>
      <c r="FQ391" t="s">
        <v>203</v>
      </c>
      <c r="FR391" t="s">
        <v>203</v>
      </c>
      <c r="FS391" t="s">
        <v>203</v>
      </c>
      <c r="FT391" t="s">
        <v>203</v>
      </c>
      <c r="FU391" t="s">
        <v>198</v>
      </c>
      <c r="FV391" t="s">
        <v>198</v>
      </c>
      <c r="FW391" t="s">
        <v>198</v>
      </c>
      <c r="FX391" t="s">
        <v>198</v>
      </c>
      <c r="FY391" t="s">
        <v>198</v>
      </c>
      <c r="FZ391" t="s">
        <v>198</v>
      </c>
      <c r="GA391">
        <v>31.2</v>
      </c>
      <c r="GB391">
        <v>31.2</v>
      </c>
      <c r="GC391" t="s">
        <v>203</v>
      </c>
      <c r="GD391">
        <v>0</v>
      </c>
      <c r="GE391">
        <v>504</v>
      </c>
      <c r="GF391">
        <v>0</v>
      </c>
      <c r="GG391">
        <v>0</v>
      </c>
      <c r="GH391">
        <v>0</v>
      </c>
      <c r="GI391">
        <v>1</v>
      </c>
      <c r="GJ391">
        <v>1</v>
      </c>
      <c r="GK391">
        <v>0</v>
      </c>
      <c r="GL391" t="s">
        <v>198</v>
      </c>
      <c r="GM391" t="s">
        <v>198</v>
      </c>
      <c r="GN391" t="s">
        <v>198</v>
      </c>
    </row>
    <row r="392" spans="1:196">
      <c r="A392" s="19">
        <v>46316.90841832176</v>
      </c>
      <c r="B392">
        <v>0</v>
      </c>
      <c r="C392">
        <v>0</v>
      </c>
      <c r="D392">
        <v>277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584.2</v>
      </c>
      <c r="N392">
        <v>-0.5</v>
      </c>
      <c r="O392">
        <v>0</v>
      </c>
      <c r="P392">
        <v>0</v>
      </c>
      <c r="Q392">
        <v>0</v>
      </c>
      <c r="R392">
        <v>0</v>
      </c>
      <c r="S392">
        <v>115.6</v>
      </c>
      <c r="T392" t="s">
        <v>485</v>
      </c>
      <c r="U392">
        <v>115.7</v>
      </c>
      <c r="V392">
        <v>1762727256586.8</v>
      </c>
      <c r="W392">
        <v>1</v>
      </c>
      <c r="X392" t="s">
        <v>197</v>
      </c>
      <c r="Y392">
        <v>0</v>
      </c>
      <c r="Z392">
        <v>98</v>
      </c>
      <c r="AA392">
        <v>278</v>
      </c>
      <c r="AB392" t="s">
        <v>197</v>
      </c>
      <c r="AC392" t="s">
        <v>198</v>
      </c>
      <c r="AD392" t="s">
        <v>199</v>
      </c>
      <c r="AE392">
        <v>0</v>
      </c>
      <c r="AF392">
        <v>45</v>
      </c>
      <c r="AG392">
        <v>255</v>
      </c>
      <c r="AH392">
        <v>0</v>
      </c>
      <c r="AI392">
        <v>0</v>
      </c>
      <c r="AJ392">
        <v>0</v>
      </c>
      <c r="AK392">
        <v>12.6</v>
      </c>
      <c r="AL392">
        <v>0</v>
      </c>
      <c r="AM392">
        <v>0</v>
      </c>
      <c r="AN392" t="s">
        <v>197</v>
      </c>
      <c r="AO392">
        <v>100</v>
      </c>
      <c r="AP392" t="s">
        <v>197</v>
      </c>
      <c r="AQ392" t="s">
        <v>200</v>
      </c>
      <c r="AR392">
        <v>1</v>
      </c>
      <c r="AS392">
        <v>0</v>
      </c>
      <c r="AT392" t="s">
        <v>738</v>
      </c>
      <c r="AU392" t="s">
        <v>738</v>
      </c>
      <c r="AV392" t="s">
        <v>202</v>
      </c>
      <c r="AW392" t="s">
        <v>203</v>
      </c>
      <c r="AX392" t="s">
        <v>203</v>
      </c>
      <c r="AY392" t="s">
        <v>203</v>
      </c>
      <c r="AZ392" t="s">
        <v>203</v>
      </c>
      <c r="BA392" t="s">
        <v>203</v>
      </c>
      <c r="BB392" t="s">
        <v>203</v>
      </c>
      <c r="BC392" t="s">
        <v>203</v>
      </c>
      <c r="BD392" t="s">
        <v>203</v>
      </c>
      <c r="BE392" t="s">
        <v>203</v>
      </c>
      <c r="BF392">
        <v>0</v>
      </c>
      <c r="BG392">
        <v>0.2</v>
      </c>
      <c r="BH392">
        <v>50</v>
      </c>
      <c r="BI392">
        <v>0</v>
      </c>
      <c r="BJ392" t="s">
        <v>198</v>
      </c>
      <c r="BK392" t="s">
        <v>198</v>
      </c>
      <c r="BL392" t="s">
        <v>198</v>
      </c>
      <c r="BM392" t="s">
        <v>198</v>
      </c>
      <c r="BN392" t="s">
        <v>198</v>
      </c>
      <c r="BO392" t="s">
        <v>198</v>
      </c>
      <c r="BP392" t="s">
        <v>198</v>
      </c>
      <c r="BQ392" t="s">
        <v>198</v>
      </c>
      <c r="BR392" t="s">
        <v>198</v>
      </c>
      <c r="BS392" t="s">
        <v>198</v>
      </c>
      <c r="BT392" t="s">
        <v>198</v>
      </c>
      <c r="BU392" t="s">
        <v>198</v>
      </c>
      <c r="BV392" t="s">
        <v>198</v>
      </c>
      <c r="BW392" t="s">
        <v>198</v>
      </c>
      <c r="BX392" t="s">
        <v>198</v>
      </c>
      <c r="BY392" t="s">
        <v>198</v>
      </c>
      <c r="BZ392" t="s">
        <v>198</v>
      </c>
      <c r="CA392" t="s">
        <v>198</v>
      </c>
      <c r="CB392" t="s">
        <v>204</v>
      </c>
      <c r="CC392" t="s">
        <v>204</v>
      </c>
      <c r="CD392" t="s">
        <v>204</v>
      </c>
      <c r="CE392" t="s">
        <v>204</v>
      </c>
      <c r="CF392" t="s">
        <v>204</v>
      </c>
      <c r="CG392" t="s">
        <v>204</v>
      </c>
      <c r="CH392" t="s">
        <v>204</v>
      </c>
      <c r="CI392" t="s">
        <v>204</v>
      </c>
      <c r="CJ392" t="s">
        <v>204</v>
      </c>
      <c r="CK392" t="s">
        <v>204</v>
      </c>
      <c r="CL392" t="s">
        <v>204</v>
      </c>
      <c r="CM392" t="s">
        <v>204</v>
      </c>
      <c r="CN392" t="s">
        <v>203</v>
      </c>
      <c r="CO392" t="s">
        <v>203</v>
      </c>
      <c r="CP392" t="s">
        <v>203</v>
      </c>
      <c r="CQ392" t="s">
        <v>203</v>
      </c>
      <c r="CR392" t="s">
        <v>203</v>
      </c>
      <c r="CS392" t="s">
        <v>203</v>
      </c>
      <c r="CT392" t="s">
        <v>203</v>
      </c>
      <c r="CU392" t="s">
        <v>203</v>
      </c>
      <c r="CV392">
        <v>0</v>
      </c>
      <c r="CW392">
        <v>0</v>
      </c>
      <c r="CX392" t="s">
        <v>198</v>
      </c>
      <c r="CY392" t="s">
        <v>198</v>
      </c>
      <c r="CZ392" t="s">
        <v>198</v>
      </c>
      <c r="DA392" t="s">
        <v>198</v>
      </c>
      <c r="DB392" t="s">
        <v>198</v>
      </c>
      <c r="DC392">
        <v>0</v>
      </c>
      <c r="DD392">
        <v>0</v>
      </c>
      <c r="DE392">
        <v>0</v>
      </c>
      <c r="DF392">
        <v>0</v>
      </c>
      <c r="DG392">
        <v>-35.3631166</v>
      </c>
      <c r="DH392">
        <v>149.1639735</v>
      </c>
      <c r="DI392" t="s">
        <v>360</v>
      </c>
      <c r="DJ392">
        <v>1.2</v>
      </c>
      <c r="DK392">
        <v>2</v>
      </c>
      <c r="DL392">
        <v>159.8</v>
      </c>
      <c r="DM392">
        <v>0</v>
      </c>
      <c r="DN392">
        <v>6</v>
      </c>
      <c r="DO392">
        <v>10</v>
      </c>
      <c r="DP392">
        <v>0</v>
      </c>
      <c r="DQ392">
        <v>255</v>
      </c>
      <c r="DR392">
        <v>255</v>
      </c>
      <c r="DS392">
        <v>255</v>
      </c>
      <c r="DT392">
        <v>255</v>
      </c>
      <c r="DU392">
        <v>255</v>
      </c>
      <c r="DV392">
        <v>255</v>
      </c>
      <c r="DW392">
        <v>255</v>
      </c>
      <c r="DX392" t="s">
        <v>206</v>
      </c>
      <c r="DY392" t="s">
        <v>206</v>
      </c>
      <c r="DZ392" t="s">
        <v>207</v>
      </c>
      <c r="EA392" t="s">
        <v>198</v>
      </c>
      <c r="EB392" t="s">
        <v>198</v>
      </c>
      <c r="EC392" t="s">
        <v>198</v>
      </c>
      <c r="ED392">
        <v>0</v>
      </c>
      <c r="EE392">
        <v>0</v>
      </c>
      <c r="EF392">
        <v>0</v>
      </c>
      <c r="EG392">
        <v>0</v>
      </c>
      <c r="EH392">
        <v>255</v>
      </c>
      <c r="EI392">
        <v>255</v>
      </c>
      <c r="EJ392">
        <v>255</v>
      </c>
      <c r="EK392">
        <v>255</v>
      </c>
      <c r="EL392">
        <v>255</v>
      </c>
      <c r="EM392">
        <v>255</v>
      </c>
      <c r="EN392">
        <v>255</v>
      </c>
      <c r="EO392">
        <v>255</v>
      </c>
      <c r="EP392">
        <v>255</v>
      </c>
      <c r="EQ392">
        <v>255</v>
      </c>
      <c r="ER392" t="s">
        <v>208</v>
      </c>
      <c r="ES392" t="s">
        <v>209</v>
      </c>
      <c r="ET392" t="s">
        <v>209</v>
      </c>
      <c r="EU392">
        <v>0</v>
      </c>
      <c r="EV392">
        <v>16.2</v>
      </c>
      <c r="EW392">
        <v>-114.7</v>
      </c>
      <c r="EX392">
        <v>-0.2</v>
      </c>
      <c r="EY392">
        <v>0</v>
      </c>
      <c r="EZ392">
        <v>0</v>
      </c>
      <c r="FA392">
        <v>0</v>
      </c>
      <c r="FB392" t="s">
        <v>198</v>
      </c>
      <c r="FC392" t="s">
        <v>198</v>
      </c>
      <c r="FD392" t="s">
        <v>198</v>
      </c>
      <c r="FE392" t="s">
        <v>198</v>
      </c>
      <c r="FF392" t="s">
        <v>198</v>
      </c>
      <c r="FG392" t="s">
        <v>198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 t="s">
        <v>203</v>
      </c>
      <c r="FP392" t="s">
        <v>203</v>
      </c>
      <c r="FQ392" t="s">
        <v>203</v>
      </c>
      <c r="FR392" t="s">
        <v>203</v>
      </c>
      <c r="FS392" t="s">
        <v>203</v>
      </c>
      <c r="FT392" t="s">
        <v>203</v>
      </c>
      <c r="FU392" t="s">
        <v>198</v>
      </c>
      <c r="FV392" t="s">
        <v>198</v>
      </c>
      <c r="FW392" t="s">
        <v>198</v>
      </c>
      <c r="FX392" t="s">
        <v>198</v>
      </c>
      <c r="FY392" t="s">
        <v>198</v>
      </c>
      <c r="FZ392" t="s">
        <v>198</v>
      </c>
      <c r="GA392">
        <v>31.2</v>
      </c>
      <c r="GB392">
        <v>31.2</v>
      </c>
      <c r="GC392" t="s">
        <v>203</v>
      </c>
      <c r="GD392">
        <v>0</v>
      </c>
      <c r="GE392">
        <v>504</v>
      </c>
      <c r="GF392">
        <v>0</v>
      </c>
      <c r="GG392">
        <v>0</v>
      </c>
      <c r="GH392">
        <v>0</v>
      </c>
      <c r="GI392">
        <v>1</v>
      </c>
      <c r="GJ392">
        <v>1</v>
      </c>
      <c r="GK392">
        <v>0</v>
      </c>
      <c r="GL392" t="s">
        <v>198</v>
      </c>
      <c r="GM392" t="s">
        <v>198</v>
      </c>
      <c r="GN392" t="s">
        <v>198</v>
      </c>
    </row>
    <row r="393" spans="1:196">
      <c r="A393" s="19">
        <v>46316.90842989583</v>
      </c>
      <c r="B393">
        <v>0</v>
      </c>
      <c r="C393">
        <v>0</v>
      </c>
      <c r="D393">
        <v>277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584.2</v>
      </c>
      <c r="N393">
        <v>-0.5</v>
      </c>
      <c r="O393">
        <v>0</v>
      </c>
      <c r="P393">
        <v>0</v>
      </c>
      <c r="Q393">
        <v>0</v>
      </c>
      <c r="R393">
        <v>0</v>
      </c>
      <c r="S393">
        <v>115.6</v>
      </c>
      <c r="T393" t="s">
        <v>485</v>
      </c>
      <c r="U393">
        <v>115.7</v>
      </c>
      <c r="V393">
        <v>1762727256586.8</v>
      </c>
      <c r="W393">
        <v>1</v>
      </c>
      <c r="X393" t="s">
        <v>197</v>
      </c>
      <c r="Y393">
        <v>0</v>
      </c>
      <c r="Z393">
        <v>98</v>
      </c>
      <c r="AA393">
        <v>278</v>
      </c>
      <c r="AB393" t="s">
        <v>197</v>
      </c>
      <c r="AC393" t="s">
        <v>198</v>
      </c>
      <c r="AD393" t="s">
        <v>199</v>
      </c>
      <c r="AE393">
        <v>0</v>
      </c>
      <c r="AF393">
        <v>45</v>
      </c>
      <c r="AG393">
        <v>255</v>
      </c>
      <c r="AH393">
        <v>0</v>
      </c>
      <c r="AI393">
        <v>0</v>
      </c>
      <c r="AJ393">
        <v>0</v>
      </c>
      <c r="AK393">
        <v>12.6</v>
      </c>
      <c r="AL393">
        <v>0</v>
      </c>
      <c r="AM393">
        <v>0</v>
      </c>
      <c r="AN393" t="s">
        <v>197</v>
      </c>
      <c r="AO393">
        <v>100</v>
      </c>
      <c r="AP393" t="s">
        <v>197</v>
      </c>
      <c r="AQ393" t="s">
        <v>200</v>
      </c>
      <c r="AR393">
        <v>1</v>
      </c>
      <c r="AS393">
        <v>0</v>
      </c>
      <c r="AT393" t="s">
        <v>739</v>
      </c>
      <c r="AU393" t="s">
        <v>739</v>
      </c>
      <c r="AV393" t="s">
        <v>202</v>
      </c>
      <c r="AW393" t="s">
        <v>203</v>
      </c>
      <c r="AX393" t="s">
        <v>203</v>
      </c>
      <c r="AY393" t="s">
        <v>203</v>
      </c>
      <c r="AZ393" t="s">
        <v>203</v>
      </c>
      <c r="BA393" t="s">
        <v>203</v>
      </c>
      <c r="BB393" t="s">
        <v>203</v>
      </c>
      <c r="BC393" t="s">
        <v>203</v>
      </c>
      <c r="BD393" t="s">
        <v>203</v>
      </c>
      <c r="BE393" t="s">
        <v>203</v>
      </c>
      <c r="BF393">
        <v>0</v>
      </c>
      <c r="BG393">
        <v>0.2</v>
      </c>
      <c r="BH393">
        <v>50</v>
      </c>
      <c r="BI393">
        <v>0</v>
      </c>
      <c r="BJ393" t="s">
        <v>198</v>
      </c>
      <c r="BK393" t="s">
        <v>198</v>
      </c>
      <c r="BL393" t="s">
        <v>198</v>
      </c>
      <c r="BM393" t="s">
        <v>198</v>
      </c>
      <c r="BN393" t="s">
        <v>198</v>
      </c>
      <c r="BO393" t="s">
        <v>198</v>
      </c>
      <c r="BP393" t="s">
        <v>198</v>
      </c>
      <c r="BQ393" t="s">
        <v>198</v>
      </c>
      <c r="BR393" t="s">
        <v>198</v>
      </c>
      <c r="BS393" t="s">
        <v>198</v>
      </c>
      <c r="BT393" t="s">
        <v>198</v>
      </c>
      <c r="BU393" t="s">
        <v>198</v>
      </c>
      <c r="BV393" t="s">
        <v>198</v>
      </c>
      <c r="BW393" t="s">
        <v>198</v>
      </c>
      <c r="BX393" t="s">
        <v>198</v>
      </c>
      <c r="BY393" t="s">
        <v>198</v>
      </c>
      <c r="BZ393" t="s">
        <v>198</v>
      </c>
      <c r="CA393" t="s">
        <v>198</v>
      </c>
      <c r="CB393" t="s">
        <v>204</v>
      </c>
      <c r="CC393" t="s">
        <v>204</v>
      </c>
      <c r="CD393" t="s">
        <v>204</v>
      </c>
      <c r="CE393" t="s">
        <v>204</v>
      </c>
      <c r="CF393" t="s">
        <v>204</v>
      </c>
      <c r="CG393" t="s">
        <v>204</v>
      </c>
      <c r="CH393" t="s">
        <v>204</v>
      </c>
      <c r="CI393" t="s">
        <v>204</v>
      </c>
      <c r="CJ393" t="s">
        <v>204</v>
      </c>
      <c r="CK393" t="s">
        <v>204</v>
      </c>
      <c r="CL393" t="s">
        <v>204</v>
      </c>
      <c r="CM393" t="s">
        <v>204</v>
      </c>
      <c r="CN393" t="s">
        <v>203</v>
      </c>
      <c r="CO393" t="s">
        <v>203</v>
      </c>
      <c r="CP393" t="s">
        <v>203</v>
      </c>
      <c r="CQ393" t="s">
        <v>203</v>
      </c>
      <c r="CR393" t="s">
        <v>203</v>
      </c>
      <c r="CS393" t="s">
        <v>203</v>
      </c>
      <c r="CT393" t="s">
        <v>203</v>
      </c>
      <c r="CU393" t="s">
        <v>203</v>
      </c>
      <c r="CV393">
        <v>0</v>
      </c>
      <c r="CW393">
        <v>0</v>
      </c>
      <c r="CX393" t="s">
        <v>198</v>
      </c>
      <c r="CY393" t="s">
        <v>198</v>
      </c>
      <c r="CZ393" t="s">
        <v>198</v>
      </c>
      <c r="DA393" t="s">
        <v>198</v>
      </c>
      <c r="DB393" t="s">
        <v>198</v>
      </c>
      <c r="DC393">
        <v>0</v>
      </c>
      <c r="DD393">
        <v>0</v>
      </c>
      <c r="DE393">
        <v>0</v>
      </c>
      <c r="DF393">
        <v>0</v>
      </c>
      <c r="DG393">
        <v>-35.3631166</v>
      </c>
      <c r="DH393">
        <v>149.1639735</v>
      </c>
      <c r="DI393" t="s">
        <v>360</v>
      </c>
      <c r="DJ393">
        <v>1.2</v>
      </c>
      <c r="DK393">
        <v>2</v>
      </c>
      <c r="DL393">
        <v>159.8</v>
      </c>
      <c r="DM393">
        <v>0</v>
      </c>
      <c r="DN393">
        <v>6</v>
      </c>
      <c r="DO393">
        <v>10</v>
      </c>
      <c r="DP393">
        <v>0</v>
      </c>
      <c r="DQ393">
        <v>255</v>
      </c>
      <c r="DR393">
        <v>255</v>
      </c>
      <c r="DS393">
        <v>255</v>
      </c>
      <c r="DT393">
        <v>255</v>
      </c>
      <c r="DU393">
        <v>255</v>
      </c>
      <c r="DV393">
        <v>255</v>
      </c>
      <c r="DW393">
        <v>255</v>
      </c>
      <c r="DX393" t="s">
        <v>206</v>
      </c>
      <c r="DY393" t="s">
        <v>206</v>
      </c>
      <c r="DZ393" t="s">
        <v>207</v>
      </c>
      <c r="EA393" t="s">
        <v>198</v>
      </c>
      <c r="EB393" t="s">
        <v>198</v>
      </c>
      <c r="EC393" t="s">
        <v>198</v>
      </c>
      <c r="ED393">
        <v>0</v>
      </c>
      <c r="EE393">
        <v>0</v>
      </c>
      <c r="EF393">
        <v>0</v>
      </c>
      <c r="EG393">
        <v>0</v>
      </c>
      <c r="EH393">
        <v>255</v>
      </c>
      <c r="EI393">
        <v>255</v>
      </c>
      <c r="EJ393">
        <v>255</v>
      </c>
      <c r="EK393">
        <v>255</v>
      </c>
      <c r="EL393">
        <v>255</v>
      </c>
      <c r="EM393">
        <v>255</v>
      </c>
      <c r="EN393">
        <v>255</v>
      </c>
      <c r="EO393">
        <v>255</v>
      </c>
      <c r="EP393">
        <v>255</v>
      </c>
      <c r="EQ393">
        <v>255</v>
      </c>
      <c r="ER393" t="s">
        <v>208</v>
      </c>
      <c r="ES393" t="s">
        <v>209</v>
      </c>
      <c r="ET393" t="s">
        <v>209</v>
      </c>
      <c r="EU393">
        <v>0</v>
      </c>
      <c r="EV393">
        <v>16.2</v>
      </c>
      <c r="EW393">
        <v>-114.7</v>
      </c>
      <c r="EX393">
        <v>-0.2</v>
      </c>
      <c r="EY393">
        <v>0</v>
      </c>
      <c r="EZ393">
        <v>0</v>
      </c>
      <c r="FA393">
        <v>0</v>
      </c>
      <c r="FB393" t="s">
        <v>198</v>
      </c>
      <c r="FC393" t="s">
        <v>198</v>
      </c>
      <c r="FD393" t="s">
        <v>198</v>
      </c>
      <c r="FE393" t="s">
        <v>198</v>
      </c>
      <c r="FF393" t="s">
        <v>198</v>
      </c>
      <c r="FG393" t="s">
        <v>198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 t="s">
        <v>203</v>
      </c>
      <c r="FP393" t="s">
        <v>203</v>
      </c>
      <c r="FQ393" t="s">
        <v>203</v>
      </c>
      <c r="FR393" t="s">
        <v>203</v>
      </c>
      <c r="FS393" t="s">
        <v>203</v>
      </c>
      <c r="FT393" t="s">
        <v>203</v>
      </c>
      <c r="FU393" t="s">
        <v>198</v>
      </c>
      <c r="FV393" t="s">
        <v>198</v>
      </c>
      <c r="FW393" t="s">
        <v>198</v>
      </c>
      <c r="FX393" t="s">
        <v>198</v>
      </c>
      <c r="FY393" t="s">
        <v>198</v>
      </c>
      <c r="FZ393" t="s">
        <v>198</v>
      </c>
      <c r="GA393">
        <v>31.2</v>
      </c>
      <c r="GB393">
        <v>31.2</v>
      </c>
      <c r="GC393" t="s">
        <v>203</v>
      </c>
      <c r="GD393">
        <v>0</v>
      </c>
      <c r="GE393">
        <v>504</v>
      </c>
      <c r="GF393">
        <v>0</v>
      </c>
      <c r="GG393">
        <v>0</v>
      </c>
      <c r="GH393">
        <v>0</v>
      </c>
      <c r="GI393">
        <v>1</v>
      </c>
      <c r="GJ393">
        <v>1</v>
      </c>
      <c r="GK393">
        <v>0</v>
      </c>
      <c r="GL393" t="s">
        <v>198</v>
      </c>
      <c r="GM393" t="s">
        <v>198</v>
      </c>
      <c r="GN393" t="s">
        <v>198</v>
      </c>
    </row>
    <row r="394" spans="1:196">
      <c r="A394" s="19">
        <v>46316.90844145833</v>
      </c>
      <c r="B394">
        <v>0</v>
      </c>
      <c r="C394">
        <v>0</v>
      </c>
      <c r="D394">
        <v>277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584.2</v>
      </c>
      <c r="N394">
        <v>-0.5</v>
      </c>
      <c r="O394">
        <v>0</v>
      </c>
      <c r="P394">
        <v>0</v>
      </c>
      <c r="Q394">
        <v>0</v>
      </c>
      <c r="R394">
        <v>0</v>
      </c>
      <c r="S394">
        <v>115.6</v>
      </c>
      <c r="T394" t="s">
        <v>485</v>
      </c>
      <c r="U394">
        <v>115.7</v>
      </c>
      <c r="V394">
        <v>1762727256586.8</v>
      </c>
      <c r="W394">
        <v>1</v>
      </c>
      <c r="X394" t="s">
        <v>197</v>
      </c>
      <c r="Y394">
        <v>0</v>
      </c>
      <c r="Z394">
        <v>98</v>
      </c>
      <c r="AA394">
        <v>278</v>
      </c>
      <c r="AB394" t="s">
        <v>197</v>
      </c>
      <c r="AC394" t="s">
        <v>198</v>
      </c>
      <c r="AD394" t="s">
        <v>199</v>
      </c>
      <c r="AE394">
        <v>0</v>
      </c>
      <c r="AF394">
        <v>45</v>
      </c>
      <c r="AG394">
        <v>255</v>
      </c>
      <c r="AH394">
        <v>0</v>
      </c>
      <c r="AI394">
        <v>0</v>
      </c>
      <c r="AJ394">
        <v>0</v>
      </c>
      <c r="AK394">
        <v>12.6</v>
      </c>
      <c r="AL394">
        <v>0</v>
      </c>
      <c r="AM394">
        <v>0</v>
      </c>
      <c r="AN394" t="s">
        <v>197</v>
      </c>
      <c r="AO394">
        <v>100</v>
      </c>
      <c r="AP394" t="s">
        <v>197</v>
      </c>
      <c r="AQ394" t="s">
        <v>200</v>
      </c>
      <c r="AR394">
        <v>1</v>
      </c>
      <c r="AS394">
        <v>0</v>
      </c>
      <c r="AT394" t="s">
        <v>740</v>
      </c>
      <c r="AU394" t="s">
        <v>740</v>
      </c>
      <c r="AV394" t="s">
        <v>202</v>
      </c>
      <c r="AW394" t="s">
        <v>203</v>
      </c>
      <c r="AX394" t="s">
        <v>203</v>
      </c>
      <c r="AY394" t="s">
        <v>203</v>
      </c>
      <c r="AZ394" t="s">
        <v>203</v>
      </c>
      <c r="BA394" t="s">
        <v>203</v>
      </c>
      <c r="BB394" t="s">
        <v>203</v>
      </c>
      <c r="BC394" t="s">
        <v>203</v>
      </c>
      <c r="BD394" t="s">
        <v>203</v>
      </c>
      <c r="BE394" t="s">
        <v>203</v>
      </c>
      <c r="BF394">
        <v>0</v>
      </c>
      <c r="BG394">
        <v>0.2</v>
      </c>
      <c r="BH394">
        <v>50</v>
      </c>
      <c r="BI394">
        <v>0</v>
      </c>
      <c r="BJ394" t="s">
        <v>198</v>
      </c>
      <c r="BK394" t="s">
        <v>198</v>
      </c>
      <c r="BL394" t="s">
        <v>198</v>
      </c>
      <c r="BM394" t="s">
        <v>198</v>
      </c>
      <c r="BN394" t="s">
        <v>198</v>
      </c>
      <c r="BO394" t="s">
        <v>198</v>
      </c>
      <c r="BP394" t="s">
        <v>198</v>
      </c>
      <c r="BQ394" t="s">
        <v>198</v>
      </c>
      <c r="BR394" t="s">
        <v>198</v>
      </c>
      <c r="BS394" t="s">
        <v>198</v>
      </c>
      <c r="BT394" t="s">
        <v>198</v>
      </c>
      <c r="BU394" t="s">
        <v>198</v>
      </c>
      <c r="BV394" t="s">
        <v>198</v>
      </c>
      <c r="BW394" t="s">
        <v>198</v>
      </c>
      <c r="BX394" t="s">
        <v>198</v>
      </c>
      <c r="BY394" t="s">
        <v>198</v>
      </c>
      <c r="BZ394" t="s">
        <v>198</v>
      </c>
      <c r="CA394" t="s">
        <v>198</v>
      </c>
      <c r="CB394" t="s">
        <v>204</v>
      </c>
      <c r="CC394" t="s">
        <v>204</v>
      </c>
      <c r="CD394" t="s">
        <v>204</v>
      </c>
      <c r="CE394" t="s">
        <v>204</v>
      </c>
      <c r="CF394" t="s">
        <v>204</v>
      </c>
      <c r="CG394" t="s">
        <v>204</v>
      </c>
      <c r="CH394" t="s">
        <v>204</v>
      </c>
      <c r="CI394" t="s">
        <v>204</v>
      </c>
      <c r="CJ394" t="s">
        <v>204</v>
      </c>
      <c r="CK394" t="s">
        <v>204</v>
      </c>
      <c r="CL394" t="s">
        <v>204</v>
      </c>
      <c r="CM394" t="s">
        <v>204</v>
      </c>
      <c r="CN394" t="s">
        <v>203</v>
      </c>
      <c r="CO394" t="s">
        <v>203</v>
      </c>
      <c r="CP394" t="s">
        <v>203</v>
      </c>
      <c r="CQ394" t="s">
        <v>203</v>
      </c>
      <c r="CR394" t="s">
        <v>203</v>
      </c>
      <c r="CS394" t="s">
        <v>203</v>
      </c>
      <c r="CT394" t="s">
        <v>203</v>
      </c>
      <c r="CU394" t="s">
        <v>203</v>
      </c>
      <c r="CV394">
        <v>0</v>
      </c>
      <c r="CW394">
        <v>0</v>
      </c>
      <c r="CX394" t="s">
        <v>198</v>
      </c>
      <c r="CY394" t="s">
        <v>198</v>
      </c>
      <c r="CZ394" t="s">
        <v>198</v>
      </c>
      <c r="DA394" t="s">
        <v>198</v>
      </c>
      <c r="DB394" t="s">
        <v>198</v>
      </c>
      <c r="DC394">
        <v>0</v>
      </c>
      <c r="DD394">
        <v>0</v>
      </c>
      <c r="DE394">
        <v>0</v>
      </c>
      <c r="DF394">
        <v>0</v>
      </c>
      <c r="DG394">
        <v>-35.3631166</v>
      </c>
      <c r="DH394">
        <v>149.1639735</v>
      </c>
      <c r="DI394" t="s">
        <v>360</v>
      </c>
      <c r="DJ394">
        <v>1.2</v>
      </c>
      <c r="DK394">
        <v>2</v>
      </c>
      <c r="DL394">
        <v>159.8</v>
      </c>
      <c r="DM394">
        <v>0</v>
      </c>
      <c r="DN394">
        <v>6</v>
      </c>
      <c r="DO394">
        <v>10</v>
      </c>
      <c r="DP394">
        <v>0</v>
      </c>
      <c r="DQ394">
        <v>255</v>
      </c>
      <c r="DR394">
        <v>255</v>
      </c>
      <c r="DS394">
        <v>255</v>
      </c>
      <c r="DT394">
        <v>255</v>
      </c>
      <c r="DU394">
        <v>255</v>
      </c>
      <c r="DV394">
        <v>255</v>
      </c>
      <c r="DW394">
        <v>255</v>
      </c>
      <c r="DX394" t="s">
        <v>206</v>
      </c>
      <c r="DY394" t="s">
        <v>206</v>
      </c>
      <c r="DZ394" t="s">
        <v>207</v>
      </c>
      <c r="EA394" t="s">
        <v>198</v>
      </c>
      <c r="EB394" t="s">
        <v>198</v>
      </c>
      <c r="EC394" t="s">
        <v>198</v>
      </c>
      <c r="ED394">
        <v>0</v>
      </c>
      <c r="EE394">
        <v>0</v>
      </c>
      <c r="EF394">
        <v>0</v>
      </c>
      <c r="EG394">
        <v>0</v>
      </c>
      <c r="EH394">
        <v>255</v>
      </c>
      <c r="EI394">
        <v>255</v>
      </c>
      <c r="EJ394">
        <v>255</v>
      </c>
      <c r="EK394">
        <v>255</v>
      </c>
      <c r="EL394">
        <v>255</v>
      </c>
      <c r="EM394">
        <v>255</v>
      </c>
      <c r="EN394">
        <v>255</v>
      </c>
      <c r="EO394">
        <v>255</v>
      </c>
      <c r="EP394">
        <v>255</v>
      </c>
      <c r="EQ394">
        <v>255</v>
      </c>
      <c r="ER394" t="s">
        <v>208</v>
      </c>
      <c r="ES394" t="s">
        <v>209</v>
      </c>
      <c r="ET394" t="s">
        <v>209</v>
      </c>
      <c r="EU394">
        <v>0</v>
      </c>
      <c r="EV394">
        <v>16.2</v>
      </c>
      <c r="EW394">
        <v>-114.7</v>
      </c>
      <c r="EX394">
        <v>-0.2</v>
      </c>
      <c r="EY394">
        <v>0</v>
      </c>
      <c r="EZ394">
        <v>0</v>
      </c>
      <c r="FA394">
        <v>0</v>
      </c>
      <c r="FB394" t="s">
        <v>198</v>
      </c>
      <c r="FC394" t="s">
        <v>198</v>
      </c>
      <c r="FD394" t="s">
        <v>198</v>
      </c>
      <c r="FE394" t="s">
        <v>198</v>
      </c>
      <c r="FF394" t="s">
        <v>198</v>
      </c>
      <c r="FG394" t="s">
        <v>198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 t="s">
        <v>203</v>
      </c>
      <c r="FP394" t="s">
        <v>203</v>
      </c>
      <c r="FQ394" t="s">
        <v>203</v>
      </c>
      <c r="FR394" t="s">
        <v>203</v>
      </c>
      <c r="FS394" t="s">
        <v>203</v>
      </c>
      <c r="FT394" t="s">
        <v>203</v>
      </c>
      <c r="FU394" t="s">
        <v>198</v>
      </c>
      <c r="FV394" t="s">
        <v>198</v>
      </c>
      <c r="FW394" t="s">
        <v>198</v>
      </c>
      <c r="FX394" t="s">
        <v>198</v>
      </c>
      <c r="FY394" t="s">
        <v>198</v>
      </c>
      <c r="FZ394" t="s">
        <v>198</v>
      </c>
      <c r="GA394">
        <v>31.2</v>
      </c>
      <c r="GB394">
        <v>31.2</v>
      </c>
      <c r="GC394" t="s">
        <v>203</v>
      </c>
      <c r="GD394">
        <v>0</v>
      </c>
      <c r="GE394">
        <v>504</v>
      </c>
      <c r="GF394">
        <v>0</v>
      </c>
      <c r="GG394">
        <v>0</v>
      </c>
      <c r="GH394">
        <v>0</v>
      </c>
      <c r="GI394">
        <v>1</v>
      </c>
      <c r="GJ394">
        <v>1</v>
      </c>
      <c r="GK394">
        <v>0</v>
      </c>
      <c r="GL394" t="s">
        <v>198</v>
      </c>
      <c r="GM394" t="s">
        <v>198</v>
      </c>
      <c r="GN394" t="s">
        <v>198</v>
      </c>
    </row>
    <row r="395" spans="1:196">
      <c r="A395" s="19">
        <v>46316.90845303241</v>
      </c>
      <c r="B395">
        <v>0</v>
      </c>
      <c r="C395">
        <v>0</v>
      </c>
      <c r="D395">
        <v>277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584.2</v>
      </c>
      <c r="N395">
        <v>-0.5</v>
      </c>
      <c r="O395">
        <v>0</v>
      </c>
      <c r="P395">
        <v>0</v>
      </c>
      <c r="Q395">
        <v>0</v>
      </c>
      <c r="R395">
        <v>0</v>
      </c>
      <c r="S395">
        <v>115.6</v>
      </c>
      <c r="T395" t="s">
        <v>485</v>
      </c>
      <c r="U395">
        <v>115.7</v>
      </c>
      <c r="V395">
        <v>1762727256586.8</v>
      </c>
      <c r="W395">
        <v>1</v>
      </c>
      <c r="X395" t="s">
        <v>197</v>
      </c>
      <c r="Y395">
        <v>0</v>
      </c>
      <c r="Z395">
        <v>98</v>
      </c>
      <c r="AA395">
        <v>278</v>
      </c>
      <c r="AB395" t="s">
        <v>197</v>
      </c>
      <c r="AC395" t="s">
        <v>198</v>
      </c>
      <c r="AD395" t="s">
        <v>199</v>
      </c>
      <c r="AE395">
        <v>0</v>
      </c>
      <c r="AF395">
        <v>45</v>
      </c>
      <c r="AG395">
        <v>255</v>
      </c>
      <c r="AH395">
        <v>0</v>
      </c>
      <c r="AI395">
        <v>0</v>
      </c>
      <c r="AJ395">
        <v>0</v>
      </c>
      <c r="AK395">
        <v>12.6</v>
      </c>
      <c r="AL395">
        <v>0</v>
      </c>
      <c r="AM395">
        <v>0</v>
      </c>
      <c r="AN395" t="s">
        <v>197</v>
      </c>
      <c r="AO395">
        <v>100</v>
      </c>
      <c r="AP395" t="s">
        <v>197</v>
      </c>
      <c r="AQ395" t="s">
        <v>200</v>
      </c>
      <c r="AR395">
        <v>1</v>
      </c>
      <c r="AS395">
        <v>0</v>
      </c>
      <c r="AT395" t="s">
        <v>741</v>
      </c>
      <c r="AU395" t="s">
        <v>741</v>
      </c>
      <c r="AV395" t="s">
        <v>202</v>
      </c>
      <c r="AW395" t="s">
        <v>203</v>
      </c>
      <c r="AX395" t="s">
        <v>203</v>
      </c>
      <c r="AY395" t="s">
        <v>203</v>
      </c>
      <c r="AZ395" t="s">
        <v>203</v>
      </c>
      <c r="BA395" t="s">
        <v>203</v>
      </c>
      <c r="BB395" t="s">
        <v>203</v>
      </c>
      <c r="BC395" t="s">
        <v>203</v>
      </c>
      <c r="BD395" t="s">
        <v>203</v>
      </c>
      <c r="BE395" t="s">
        <v>203</v>
      </c>
      <c r="BF395">
        <v>0</v>
      </c>
      <c r="BG395">
        <v>0.2</v>
      </c>
      <c r="BH395">
        <v>50</v>
      </c>
      <c r="BI395">
        <v>0</v>
      </c>
      <c r="BJ395" t="s">
        <v>198</v>
      </c>
      <c r="BK395" t="s">
        <v>198</v>
      </c>
      <c r="BL395" t="s">
        <v>198</v>
      </c>
      <c r="BM395" t="s">
        <v>198</v>
      </c>
      <c r="BN395" t="s">
        <v>198</v>
      </c>
      <c r="BO395" t="s">
        <v>198</v>
      </c>
      <c r="BP395" t="s">
        <v>198</v>
      </c>
      <c r="BQ395" t="s">
        <v>198</v>
      </c>
      <c r="BR395" t="s">
        <v>198</v>
      </c>
      <c r="BS395" t="s">
        <v>198</v>
      </c>
      <c r="BT395" t="s">
        <v>198</v>
      </c>
      <c r="BU395" t="s">
        <v>198</v>
      </c>
      <c r="BV395" t="s">
        <v>198</v>
      </c>
      <c r="BW395" t="s">
        <v>198</v>
      </c>
      <c r="BX395" t="s">
        <v>198</v>
      </c>
      <c r="BY395" t="s">
        <v>198</v>
      </c>
      <c r="BZ395" t="s">
        <v>198</v>
      </c>
      <c r="CA395" t="s">
        <v>198</v>
      </c>
      <c r="CB395" t="s">
        <v>204</v>
      </c>
      <c r="CC395" t="s">
        <v>204</v>
      </c>
      <c r="CD395" t="s">
        <v>204</v>
      </c>
      <c r="CE395" t="s">
        <v>204</v>
      </c>
      <c r="CF395" t="s">
        <v>204</v>
      </c>
      <c r="CG395" t="s">
        <v>204</v>
      </c>
      <c r="CH395" t="s">
        <v>204</v>
      </c>
      <c r="CI395" t="s">
        <v>204</v>
      </c>
      <c r="CJ395" t="s">
        <v>204</v>
      </c>
      <c r="CK395" t="s">
        <v>204</v>
      </c>
      <c r="CL395" t="s">
        <v>204</v>
      </c>
      <c r="CM395" t="s">
        <v>204</v>
      </c>
      <c r="CN395" t="s">
        <v>203</v>
      </c>
      <c r="CO395" t="s">
        <v>203</v>
      </c>
      <c r="CP395" t="s">
        <v>203</v>
      </c>
      <c r="CQ395" t="s">
        <v>203</v>
      </c>
      <c r="CR395" t="s">
        <v>203</v>
      </c>
      <c r="CS395" t="s">
        <v>203</v>
      </c>
      <c r="CT395" t="s">
        <v>203</v>
      </c>
      <c r="CU395" t="s">
        <v>203</v>
      </c>
      <c r="CV395">
        <v>0</v>
      </c>
      <c r="CW395">
        <v>0</v>
      </c>
      <c r="CX395" t="s">
        <v>198</v>
      </c>
      <c r="CY395" t="s">
        <v>198</v>
      </c>
      <c r="CZ395" t="s">
        <v>198</v>
      </c>
      <c r="DA395" t="s">
        <v>198</v>
      </c>
      <c r="DB395" t="s">
        <v>198</v>
      </c>
      <c r="DC395">
        <v>0</v>
      </c>
      <c r="DD395">
        <v>0</v>
      </c>
      <c r="DE395">
        <v>0</v>
      </c>
      <c r="DF395">
        <v>0</v>
      </c>
      <c r="DG395">
        <v>-35.3631166</v>
      </c>
      <c r="DH395">
        <v>149.1639735</v>
      </c>
      <c r="DI395" t="s">
        <v>360</v>
      </c>
      <c r="DJ395">
        <v>1.2</v>
      </c>
      <c r="DK395">
        <v>2</v>
      </c>
      <c r="DL395">
        <v>159.8</v>
      </c>
      <c r="DM395">
        <v>0</v>
      </c>
      <c r="DN395">
        <v>6</v>
      </c>
      <c r="DO395">
        <v>10</v>
      </c>
      <c r="DP395">
        <v>0</v>
      </c>
      <c r="DQ395">
        <v>255</v>
      </c>
      <c r="DR395">
        <v>255</v>
      </c>
      <c r="DS395">
        <v>255</v>
      </c>
      <c r="DT395">
        <v>255</v>
      </c>
      <c r="DU395">
        <v>255</v>
      </c>
      <c r="DV395">
        <v>255</v>
      </c>
      <c r="DW395">
        <v>255</v>
      </c>
      <c r="DX395" t="s">
        <v>206</v>
      </c>
      <c r="DY395" t="s">
        <v>206</v>
      </c>
      <c r="DZ395" t="s">
        <v>207</v>
      </c>
      <c r="EA395" t="s">
        <v>198</v>
      </c>
      <c r="EB395" t="s">
        <v>198</v>
      </c>
      <c r="EC395" t="s">
        <v>198</v>
      </c>
      <c r="ED395">
        <v>0</v>
      </c>
      <c r="EE395">
        <v>0</v>
      </c>
      <c r="EF395">
        <v>0</v>
      </c>
      <c r="EG395">
        <v>0</v>
      </c>
      <c r="EH395">
        <v>255</v>
      </c>
      <c r="EI395">
        <v>255</v>
      </c>
      <c r="EJ395">
        <v>255</v>
      </c>
      <c r="EK395">
        <v>255</v>
      </c>
      <c r="EL395">
        <v>255</v>
      </c>
      <c r="EM395">
        <v>255</v>
      </c>
      <c r="EN395">
        <v>255</v>
      </c>
      <c r="EO395">
        <v>255</v>
      </c>
      <c r="EP395">
        <v>255</v>
      </c>
      <c r="EQ395">
        <v>255</v>
      </c>
      <c r="ER395" t="s">
        <v>208</v>
      </c>
      <c r="ES395" t="s">
        <v>209</v>
      </c>
      <c r="ET395" t="s">
        <v>209</v>
      </c>
      <c r="EU395">
        <v>0</v>
      </c>
      <c r="EV395">
        <v>16.2</v>
      </c>
      <c r="EW395">
        <v>-114.7</v>
      </c>
      <c r="EX395">
        <v>-0.2</v>
      </c>
      <c r="EY395">
        <v>0</v>
      </c>
      <c r="EZ395">
        <v>0</v>
      </c>
      <c r="FA395">
        <v>0</v>
      </c>
      <c r="FB395" t="s">
        <v>198</v>
      </c>
      <c r="FC395" t="s">
        <v>198</v>
      </c>
      <c r="FD395" t="s">
        <v>198</v>
      </c>
      <c r="FE395" t="s">
        <v>198</v>
      </c>
      <c r="FF395" t="s">
        <v>198</v>
      </c>
      <c r="FG395" t="s">
        <v>198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 t="s">
        <v>203</v>
      </c>
      <c r="FP395" t="s">
        <v>203</v>
      </c>
      <c r="FQ395" t="s">
        <v>203</v>
      </c>
      <c r="FR395" t="s">
        <v>203</v>
      </c>
      <c r="FS395" t="s">
        <v>203</v>
      </c>
      <c r="FT395" t="s">
        <v>203</v>
      </c>
      <c r="FU395" t="s">
        <v>198</v>
      </c>
      <c r="FV395" t="s">
        <v>198</v>
      </c>
      <c r="FW395" t="s">
        <v>198</v>
      </c>
      <c r="FX395" t="s">
        <v>198</v>
      </c>
      <c r="FY395" t="s">
        <v>198</v>
      </c>
      <c r="FZ395" t="s">
        <v>198</v>
      </c>
      <c r="GA395">
        <v>31.2</v>
      </c>
      <c r="GB395">
        <v>31.2</v>
      </c>
      <c r="GC395" t="s">
        <v>203</v>
      </c>
      <c r="GD395">
        <v>0</v>
      </c>
      <c r="GE395">
        <v>504</v>
      </c>
      <c r="GF395">
        <v>0</v>
      </c>
      <c r="GG395">
        <v>0</v>
      </c>
      <c r="GH395">
        <v>0</v>
      </c>
      <c r="GI395">
        <v>1</v>
      </c>
      <c r="GJ395">
        <v>1</v>
      </c>
      <c r="GK395">
        <v>0</v>
      </c>
      <c r="GL395" t="s">
        <v>198</v>
      </c>
      <c r="GM395" t="s">
        <v>198</v>
      </c>
      <c r="GN395" t="s">
        <v>198</v>
      </c>
    </row>
    <row r="396" spans="1:196">
      <c r="A396" s="19">
        <v>46316.90846461806</v>
      </c>
      <c r="B396">
        <v>0</v>
      </c>
      <c r="C396">
        <v>0</v>
      </c>
      <c r="D396">
        <v>277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584.2</v>
      </c>
      <c r="N396">
        <v>-0.5</v>
      </c>
      <c r="O396">
        <v>0</v>
      </c>
      <c r="P396">
        <v>0</v>
      </c>
      <c r="Q396">
        <v>0</v>
      </c>
      <c r="R396">
        <v>0</v>
      </c>
      <c r="S396">
        <v>115.6</v>
      </c>
      <c r="T396" t="s">
        <v>485</v>
      </c>
      <c r="U396">
        <v>115.7</v>
      </c>
      <c r="V396">
        <v>1762727256586.8</v>
      </c>
      <c r="W396">
        <v>1</v>
      </c>
      <c r="X396" t="s">
        <v>197</v>
      </c>
      <c r="Y396">
        <v>0</v>
      </c>
      <c r="Z396">
        <v>98</v>
      </c>
      <c r="AA396">
        <v>278</v>
      </c>
      <c r="AB396" t="s">
        <v>197</v>
      </c>
      <c r="AC396" t="s">
        <v>198</v>
      </c>
      <c r="AD396" t="s">
        <v>199</v>
      </c>
      <c r="AE396">
        <v>0</v>
      </c>
      <c r="AF396">
        <v>45</v>
      </c>
      <c r="AG396">
        <v>255</v>
      </c>
      <c r="AH396">
        <v>0</v>
      </c>
      <c r="AI396">
        <v>0</v>
      </c>
      <c r="AJ396">
        <v>0</v>
      </c>
      <c r="AK396">
        <v>12.6</v>
      </c>
      <c r="AL396">
        <v>0</v>
      </c>
      <c r="AM396">
        <v>0</v>
      </c>
      <c r="AN396" t="s">
        <v>197</v>
      </c>
      <c r="AO396">
        <v>100</v>
      </c>
      <c r="AP396" t="s">
        <v>197</v>
      </c>
      <c r="AQ396" t="s">
        <v>200</v>
      </c>
      <c r="AR396">
        <v>1</v>
      </c>
      <c r="AS396">
        <v>0</v>
      </c>
      <c r="AT396" t="s">
        <v>742</v>
      </c>
      <c r="AU396" t="s">
        <v>742</v>
      </c>
      <c r="AV396" t="s">
        <v>202</v>
      </c>
      <c r="AW396" t="s">
        <v>203</v>
      </c>
      <c r="AX396" t="s">
        <v>203</v>
      </c>
      <c r="AY396" t="s">
        <v>203</v>
      </c>
      <c r="AZ396" t="s">
        <v>203</v>
      </c>
      <c r="BA396" t="s">
        <v>203</v>
      </c>
      <c r="BB396" t="s">
        <v>203</v>
      </c>
      <c r="BC396" t="s">
        <v>203</v>
      </c>
      <c r="BD396" t="s">
        <v>203</v>
      </c>
      <c r="BE396" t="s">
        <v>203</v>
      </c>
      <c r="BF396">
        <v>0</v>
      </c>
      <c r="BG396">
        <v>0.2</v>
      </c>
      <c r="BH396">
        <v>50</v>
      </c>
      <c r="BI396">
        <v>0</v>
      </c>
      <c r="BJ396" t="s">
        <v>198</v>
      </c>
      <c r="BK396" t="s">
        <v>198</v>
      </c>
      <c r="BL396" t="s">
        <v>198</v>
      </c>
      <c r="BM396" t="s">
        <v>198</v>
      </c>
      <c r="BN396" t="s">
        <v>198</v>
      </c>
      <c r="BO396" t="s">
        <v>198</v>
      </c>
      <c r="BP396" t="s">
        <v>198</v>
      </c>
      <c r="BQ396" t="s">
        <v>198</v>
      </c>
      <c r="BR396" t="s">
        <v>198</v>
      </c>
      <c r="BS396" t="s">
        <v>198</v>
      </c>
      <c r="BT396" t="s">
        <v>198</v>
      </c>
      <c r="BU396" t="s">
        <v>198</v>
      </c>
      <c r="BV396" t="s">
        <v>198</v>
      </c>
      <c r="BW396" t="s">
        <v>198</v>
      </c>
      <c r="BX396" t="s">
        <v>198</v>
      </c>
      <c r="BY396" t="s">
        <v>198</v>
      </c>
      <c r="BZ396" t="s">
        <v>198</v>
      </c>
      <c r="CA396" t="s">
        <v>198</v>
      </c>
      <c r="CB396" t="s">
        <v>204</v>
      </c>
      <c r="CC396" t="s">
        <v>204</v>
      </c>
      <c r="CD396" t="s">
        <v>204</v>
      </c>
      <c r="CE396" t="s">
        <v>204</v>
      </c>
      <c r="CF396" t="s">
        <v>204</v>
      </c>
      <c r="CG396" t="s">
        <v>204</v>
      </c>
      <c r="CH396" t="s">
        <v>204</v>
      </c>
      <c r="CI396" t="s">
        <v>204</v>
      </c>
      <c r="CJ396" t="s">
        <v>204</v>
      </c>
      <c r="CK396" t="s">
        <v>204</v>
      </c>
      <c r="CL396" t="s">
        <v>204</v>
      </c>
      <c r="CM396" t="s">
        <v>204</v>
      </c>
      <c r="CN396" t="s">
        <v>203</v>
      </c>
      <c r="CO396" t="s">
        <v>203</v>
      </c>
      <c r="CP396" t="s">
        <v>203</v>
      </c>
      <c r="CQ396" t="s">
        <v>203</v>
      </c>
      <c r="CR396" t="s">
        <v>203</v>
      </c>
      <c r="CS396" t="s">
        <v>203</v>
      </c>
      <c r="CT396" t="s">
        <v>203</v>
      </c>
      <c r="CU396" t="s">
        <v>203</v>
      </c>
      <c r="CV396">
        <v>0</v>
      </c>
      <c r="CW396">
        <v>0</v>
      </c>
      <c r="CX396" t="s">
        <v>198</v>
      </c>
      <c r="CY396" t="s">
        <v>198</v>
      </c>
      <c r="CZ396" t="s">
        <v>198</v>
      </c>
      <c r="DA396" t="s">
        <v>198</v>
      </c>
      <c r="DB396" t="s">
        <v>198</v>
      </c>
      <c r="DC396">
        <v>0</v>
      </c>
      <c r="DD396">
        <v>0</v>
      </c>
      <c r="DE396">
        <v>0</v>
      </c>
      <c r="DF396">
        <v>0</v>
      </c>
      <c r="DG396">
        <v>-35.3631166</v>
      </c>
      <c r="DH396">
        <v>149.1639735</v>
      </c>
      <c r="DI396" t="s">
        <v>360</v>
      </c>
      <c r="DJ396">
        <v>1.2</v>
      </c>
      <c r="DK396">
        <v>2</v>
      </c>
      <c r="DL396">
        <v>159.8</v>
      </c>
      <c r="DM396">
        <v>0</v>
      </c>
      <c r="DN396">
        <v>6</v>
      </c>
      <c r="DO396">
        <v>10</v>
      </c>
      <c r="DP396">
        <v>0</v>
      </c>
      <c r="DQ396">
        <v>255</v>
      </c>
      <c r="DR396">
        <v>255</v>
      </c>
      <c r="DS396">
        <v>255</v>
      </c>
      <c r="DT396">
        <v>255</v>
      </c>
      <c r="DU396">
        <v>255</v>
      </c>
      <c r="DV396">
        <v>255</v>
      </c>
      <c r="DW396">
        <v>255</v>
      </c>
      <c r="DX396" t="s">
        <v>206</v>
      </c>
      <c r="DY396" t="s">
        <v>206</v>
      </c>
      <c r="DZ396" t="s">
        <v>207</v>
      </c>
      <c r="EA396" t="s">
        <v>198</v>
      </c>
      <c r="EB396" t="s">
        <v>198</v>
      </c>
      <c r="EC396" t="s">
        <v>198</v>
      </c>
      <c r="ED396">
        <v>0</v>
      </c>
      <c r="EE396">
        <v>0</v>
      </c>
      <c r="EF396">
        <v>0</v>
      </c>
      <c r="EG396">
        <v>0</v>
      </c>
      <c r="EH396">
        <v>255</v>
      </c>
      <c r="EI396">
        <v>255</v>
      </c>
      <c r="EJ396">
        <v>255</v>
      </c>
      <c r="EK396">
        <v>255</v>
      </c>
      <c r="EL396">
        <v>255</v>
      </c>
      <c r="EM396">
        <v>255</v>
      </c>
      <c r="EN396">
        <v>255</v>
      </c>
      <c r="EO396">
        <v>255</v>
      </c>
      <c r="EP396">
        <v>255</v>
      </c>
      <c r="EQ396">
        <v>255</v>
      </c>
      <c r="ER396" t="s">
        <v>208</v>
      </c>
      <c r="ES396" t="s">
        <v>209</v>
      </c>
      <c r="ET396" t="s">
        <v>209</v>
      </c>
      <c r="EU396">
        <v>0</v>
      </c>
      <c r="EV396">
        <v>16.2</v>
      </c>
      <c r="EW396">
        <v>-114.7</v>
      </c>
      <c r="EX396">
        <v>-0.2</v>
      </c>
      <c r="EY396">
        <v>0</v>
      </c>
      <c r="EZ396">
        <v>0</v>
      </c>
      <c r="FA396">
        <v>0</v>
      </c>
      <c r="FB396" t="s">
        <v>198</v>
      </c>
      <c r="FC396" t="s">
        <v>198</v>
      </c>
      <c r="FD396" t="s">
        <v>198</v>
      </c>
      <c r="FE396" t="s">
        <v>198</v>
      </c>
      <c r="FF396" t="s">
        <v>198</v>
      </c>
      <c r="FG396" t="s">
        <v>198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 t="s">
        <v>203</v>
      </c>
      <c r="FP396" t="s">
        <v>203</v>
      </c>
      <c r="FQ396" t="s">
        <v>203</v>
      </c>
      <c r="FR396" t="s">
        <v>203</v>
      </c>
      <c r="FS396" t="s">
        <v>203</v>
      </c>
      <c r="FT396" t="s">
        <v>203</v>
      </c>
      <c r="FU396" t="s">
        <v>198</v>
      </c>
      <c r="FV396" t="s">
        <v>198</v>
      </c>
      <c r="FW396" t="s">
        <v>198</v>
      </c>
      <c r="FX396" t="s">
        <v>198</v>
      </c>
      <c r="FY396" t="s">
        <v>198</v>
      </c>
      <c r="FZ396" t="s">
        <v>198</v>
      </c>
      <c r="GA396">
        <v>31.2</v>
      </c>
      <c r="GB396">
        <v>31.2</v>
      </c>
      <c r="GC396" t="s">
        <v>203</v>
      </c>
      <c r="GD396">
        <v>0</v>
      </c>
      <c r="GE396">
        <v>504</v>
      </c>
      <c r="GF396">
        <v>0</v>
      </c>
      <c r="GG396">
        <v>0</v>
      </c>
      <c r="GH396">
        <v>0</v>
      </c>
      <c r="GI396">
        <v>1</v>
      </c>
      <c r="GJ396">
        <v>1</v>
      </c>
      <c r="GK396">
        <v>0</v>
      </c>
      <c r="GL396" t="s">
        <v>198</v>
      </c>
      <c r="GM396" t="s">
        <v>198</v>
      </c>
      <c r="GN396" t="s">
        <v>198</v>
      </c>
    </row>
    <row r="397" spans="1:196">
      <c r="A397" s="19">
        <v>46316.90847619213</v>
      </c>
      <c r="B397">
        <v>0</v>
      </c>
      <c r="C397">
        <v>0</v>
      </c>
      <c r="D397">
        <v>277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584.2</v>
      </c>
      <c r="N397">
        <v>-0.5</v>
      </c>
      <c r="O397">
        <v>0</v>
      </c>
      <c r="P397">
        <v>0</v>
      </c>
      <c r="Q397">
        <v>0</v>
      </c>
      <c r="R397">
        <v>0</v>
      </c>
      <c r="S397">
        <v>115.6</v>
      </c>
      <c r="T397" t="s">
        <v>485</v>
      </c>
      <c r="U397">
        <v>115.7</v>
      </c>
      <c r="V397">
        <v>1762727256586.8</v>
      </c>
      <c r="W397">
        <v>1</v>
      </c>
      <c r="X397" t="s">
        <v>197</v>
      </c>
      <c r="Y397">
        <v>0</v>
      </c>
      <c r="Z397">
        <v>98</v>
      </c>
      <c r="AA397">
        <v>278</v>
      </c>
      <c r="AB397" t="s">
        <v>197</v>
      </c>
      <c r="AC397" t="s">
        <v>198</v>
      </c>
      <c r="AD397" t="s">
        <v>199</v>
      </c>
      <c r="AE397">
        <v>0</v>
      </c>
      <c r="AF397">
        <v>45</v>
      </c>
      <c r="AG397">
        <v>255</v>
      </c>
      <c r="AH397">
        <v>0</v>
      </c>
      <c r="AI397">
        <v>0</v>
      </c>
      <c r="AJ397">
        <v>0</v>
      </c>
      <c r="AK397">
        <v>12.6</v>
      </c>
      <c r="AL397">
        <v>0</v>
      </c>
      <c r="AM397">
        <v>0</v>
      </c>
      <c r="AN397" t="s">
        <v>197</v>
      </c>
      <c r="AO397">
        <v>100</v>
      </c>
      <c r="AP397" t="s">
        <v>197</v>
      </c>
      <c r="AQ397" t="s">
        <v>200</v>
      </c>
      <c r="AR397">
        <v>1</v>
      </c>
      <c r="AS397">
        <v>0</v>
      </c>
      <c r="AT397" t="s">
        <v>743</v>
      </c>
      <c r="AU397" t="s">
        <v>743</v>
      </c>
      <c r="AV397" t="s">
        <v>202</v>
      </c>
      <c r="AW397" t="s">
        <v>203</v>
      </c>
      <c r="AX397" t="s">
        <v>203</v>
      </c>
      <c r="AY397" t="s">
        <v>203</v>
      </c>
      <c r="AZ397" t="s">
        <v>203</v>
      </c>
      <c r="BA397" t="s">
        <v>203</v>
      </c>
      <c r="BB397" t="s">
        <v>203</v>
      </c>
      <c r="BC397" t="s">
        <v>203</v>
      </c>
      <c r="BD397" t="s">
        <v>203</v>
      </c>
      <c r="BE397" t="s">
        <v>203</v>
      </c>
      <c r="BF397">
        <v>0</v>
      </c>
      <c r="BG397">
        <v>0.2</v>
      </c>
      <c r="BH397">
        <v>50</v>
      </c>
      <c r="BI397">
        <v>0</v>
      </c>
      <c r="BJ397" t="s">
        <v>198</v>
      </c>
      <c r="BK397" t="s">
        <v>198</v>
      </c>
      <c r="BL397" t="s">
        <v>198</v>
      </c>
      <c r="BM397" t="s">
        <v>198</v>
      </c>
      <c r="BN397" t="s">
        <v>198</v>
      </c>
      <c r="BO397" t="s">
        <v>198</v>
      </c>
      <c r="BP397" t="s">
        <v>198</v>
      </c>
      <c r="BQ397" t="s">
        <v>198</v>
      </c>
      <c r="BR397" t="s">
        <v>198</v>
      </c>
      <c r="BS397" t="s">
        <v>198</v>
      </c>
      <c r="BT397" t="s">
        <v>198</v>
      </c>
      <c r="BU397" t="s">
        <v>198</v>
      </c>
      <c r="BV397" t="s">
        <v>198</v>
      </c>
      <c r="BW397" t="s">
        <v>198</v>
      </c>
      <c r="BX397" t="s">
        <v>198</v>
      </c>
      <c r="BY397" t="s">
        <v>198</v>
      </c>
      <c r="BZ397" t="s">
        <v>198</v>
      </c>
      <c r="CA397" t="s">
        <v>198</v>
      </c>
      <c r="CB397" t="s">
        <v>204</v>
      </c>
      <c r="CC397" t="s">
        <v>204</v>
      </c>
      <c r="CD397" t="s">
        <v>204</v>
      </c>
      <c r="CE397" t="s">
        <v>204</v>
      </c>
      <c r="CF397" t="s">
        <v>204</v>
      </c>
      <c r="CG397" t="s">
        <v>204</v>
      </c>
      <c r="CH397" t="s">
        <v>204</v>
      </c>
      <c r="CI397" t="s">
        <v>204</v>
      </c>
      <c r="CJ397" t="s">
        <v>204</v>
      </c>
      <c r="CK397" t="s">
        <v>204</v>
      </c>
      <c r="CL397" t="s">
        <v>204</v>
      </c>
      <c r="CM397" t="s">
        <v>204</v>
      </c>
      <c r="CN397" t="s">
        <v>203</v>
      </c>
      <c r="CO397" t="s">
        <v>203</v>
      </c>
      <c r="CP397" t="s">
        <v>203</v>
      </c>
      <c r="CQ397" t="s">
        <v>203</v>
      </c>
      <c r="CR397" t="s">
        <v>203</v>
      </c>
      <c r="CS397" t="s">
        <v>203</v>
      </c>
      <c r="CT397" t="s">
        <v>203</v>
      </c>
      <c r="CU397" t="s">
        <v>203</v>
      </c>
      <c r="CV397">
        <v>0</v>
      </c>
      <c r="CW397">
        <v>0</v>
      </c>
      <c r="CX397" t="s">
        <v>198</v>
      </c>
      <c r="CY397" t="s">
        <v>198</v>
      </c>
      <c r="CZ397" t="s">
        <v>198</v>
      </c>
      <c r="DA397" t="s">
        <v>198</v>
      </c>
      <c r="DB397" t="s">
        <v>198</v>
      </c>
      <c r="DC397">
        <v>0</v>
      </c>
      <c r="DD397">
        <v>0</v>
      </c>
      <c r="DE397">
        <v>0</v>
      </c>
      <c r="DF397">
        <v>0</v>
      </c>
      <c r="DG397">
        <v>-35.3631166</v>
      </c>
      <c r="DH397">
        <v>149.1639735</v>
      </c>
      <c r="DI397" t="s">
        <v>360</v>
      </c>
      <c r="DJ397">
        <v>1.2</v>
      </c>
      <c r="DK397">
        <v>2</v>
      </c>
      <c r="DL397">
        <v>159.8</v>
      </c>
      <c r="DM397">
        <v>0</v>
      </c>
      <c r="DN397">
        <v>6</v>
      </c>
      <c r="DO397">
        <v>10</v>
      </c>
      <c r="DP397">
        <v>0</v>
      </c>
      <c r="DQ397">
        <v>255</v>
      </c>
      <c r="DR397">
        <v>255</v>
      </c>
      <c r="DS397">
        <v>255</v>
      </c>
      <c r="DT397">
        <v>255</v>
      </c>
      <c r="DU397">
        <v>255</v>
      </c>
      <c r="DV397">
        <v>255</v>
      </c>
      <c r="DW397">
        <v>255</v>
      </c>
      <c r="DX397" t="s">
        <v>206</v>
      </c>
      <c r="DY397" t="s">
        <v>206</v>
      </c>
      <c r="DZ397" t="s">
        <v>207</v>
      </c>
      <c r="EA397" t="s">
        <v>198</v>
      </c>
      <c r="EB397" t="s">
        <v>198</v>
      </c>
      <c r="EC397" t="s">
        <v>198</v>
      </c>
      <c r="ED397">
        <v>0</v>
      </c>
      <c r="EE397">
        <v>0</v>
      </c>
      <c r="EF397">
        <v>0</v>
      </c>
      <c r="EG397">
        <v>0</v>
      </c>
      <c r="EH397">
        <v>255</v>
      </c>
      <c r="EI397">
        <v>255</v>
      </c>
      <c r="EJ397">
        <v>255</v>
      </c>
      <c r="EK397">
        <v>255</v>
      </c>
      <c r="EL397">
        <v>255</v>
      </c>
      <c r="EM397">
        <v>255</v>
      </c>
      <c r="EN397">
        <v>255</v>
      </c>
      <c r="EO397">
        <v>255</v>
      </c>
      <c r="EP397">
        <v>255</v>
      </c>
      <c r="EQ397">
        <v>255</v>
      </c>
      <c r="ER397" t="s">
        <v>208</v>
      </c>
      <c r="ES397" t="s">
        <v>209</v>
      </c>
      <c r="ET397" t="s">
        <v>209</v>
      </c>
      <c r="EU397">
        <v>0</v>
      </c>
      <c r="EV397">
        <v>16.2</v>
      </c>
      <c r="EW397">
        <v>-114.7</v>
      </c>
      <c r="EX397">
        <v>-0.2</v>
      </c>
      <c r="EY397">
        <v>0</v>
      </c>
      <c r="EZ397">
        <v>0</v>
      </c>
      <c r="FA397">
        <v>0</v>
      </c>
      <c r="FB397" t="s">
        <v>198</v>
      </c>
      <c r="FC397" t="s">
        <v>198</v>
      </c>
      <c r="FD397" t="s">
        <v>198</v>
      </c>
      <c r="FE397" t="s">
        <v>198</v>
      </c>
      <c r="FF397" t="s">
        <v>198</v>
      </c>
      <c r="FG397" t="s">
        <v>198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 t="s">
        <v>203</v>
      </c>
      <c r="FP397" t="s">
        <v>203</v>
      </c>
      <c r="FQ397" t="s">
        <v>203</v>
      </c>
      <c r="FR397" t="s">
        <v>203</v>
      </c>
      <c r="FS397" t="s">
        <v>203</v>
      </c>
      <c r="FT397" t="s">
        <v>203</v>
      </c>
      <c r="FU397" t="s">
        <v>198</v>
      </c>
      <c r="FV397" t="s">
        <v>198</v>
      </c>
      <c r="FW397" t="s">
        <v>198</v>
      </c>
      <c r="FX397" t="s">
        <v>198</v>
      </c>
      <c r="FY397" t="s">
        <v>198</v>
      </c>
      <c r="FZ397" t="s">
        <v>198</v>
      </c>
      <c r="GA397">
        <v>31.2</v>
      </c>
      <c r="GB397">
        <v>31.2</v>
      </c>
      <c r="GC397" t="s">
        <v>203</v>
      </c>
      <c r="GD397">
        <v>0</v>
      </c>
      <c r="GE397">
        <v>504</v>
      </c>
      <c r="GF397">
        <v>0</v>
      </c>
      <c r="GG397">
        <v>0</v>
      </c>
      <c r="GH397">
        <v>0</v>
      </c>
      <c r="GI397">
        <v>1</v>
      </c>
      <c r="GJ397">
        <v>1</v>
      </c>
      <c r="GK397">
        <v>0</v>
      </c>
      <c r="GL397" t="s">
        <v>198</v>
      </c>
      <c r="GM397" t="s">
        <v>198</v>
      </c>
      <c r="GN397" t="s">
        <v>198</v>
      </c>
    </row>
    <row r="398" spans="1:196">
      <c r="A398" s="19">
        <v>46316.9084877662</v>
      </c>
      <c r="B398">
        <v>0</v>
      </c>
      <c r="C398">
        <v>0</v>
      </c>
      <c r="D398">
        <v>277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584.2</v>
      </c>
      <c r="N398">
        <v>-0.5</v>
      </c>
      <c r="O398">
        <v>0</v>
      </c>
      <c r="P398">
        <v>0</v>
      </c>
      <c r="Q398">
        <v>0</v>
      </c>
      <c r="R398">
        <v>0</v>
      </c>
      <c r="S398">
        <v>115.6</v>
      </c>
      <c r="T398" t="s">
        <v>485</v>
      </c>
      <c r="U398">
        <v>115.7</v>
      </c>
      <c r="V398">
        <v>1762727256586.8</v>
      </c>
      <c r="W398">
        <v>1</v>
      </c>
      <c r="X398" t="s">
        <v>197</v>
      </c>
      <c r="Y398">
        <v>0</v>
      </c>
      <c r="Z398">
        <v>98</v>
      </c>
      <c r="AA398">
        <v>278</v>
      </c>
      <c r="AB398" t="s">
        <v>197</v>
      </c>
      <c r="AC398" t="s">
        <v>198</v>
      </c>
      <c r="AD398" t="s">
        <v>199</v>
      </c>
      <c r="AE398">
        <v>0</v>
      </c>
      <c r="AF398">
        <v>45</v>
      </c>
      <c r="AG398">
        <v>255</v>
      </c>
      <c r="AH398">
        <v>0</v>
      </c>
      <c r="AI398">
        <v>0</v>
      </c>
      <c r="AJ398">
        <v>0</v>
      </c>
      <c r="AK398">
        <v>12.6</v>
      </c>
      <c r="AL398">
        <v>0</v>
      </c>
      <c r="AM398">
        <v>0</v>
      </c>
      <c r="AN398" t="s">
        <v>197</v>
      </c>
      <c r="AO398">
        <v>100</v>
      </c>
      <c r="AP398" t="s">
        <v>197</v>
      </c>
      <c r="AQ398" t="s">
        <v>200</v>
      </c>
      <c r="AR398">
        <v>1</v>
      </c>
      <c r="AS398">
        <v>0</v>
      </c>
      <c r="AT398" t="s">
        <v>744</v>
      </c>
      <c r="AU398" t="s">
        <v>744</v>
      </c>
      <c r="AV398" t="s">
        <v>202</v>
      </c>
      <c r="AW398" t="s">
        <v>203</v>
      </c>
      <c r="AX398" t="s">
        <v>203</v>
      </c>
      <c r="AY398" t="s">
        <v>203</v>
      </c>
      <c r="AZ398" t="s">
        <v>203</v>
      </c>
      <c r="BA398" t="s">
        <v>203</v>
      </c>
      <c r="BB398" t="s">
        <v>203</v>
      </c>
      <c r="BC398" t="s">
        <v>203</v>
      </c>
      <c r="BD398" t="s">
        <v>203</v>
      </c>
      <c r="BE398" t="s">
        <v>203</v>
      </c>
      <c r="BF398">
        <v>0</v>
      </c>
      <c r="BG398">
        <v>0.2</v>
      </c>
      <c r="BH398">
        <v>50</v>
      </c>
      <c r="BI398">
        <v>0</v>
      </c>
      <c r="BJ398" t="s">
        <v>198</v>
      </c>
      <c r="BK398" t="s">
        <v>198</v>
      </c>
      <c r="BL398" t="s">
        <v>198</v>
      </c>
      <c r="BM398" t="s">
        <v>198</v>
      </c>
      <c r="BN398" t="s">
        <v>198</v>
      </c>
      <c r="BO398" t="s">
        <v>198</v>
      </c>
      <c r="BP398" t="s">
        <v>198</v>
      </c>
      <c r="BQ398" t="s">
        <v>198</v>
      </c>
      <c r="BR398" t="s">
        <v>198</v>
      </c>
      <c r="BS398" t="s">
        <v>198</v>
      </c>
      <c r="BT398" t="s">
        <v>198</v>
      </c>
      <c r="BU398" t="s">
        <v>198</v>
      </c>
      <c r="BV398" t="s">
        <v>198</v>
      </c>
      <c r="BW398" t="s">
        <v>198</v>
      </c>
      <c r="BX398" t="s">
        <v>198</v>
      </c>
      <c r="BY398" t="s">
        <v>198</v>
      </c>
      <c r="BZ398" t="s">
        <v>198</v>
      </c>
      <c r="CA398" t="s">
        <v>198</v>
      </c>
      <c r="CB398" t="s">
        <v>204</v>
      </c>
      <c r="CC398" t="s">
        <v>204</v>
      </c>
      <c r="CD398" t="s">
        <v>204</v>
      </c>
      <c r="CE398" t="s">
        <v>204</v>
      </c>
      <c r="CF398" t="s">
        <v>204</v>
      </c>
      <c r="CG398" t="s">
        <v>204</v>
      </c>
      <c r="CH398" t="s">
        <v>204</v>
      </c>
      <c r="CI398" t="s">
        <v>204</v>
      </c>
      <c r="CJ398" t="s">
        <v>204</v>
      </c>
      <c r="CK398" t="s">
        <v>204</v>
      </c>
      <c r="CL398" t="s">
        <v>204</v>
      </c>
      <c r="CM398" t="s">
        <v>204</v>
      </c>
      <c r="CN398" t="s">
        <v>203</v>
      </c>
      <c r="CO398" t="s">
        <v>203</v>
      </c>
      <c r="CP398" t="s">
        <v>203</v>
      </c>
      <c r="CQ398" t="s">
        <v>203</v>
      </c>
      <c r="CR398" t="s">
        <v>203</v>
      </c>
      <c r="CS398" t="s">
        <v>203</v>
      </c>
      <c r="CT398" t="s">
        <v>203</v>
      </c>
      <c r="CU398" t="s">
        <v>203</v>
      </c>
      <c r="CV398">
        <v>0</v>
      </c>
      <c r="CW398">
        <v>0</v>
      </c>
      <c r="CX398" t="s">
        <v>198</v>
      </c>
      <c r="CY398" t="s">
        <v>198</v>
      </c>
      <c r="CZ398" t="s">
        <v>198</v>
      </c>
      <c r="DA398" t="s">
        <v>198</v>
      </c>
      <c r="DB398" t="s">
        <v>198</v>
      </c>
      <c r="DC398">
        <v>0</v>
      </c>
      <c r="DD398">
        <v>0</v>
      </c>
      <c r="DE398">
        <v>0</v>
      </c>
      <c r="DF398">
        <v>0</v>
      </c>
      <c r="DG398">
        <v>-35.3631166</v>
      </c>
      <c r="DH398">
        <v>149.1639735</v>
      </c>
      <c r="DI398" t="s">
        <v>360</v>
      </c>
      <c r="DJ398">
        <v>1.2</v>
      </c>
      <c r="DK398">
        <v>2</v>
      </c>
      <c r="DL398">
        <v>159.8</v>
      </c>
      <c r="DM398">
        <v>0</v>
      </c>
      <c r="DN398">
        <v>6</v>
      </c>
      <c r="DO398">
        <v>10</v>
      </c>
      <c r="DP398">
        <v>0</v>
      </c>
      <c r="DQ398">
        <v>255</v>
      </c>
      <c r="DR398">
        <v>255</v>
      </c>
      <c r="DS398">
        <v>255</v>
      </c>
      <c r="DT398">
        <v>255</v>
      </c>
      <c r="DU398">
        <v>255</v>
      </c>
      <c r="DV398">
        <v>255</v>
      </c>
      <c r="DW398">
        <v>255</v>
      </c>
      <c r="DX398" t="s">
        <v>206</v>
      </c>
      <c r="DY398" t="s">
        <v>206</v>
      </c>
      <c r="DZ398" t="s">
        <v>207</v>
      </c>
      <c r="EA398" t="s">
        <v>198</v>
      </c>
      <c r="EB398" t="s">
        <v>198</v>
      </c>
      <c r="EC398" t="s">
        <v>198</v>
      </c>
      <c r="ED398">
        <v>0</v>
      </c>
      <c r="EE398">
        <v>0</v>
      </c>
      <c r="EF398">
        <v>0</v>
      </c>
      <c r="EG398">
        <v>0</v>
      </c>
      <c r="EH398">
        <v>255</v>
      </c>
      <c r="EI398">
        <v>255</v>
      </c>
      <c r="EJ398">
        <v>255</v>
      </c>
      <c r="EK398">
        <v>255</v>
      </c>
      <c r="EL398">
        <v>255</v>
      </c>
      <c r="EM398">
        <v>255</v>
      </c>
      <c r="EN398">
        <v>255</v>
      </c>
      <c r="EO398">
        <v>255</v>
      </c>
      <c r="EP398">
        <v>255</v>
      </c>
      <c r="EQ398">
        <v>255</v>
      </c>
      <c r="ER398" t="s">
        <v>208</v>
      </c>
      <c r="ES398" t="s">
        <v>209</v>
      </c>
      <c r="ET398" t="s">
        <v>209</v>
      </c>
      <c r="EU398">
        <v>0</v>
      </c>
      <c r="EV398">
        <v>16.2</v>
      </c>
      <c r="EW398">
        <v>-114.7</v>
      </c>
      <c r="EX398">
        <v>-0.2</v>
      </c>
      <c r="EY398">
        <v>0</v>
      </c>
      <c r="EZ398">
        <v>0</v>
      </c>
      <c r="FA398">
        <v>0</v>
      </c>
      <c r="FB398" t="s">
        <v>198</v>
      </c>
      <c r="FC398" t="s">
        <v>198</v>
      </c>
      <c r="FD398" t="s">
        <v>198</v>
      </c>
      <c r="FE398" t="s">
        <v>198</v>
      </c>
      <c r="FF398" t="s">
        <v>198</v>
      </c>
      <c r="FG398" t="s">
        <v>198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 t="s">
        <v>203</v>
      </c>
      <c r="FP398" t="s">
        <v>203</v>
      </c>
      <c r="FQ398" t="s">
        <v>203</v>
      </c>
      <c r="FR398" t="s">
        <v>203</v>
      </c>
      <c r="FS398" t="s">
        <v>203</v>
      </c>
      <c r="FT398" t="s">
        <v>203</v>
      </c>
      <c r="FU398" t="s">
        <v>198</v>
      </c>
      <c r="FV398" t="s">
        <v>198</v>
      </c>
      <c r="FW398" t="s">
        <v>198</v>
      </c>
      <c r="FX398" t="s">
        <v>198</v>
      </c>
      <c r="FY398" t="s">
        <v>198</v>
      </c>
      <c r="FZ398" t="s">
        <v>198</v>
      </c>
      <c r="GA398">
        <v>31.2</v>
      </c>
      <c r="GB398">
        <v>31.2</v>
      </c>
      <c r="GC398" t="s">
        <v>203</v>
      </c>
      <c r="GD398">
        <v>0</v>
      </c>
      <c r="GE398">
        <v>504</v>
      </c>
      <c r="GF398">
        <v>0</v>
      </c>
      <c r="GG398">
        <v>0</v>
      </c>
      <c r="GH398">
        <v>0</v>
      </c>
      <c r="GI398">
        <v>1</v>
      </c>
      <c r="GJ398">
        <v>1</v>
      </c>
      <c r="GK398">
        <v>0</v>
      </c>
      <c r="GL398" t="s">
        <v>198</v>
      </c>
      <c r="GM398" t="s">
        <v>198</v>
      </c>
      <c r="GN398" t="s">
        <v>198</v>
      </c>
    </row>
    <row r="399" spans="1:196">
      <c r="A399" s="19">
        <v>46316.9084993287</v>
      </c>
      <c r="B399">
        <v>0</v>
      </c>
      <c r="C399">
        <v>0</v>
      </c>
      <c r="D399">
        <v>277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584.2</v>
      </c>
      <c r="N399">
        <v>-0.5</v>
      </c>
      <c r="O399">
        <v>0</v>
      </c>
      <c r="P399">
        <v>0</v>
      </c>
      <c r="Q399">
        <v>0</v>
      </c>
      <c r="R399">
        <v>0</v>
      </c>
      <c r="S399">
        <v>115.6</v>
      </c>
      <c r="T399" t="s">
        <v>485</v>
      </c>
      <c r="U399">
        <v>115.7</v>
      </c>
      <c r="V399">
        <v>1762727256586.8</v>
      </c>
      <c r="W399">
        <v>1</v>
      </c>
      <c r="X399" t="s">
        <v>197</v>
      </c>
      <c r="Y399">
        <v>0</v>
      </c>
      <c r="Z399">
        <v>98</v>
      </c>
      <c r="AA399">
        <v>278</v>
      </c>
      <c r="AB399" t="s">
        <v>197</v>
      </c>
      <c r="AC399" t="s">
        <v>198</v>
      </c>
      <c r="AD399" t="s">
        <v>199</v>
      </c>
      <c r="AE399">
        <v>0</v>
      </c>
      <c r="AF399">
        <v>45</v>
      </c>
      <c r="AG399">
        <v>255</v>
      </c>
      <c r="AH399">
        <v>0</v>
      </c>
      <c r="AI399">
        <v>0</v>
      </c>
      <c r="AJ399">
        <v>0</v>
      </c>
      <c r="AK399">
        <v>12.6</v>
      </c>
      <c r="AL399">
        <v>0</v>
      </c>
      <c r="AM399">
        <v>0</v>
      </c>
      <c r="AN399" t="s">
        <v>197</v>
      </c>
      <c r="AO399">
        <v>100</v>
      </c>
      <c r="AP399" t="s">
        <v>197</v>
      </c>
      <c r="AQ399" t="s">
        <v>200</v>
      </c>
      <c r="AR399">
        <v>1</v>
      </c>
      <c r="AS399">
        <v>0</v>
      </c>
      <c r="AT399" t="s">
        <v>745</v>
      </c>
      <c r="AU399" t="s">
        <v>745</v>
      </c>
      <c r="AV399" t="s">
        <v>202</v>
      </c>
      <c r="AW399" t="s">
        <v>203</v>
      </c>
      <c r="AX399" t="s">
        <v>203</v>
      </c>
      <c r="AY399" t="s">
        <v>203</v>
      </c>
      <c r="AZ399" t="s">
        <v>203</v>
      </c>
      <c r="BA399" t="s">
        <v>203</v>
      </c>
      <c r="BB399" t="s">
        <v>203</v>
      </c>
      <c r="BC399" t="s">
        <v>203</v>
      </c>
      <c r="BD399" t="s">
        <v>203</v>
      </c>
      <c r="BE399" t="s">
        <v>203</v>
      </c>
      <c r="BF399">
        <v>0</v>
      </c>
      <c r="BG399">
        <v>0.2</v>
      </c>
      <c r="BH399">
        <v>50</v>
      </c>
      <c r="BI399">
        <v>0</v>
      </c>
      <c r="BJ399" t="s">
        <v>198</v>
      </c>
      <c r="BK399" t="s">
        <v>198</v>
      </c>
      <c r="BL399" t="s">
        <v>198</v>
      </c>
      <c r="BM399" t="s">
        <v>198</v>
      </c>
      <c r="BN399" t="s">
        <v>198</v>
      </c>
      <c r="BO399" t="s">
        <v>198</v>
      </c>
      <c r="BP399" t="s">
        <v>198</v>
      </c>
      <c r="BQ399" t="s">
        <v>198</v>
      </c>
      <c r="BR399" t="s">
        <v>198</v>
      </c>
      <c r="BS399" t="s">
        <v>198</v>
      </c>
      <c r="BT399" t="s">
        <v>198</v>
      </c>
      <c r="BU399" t="s">
        <v>198</v>
      </c>
      <c r="BV399" t="s">
        <v>198</v>
      </c>
      <c r="BW399" t="s">
        <v>198</v>
      </c>
      <c r="BX399" t="s">
        <v>198</v>
      </c>
      <c r="BY399" t="s">
        <v>198</v>
      </c>
      <c r="BZ399" t="s">
        <v>198</v>
      </c>
      <c r="CA399" t="s">
        <v>198</v>
      </c>
      <c r="CB399" t="s">
        <v>204</v>
      </c>
      <c r="CC399" t="s">
        <v>204</v>
      </c>
      <c r="CD399" t="s">
        <v>204</v>
      </c>
      <c r="CE399" t="s">
        <v>204</v>
      </c>
      <c r="CF399" t="s">
        <v>204</v>
      </c>
      <c r="CG399" t="s">
        <v>204</v>
      </c>
      <c r="CH399" t="s">
        <v>204</v>
      </c>
      <c r="CI399" t="s">
        <v>204</v>
      </c>
      <c r="CJ399" t="s">
        <v>204</v>
      </c>
      <c r="CK399" t="s">
        <v>204</v>
      </c>
      <c r="CL399" t="s">
        <v>204</v>
      </c>
      <c r="CM399" t="s">
        <v>204</v>
      </c>
      <c r="CN399" t="s">
        <v>203</v>
      </c>
      <c r="CO399" t="s">
        <v>203</v>
      </c>
      <c r="CP399" t="s">
        <v>203</v>
      </c>
      <c r="CQ399" t="s">
        <v>203</v>
      </c>
      <c r="CR399" t="s">
        <v>203</v>
      </c>
      <c r="CS399" t="s">
        <v>203</v>
      </c>
      <c r="CT399" t="s">
        <v>203</v>
      </c>
      <c r="CU399" t="s">
        <v>203</v>
      </c>
      <c r="CV399">
        <v>0</v>
      </c>
      <c r="CW399">
        <v>0</v>
      </c>
      <c r="CX399" t="s">
        <v>198</v>
      </c>
      <c r="CY399" t="s">
        <v>198</v>
      </c>
      <c r="CZ399" t="s">
        <v>198</v>
      </c>
      <c r="DA399" t="s">
        <v>198</v>
      </c>
      <c r="DB399" t="s">
        <v>198</v>
      </c>
      <c r="DC399">
        <v>0</v>
      </c>
      <c r="DD399">
        <v>0</v>
      </c>
      <c r="DE399">
        <v>0</v>
      </c>
      <c r="DF399">
        <v>0</v>
      </c>
      <c r="DG399">
        <v>-35.3631166</v>
      </c>
      <c r="DH399">
        <v>149.1639735</v>
      </c>
      <c r="DI399" t="s">
        <v>360</v>
      </c>
      <c r="DJ399">
        <v>1.2</v>
      </c>
      <c r="DK399">
        <v>2</v>
      </c>
      <c r="DL399">
        <v>159.8</v>
      </c>
      <c r="DM399">
        <v>0</v>
      </c>
      <c r="DN399">
        <v>6</v>
      </c>
      <c r="DO399">
        <v>10</v>
      </c>
      <c r="DP399">
        <v>0</v>
      </c>
      <c r="DQ399">
        <v>255</v>
      </c>
      <c r="DR399">
        <v>255</v>
      </c>
      <c r="DS399">
        <v>255</v>
      </c>
      <c r="DT399">
        <v>255</v>
      </c>
      <c r="DU399">
        <v>255</v>
      </c>
      <c r="DV399">
        <v>255</v>
      </c>
      <c r="DW399">
        <v>255</v>
      </c>
      <c r="DX399" t="s">
        <v>206</v>
      </c>
      <c r="DY399" t="s">
        <v>206</v>
      </c>
      <c r="DZ399" t="s">
        <v>207</v>
      </c>
      <c r="EA399" t="s">
        <v>198</v>
      </c>
      <c r="EB399" t="s">
        <v>198</v>
      </c>
      <c r="EC399" t="s">
        <v>198</v>
      </c>
      <c r="ED399">
        <v>0</v>
      </c>
      <c r="EE399">
        <v>0</v>
      </c>
      <c r="EF399">
        <v>0</v>
      </c>
      <c r="EG399">
        <v>0</v>
      </c>
      <c r="EH399">
        <v>255</v>
      </c>
      <c r="EI399">
        <v>255</v>
      </c>
      <c r="EJ399">
        <v>255</v>
      </c>
      <c r="EK399">
        <v>255</v>
      </c>
      <c r="EL399">
        <v>255</v>
      </c>
      <c r="EM399">
        <v>255</v>
      </c>
      <c r="EN399">
        <v>255</v>
      </c>
      <c r="EO399">
        <v>255</v>
      </c>
      <c r="EP399">
        <v>255</v>
      </c>
      <c r="EQ399">
        <v>255</v>
      </c>
      <c r="ER399" t="s">
        <v>208</v>
      </c>
      <c r="ES399" t="s">
        <v>209</v>
      </c>
      <c r="ET399" t="s">
        <v>209</v>
      </c>
      <c r="EU399">
        <v>0</v>
      </c>
      <c r="EV399">
        <v>16.2</v>
      </c>
      <c r="EW399">
        <v>-114.7</v>
      </c>
      <c r="EX399">
        <v>-0.2</v>
      </c>
      <c r="EY399">
        <v>0</v>
      </c>
      <c r="EZ399">
        <v>0</v>
      </c>
      <c r="FA399">
        <v>0</v>
      </c>
      <c r="FB399" t="s">
        <v>198</v>
      </c>
      <c r="FC399" t="s">
        <v>198</v>
      </c>
      <c r="FD399" t="s">
        <v>198</v>
      </c>
      <c r="FE399" t="s">
        <v>198</v>
      </c>
      <c r="FF399" t="s">
        <v>198</v>
      </c>
      <c r="FG399" t="s">
        <v>198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203</v>
      </c>
      <c r="FP399" t="s">
        <v>203</v>
      </c>
      <c r="FQ399" t="s">
        <v>203</v>
      </c>
      <c r="FR399" t="s">
        <v>203</v>
      </c>
      <c r="FS399" t="s">
        <v>203</v>
      </c>
      <c r="FT399" t="s">
        <v>203</v>
      </c>
      <c r="FU399" t="s">
        <v>198</v>
      </c>
      <c r="FV399" t="s">
        <v>198</v>
      </c>
      <c r="FW399" t="s">
        <v>198</v>
      </c>
      <c r="FX399" t="s">
        <v>198</v>
      </c>
      <c r="FY399" t="s">
        <v>198</v>
      </c>
      <c r="FZ399" t="s">
        <v>198</v>
      </c>
      <c r="GA399">
        <v>31.2</v>
      </c>
      <c r="GB399">
        <v>31.2</v>
      </c>
      <c r="GC399" t="s">
        <v>203</v>
      </c>
      <c r="GD399">
        <v>0</v>
      </c>
      <c r="GE399">
        <v>504</v>
      </c>
      <c r="GF399">
        <v>0</v>
      </c>
      <c r="GG399">
        <v>0</v>
      </c>
      <c r="GH399">
        <v>0</v>
      </c>
      <c r="GI399">
        <v>1</v>
      </c>
      <c r="GJ399">
        <v>1</v>
      </c>
      <c r="GK399">
        <v>0</v>
      </c>
      <c r="GL399" t="s">
        <v>198</v>
      </c>
      <c r="GM399" t="s">
        <v>198</v>
      </c>
      <c r="GN399" t="s">
        <v>198</v>
      </c>
    </row>
    <row r="400" spans="1:196">
      <c r="A400" s="19">
        <v>46316.90851091435</v>
      </c>
      <c r="B400">
        <v>0</v>
      </c>
      <c r="C400">
        <v>0</v>
      </c>
      <c r="D400">
        <v>277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584.2</v>
      </c>
      <c r="N400">
        <v>-0.5</v>
      </c>
      <c r="O400">
        <v>0</v>
      </c>
      <c r="P400">
        <v>0</v>
      </c>
      <c r="Q400">
        <v>0</v>
      </c>
      <c r="R400">
        <v>0</v>
      </c>
      <c r="S400">
        <v>115.6</v>
      </c>
      <c r="T400" t="s">
        <v>485</v>
      </c>
      <c r="U400">
        <v>115.7</v>
      </c>
      <c r="V400">
        <v>1762727256586.8</v>
      </c>
      <c r="W400">
        <v>1</v>
      </c>
      <c r="X400" t="s">
        <v>197</v>
      </c>
      <c r="Y400">
        <v>0</v>
      </c>
      <c r="Z400">
        <v>98</v>
      </c>
      <c r="AA400">
        <v>278</v>
      </c>
      <c r="AB400" t="s">
        <v>197</v>
      </c>
      <c r="AC400" t="s">
        <v>198</v>
      </c>
      <c r="AD400" t="s">
        <v>199</v>
      </c>
      <c r="AE400">
        <v>0</v>
      </c>
      <c r="AF400">
        <v>45</v>
      </c>
      <c r="AG400">
        <v>255</v>
      </c>
      <c r="AH400">
        <v>0</v>
      </c>
      <c r="AI400">
        <v>0</v>
      </c>
      <c r="AJ400">
        <v>0</v>
      </c>
      <c r="AK400">
        <v>12.6</v>
      </c>
      <c r="AL400">
        <v>0</v>
      </c>
      <c r="AM400">
        <v>0</v>
      </c>
      <c r="AN400" t="s">
        <v>197</v>
      </c>
      <c r="AO400">
        <v>100</v>
      </c>
      <c r="AP400" t="s">
        <v>197</v>
      </c>
      <c r="AQ400" t="s">
        <v>200</v>
      </c>
      <c r="AR400">
        <v>1</v>
      </c>
      <c r="AS400">
        <v>0</v>
      </c>
      <c r="AT400" t="s">
        <v>746</v>
      </c>
      <c r="AU400" t="s">
        <v>746</v>
      </c>
      <c r="AV400" t="s">
        <v>202</v>
      </c>
      <c r="AW400" t="s">
        <v>203</v>
      </c>
      <c r="AX400" t="s">
        <v>203</v>
      </c>
      <c r="AY400" t="s">
        <v>203</v>
      </c>
      <c r="AZ400" t="s">
        <v>203</v>
      </c>
      <c r="BA400" t="s">
        <v>203</v>
      </c>
      <c r="BB400" t="s">
        <v>203</v>
      </c>
      <c r="BC400" t="s">
        <v>203</v>
      </c>
      <c r="BD400" t="s">
        <v>203</v>
      </c>
      <c r="BE400" t="s">
        <v>203</v>
      </c>
      <c r="BF400">
        <v>0</v>
      </c>
      <c r="BG400">
        <v>0.2</v>
      </c>
      <c r="BH400">
        <v>50</v>
      </c>
      <c r="BI400">
        <v>0</v>
      </c>
      <c r="BJ400" t="s">
        <v>198</v>
      </c>
      <c r="BK400" t="s">
        <v>198</v>
      </c>
      <c r="BL400" t="s">
        <v>198</v>
      </c>
      <c r="BM400" t="s">
        <v>198</v>
      </c>
      <c r="BN400" t="s">
        <v>198</v>
      </c>
      <c r="BO400" t="s">
        <v>198</v>
      </c>
      <c r="BP400" t="s">
        <v>198</v>
      </c>
      <c r="BQ400" t="s">
        <v>198</v>
      </c>
      <c r="BR400" t="s">
        <v>198</v>
      </c>
      <c r="BS400" t="s">
        <v>198</v>
      </c>
      <c r="BT400" t="s">
        <v>198</v>
      </c>
      <c r="BU400" t="s">
        <v>198</v>
      </c>
      <c r="BV400" t="s">
        <v>198</v>
      </c>
      <c r="BW400" t="s">
        <v>198</v>
      </c>
      <c r="BX400" t="s">
        <v>198</v>
      </c>
      <c r="BY400" t="s">
        <v>198</v>
      </c>
      <c r="BZ400" t="s">
        <v>198</v>
      </c>
      <c r="CA400" t="s">
        <v>198</v>
      </c>
      <c r="CB400" t="s">
        <v>204</v>
      </c>
      <c r="CC400" t="s">
        <v>204</v>
      </c>
      <c r="CD400" t="s">
        <v>204</v>
      </c>
      <c r="CE400" t="s">
        <v>204</v>
      </c>
      <c r="CF400" t="s">
        <v>204</v>
      </c>
      <c r="CG400" t="s">
        <v>204</v>
      </c>
      <c r="CH400" t="s">
        <v>204</v>
      </c>
      <c r="CI400" t="s">
        <v>204</v>
      </c>
      <c r="CJ400" t="s">
        <v>204</v>
      </c>
      <c r="CK400" t="s">
        <v>204</v>
      </c>
      <c r="CL400" t="s">
        <v>204</v>
      </c>
      <c r="CM400" t="s">
        <v>204</v>
      </c>
      <c r="CN400" t="s">
        <v>203</v>
      </c>
      <c r="CO400" t="s">
        <v>203</v>
      </c>
      <c r="CP400" t="s">
        <v>203</v>
      </c>
      <c r="CQ400" t="s">
        <v>203</v>
      </c>
      <c r="CR400" t="s">
        <v>203</v>
      </c>
      <c r="CS400" t="s">
        <v>203</v>
      </c>
      <c r="CT400" t="s">
        <v>203</v>
      </c>
      <c r="CU400" t="s">
        <v>203</v>
      </c>
      <c r="CV400">
        <v>0</v>
      </c>
      <c r="CW400">
        <v>0</v>
      </c>
      <c r="CX400" t="s">
        <v>198</v>
      </c>
      <c r="CY400" t="s">
        <v>198</v>
      </c>
      <c r="CZ400" t="s">
        <v>198</v>
      </c>
      <c r="DA400" t="s">
        <v>198</v>
      </c>
      <c r="DB400" t="s">
        <v>198</v>
      </c>
      <c r="DC400">
        <v>0</v>
      </c>
      <c r="DD400">
        <v>0</v>
      </c>
      <c r="DE400">
        <v>0</v>
      </c>
      <c r="DF400">
        <v>0</v>
      </c>
      <c r="DG400">
        <v>-35.3631166</v>
      </c>
      <c r="DH400">
        <v>149.1639735</v>
      </c>
      <c r="DI400" t="s">
        <v>360</v>
      </c>
      <c r="DJ400">
        <v>1.2</v>
      </c>
      <c r="DK400">
        <v>2</v>
      </c>
      <c r="DL400">
        <v>159.8</v>
      </c>
      <c r="DM400">
        <v>0</v>
      </c>
      <c r="DN400">
        <v>6</v>
      </c>
      <c r="DO400">
        <v>10</v>
      </c>
      <c r="DP400">
        <v>0</v>
      </c>
      <c r="DQ400">
        <v>255</v>
      </c>
      <c r="DR400">
        <v>255</v>
      </c>
      <c r="DS400">
        <v>255</v>
      </c>
      <c r="DT400">
        <v>255</v>
      </c>
      <c r="DU400">
        <v>255</v>
      </c>
      <c r="DV400">
        <v>255</v>
      </c>
      <c r="DW400">
        <v>255</v>
      </c>
      <c r="DX400" t="s">
        <v>206</v>
      </c>
      <c r="DY400" t="s">
        <v>206</v>
      </c>
      <c r="DZ400" t="s">
        <v>207</v>
      </c>
      <c r="EA400" t="s">
        <v>198</v>
      </c>
      <c r="EB400" t="s">
        <v>198</v>
      </c>
      <c r="EC400" t="s">
        <v>198</v>
      </c>
      <c r="ED400">
        <v>0</v>
      </c>
      <c r="EE400">
        <v>0</v>
      </c>
      <c r="EF400">
        <v>0</v>
      </c>
      <c r="EG400">
        <v>0</v>
      </c>
      <c r="EH400">
        <v>255</v>
      </c>
      <c r="EI400">
        <v>255</v>
      </c>
      <c r="EJ400">
        <v>255</v>
      </c>
      <c r="EK400">
        <v>255</v>
      </c>
      <c r="EL400">
        <v>255</v>
      </c>
      <c r="EM400">
        <v>255</v>
      </c>
      <c r="EN400">
        <v>255</v>
      </c>
      <c r="EO400">
        <v>255</v>
      </c>
      <c r="EP400">
        <v>255</v>
      </c>
      <c r="EQ400">
        <v>255</v>
      </c>
      <c r="ER400" t="s">
        <v>208</v>
      </c>
      <c r="ES400" t="s">
        <v>209</v>
      </c>
      <c r="ET400" t="s">
        <v>209</v>
      </c>
      <c r="EU400">
        <v>0</v>
      </c>
      <c r="EV400">
        <v>16.2</v>
      </c>
      <c r="EW400">
        <v>-114.7</v>
      </c>
      <c r="EX400">
        <v>-0.2</v>
      </c>
      <c r="EY400">
        <v>0</v>
      </c>
      <c r="EZ400">
        <v>0</v>
      </c>
      <c r="FA400">
        <v>0</v>
      </c>
      <c r="FB400" t="s">
        <v>198</v>
      </c>
      <c r="FC400" t="s">
        <v>198</v>
      </c>
      <c r="FD400" t="s">
        <v>198</v>
      </c>
      <c r="FE400" t="s">
        <v>198</v>
      </c>
      <c r="FF400" t="s">
        <v>198</v>
      </c>
      <c r="FG400" t="s">
        <v>198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203</v>
      </c>
      <c r="FP400" t="s">
        <v>203</v>
      </c>
      <c r="FQ400" t="s">
        <v>203</v>
      </c>
      <c r="FR400" t="s">
        <v>203</v>
      </c>
      <c r="FS400" t="s">
        <v>203</v>
      </c>
      <c r="FT400" t="s">
        <v>203</v>
      </c>
      <c r="FU400" t="s">
        <v>198</v>
      </c>
      <c r="FV400" t="s">
        <v>198</v>
      </c>
      <c r="FW400" t="s">
        <v>198</v>
      </c>
      <c r="FX400" t="s">
        <v>198</v>
      </c>
      <c r="FY400" t="s">
        <v>198</v>
      </c>
      <c r="FZ400" t="s">
        <v>198</v>
      </c>
      <c r="GA400">
        <v>31.2</v>
      </c>
      <c r="GB400">
        <v>31.2</v>
      </c>
      <c r="GC400" t="s">
        <v>203</v>
      </c>
      <c r="GD400">
        <v>0</v>
      </c>
      <c r="GE400">
        <v>504</v>
      </c>
      <c r="GF400">
        <v>0</v>
      </c>
      <c r="GG400">
        <v>0</v>
      </c>
      <c r="GH400">
        <v>0</v>
      </c>
      <c r="GI400">
        <v>1</v>
      </c>
      <c r="GJ400">
        <v>1</v>
      </c>
      <c r="GK400">
        <v>0</v>
      </c>
      <c r="GL400" t="s">
        <v>198</v>
      </c>
      <c r="GM400" t="s">
        <v>198</v>
      </c>
      <c r="GN400" t="s">
        <v>198</v>
      </c>
    </row>
    <row r="401" spans="1:196">
      <c r="A401" s="19">
        <v>46316.90852248843</v>
      </c>
      <c r="B401">
        <v>0</v>
      </c>
      <c r="C401">
        <v>0</v>
      </c>
      <c r="D401">
        <v>277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584.2</v>
      </c>
      <c r="N401">
        <v>-0.5</v>
      </c>
      <c r="O401">
        <v>0</v>
      </c>
      <c r="P401">
        <v>0</v>
      </c>
      <c r="Q401">
        <v>0</v>
      </c>
      <c r="R401">
        <v>0</v>
      </c>
      <c r="S401">
        <v>115.6</v>
      </c>
      <c r="T401" t="s">
        <v>485</v>
      </c>
      <c r="U401">
        <v>115.7</v>
      </c>
      <c r="V401">
        <v>1762727256586.8</v>
      </c>
      <c r="W401">
        <v>1</v>
      </c>
      <c r="X401" t="s">
        <v>197</v>
      </c>
      <c r="Y401">
        <v>0</v>
      </c>
      <c r="Z401">
        <v>98</v>
      </c>
      <c r="AA401">
        <v>278</v>
      </c>
      <c r="AB401" t="s">
        <v>197</v>
      </c>
      <c r="AC401" t="s">
        <v>198</v>
      </c>
      <c r="AD401" t="s">
        <v>199</v>
      </c>
      <c r="AE401">
        <v>0</v>
      </c>
      <c r="AF401">
        <v>45</v>
      </c>
      <c r="AG401">
        <v>255</v>
      </c>
      <c r="AH401">
        <v>0</v>
      </c>
      <c r="AI401">
        <v>0</v>
      </c>
      <c r="AJ401">
        <v>0</v>
      </c>
      <c r="AK401">
        <v>12.6</v>
      </c>
      <c r="AL401">
        <v>0</v>
      </c>
      <c r="AM401">
        <v>0</v>
      </c>
      <c r="AN401" t="s">
        <v>197</v>
      </c>
      <c r="AO401">
        <v>100</v>
      </c>
      <c r="AP401" t="s">
        <v>197</v>
      </c>
      <c r="AQ401" t="s">
        <v>200</v>
      </c>
      <c r="AR401">
        <v>1</v>
      </c>
      <c r="AS401">
        <v>0</v>
      </c>
      <c r="AT401" t="s">
        <v>747</v>
      </c>
      <c r="AU401" t="s">
        <v>747</v>
      </c>
      <c r="AV401" t="s">
        <v>202</v>
      </c>
      <c r="AW401" t="s">
        <v>203</v>
      </c>
      <c r="AX401" t="s">
        <v>203</v>
      </c>
      <c r="AY401" t="s">
        <v>203</v>
      </c>
      <c r="AZ401" t="s">
        <v>203</v>
      </c>
      <c r="BA401" t="s">
        <v>203</v>
      </c>
      <c r="BB401" t="s">
        <v>203</v>
      </c>
      <c r="BC401" t="s">
        <v>203</v>
      </c>
      <c r="BD401" t="s">
        <v>203</v>
      </c>
      <c r="BE401" t="s">
        <v>203</v>
      </c>
      <c r="BF401">
        <v>0</v>
      </c>
      <c r="BG401">
        <v>0.2</v>
      </c>
      <c r="BH401">
        <v>50</v>
      </c>
      <c r="BI401">
        <v>0</v>
      </c>
      <c r="BJ401" t="s">
        <v>198</v>
      </c>
      <c r="BK401" t="s">
        <v>198</v>
      </c>
      <c r="BL401" t="s">
        <v>198</v>
      </c>
      <c r="BM401" t="s">
        <v>198</v>
      </c>
      <c r="BN401" t="s">
        <v>198</v>
      </c>
      <c r="BO401" t="s">
        <v>198</v>
      </c>
      <c r="BP401" t="s">
        <v>198</v>
      </c>
      <c r="BQ401" t="s">
        <v>198</v>
      </c>
      <c r="BR401" t="s">
        <v>198</v>
      </c>
      <c r="BS401" t="s">
        <v>198</v>
      </c>
      <c r="BT401" t="s">
        <v>198</v>
      </c>
      <c r="BU401" t="s">
        <v>198</v>
      </c>
      <c r="BV401" t="s">
        <v>198</v>
      </c>
      <c r="BW401" t="s">
        <v>198</v>
      </c>
      <c r="BX401" t="s">
        <v>198</v>
      </c>
      <c r="BY401" t="s">
        <v>198</v>
      </c>
      <c r="BZ401" t="s">
        <v>198</v>
      </c>
      <c r="CA401" t="s">
        <v>198</v>
      </c>
      <c r="CB401" t="s">
        <v>204</v>
      </c>
      <c r="CC401" t="s">
        <v>204</v>
      </c>
      <c r="CD401" t="s">
        <v>204</v>
      </c>
      <c r="CE401" t="s">
        <v>204</v>
      </c>
      <c r="CF401" t="s">
        <v>204</v>
      </c>
      <c r="CG401" t="s">
        <v>204</v>
      </c>
      <c r="CH401" t="s">
        <v>204</v>
      </c>
      <c r="CI401" t="s">
        <v>204</v>
      </c>
      <c r="CJ401" t="s">
        <v>204</v>
      </c>
      <c r="CK401" t="s">
        <v>204</v>
      </c>
      <c r="CL401" t="s">
        <v>204</v>
      </c>
      <c r="CM401" t="s">
        <v>204</v>
      </c>
      <c r="CN401" t="s">
        <v>203</v>
      </c>
      <c r="CO401" t="s">
        <v>203</v>
      </c>
      <c r="CP401" t="s">
        <v>203</v>
      </c>
      <c r="CQ401" t="s">
        <v>203</v>
      </c>
      <c r="CR401" t="s">
        <v>203</v>
      </c>
      <c r="CS401" t="s">
        <v>203</v>
      </c>
      <c r="CT401" t="s">
        <v>203</v>
      </c>
      <c r="CU401" t="s">
        <v>203</v>
      </c>
      <c r="CV401">
        <v>0</v>
      </c>
      <c r="CW401">
        <v>0</v>
      </c>
      <c r="CX401" t="s">
        <v>198</v>
      </c>
      <c r="CY401" t="s">
        <v>198</v>
      </c>
      <c r="CZ401" t="s">
        <v>198</v>
      </c>
      <c r="DA401" t="s">
        <v>198</v>
      </c>
      <c r="DB401" t="s">
        <v>198</v>
      </c>
      <c r="DC401">
        <v>0</v>
      </c>
      <c r="DD401">
        <v>0</v>
      </c>
      <c r="DE401">
        <v>0</v>
      </c>
      <c r="DF401">
        <v>0</v>
      </c>
      <c r="DG401">
        <v>-35.3631166</v>
      </c>
      <c r="DH401">
        <v>149.1639735</v>
      </c>
      <c r="DI401" t="s">
        <v>360</v>
      </c>
      <c r="DJ401">
        <v>1.2</v>
      </c>
      <c r="DK401">
        <v>2</v>
      </c>
      <c r="DL401">
        <v>159.8</v>
      </c>
      <c r="DM401">
        <v>0</v>
      </c>
      <c r="DN401">
        <v>6</v>
      </c>
      <c r="DO401">
        <v>10</v>
      </c>
      <c r="DP401">
        <v>0</v>
      </c>
      <c r="DQ401">
        <v>255</v>
      </c>
      <c r="DR401">
        <v>255</v>
      </c>
      <c r="DS401">
        <v>255</v>
      </c>
      <c r="DT401">
        <v>255</v>
      </c>
      <c r="DU401">
        <v>255</v>
      </c>
      <c r="DV401">
        <v>255</v>
      </c>
      <c r="DW401">
        <v>255</v>
      </c>
      <c r="DX401" t="s">
        <v>206</v>
      </c>
      <c r="DY401" t="s">
        <v>206</v>
      </c>
      <c r="DZ401" t="s">
        <v>207</v>
      </c>
      <c r="EA401" t="s">
        <v>198</v>
      </c>
      <c r="EB401" t="s">
        <v>198</v>
      </c>
      <c r="EC401" t="s">
        <v>198</v>
      </c>
      <c r="ED401">
        <v>0</v>
      </c>
      <c r="EE401">
        <v>0</v>
      </c>
      <c r="EF401">
        <v>0</v>
      </c>
      <c r="EG401">
        <v>0</v>
      </c>
      <c r="EH401">
        <v>255</v>
      </c>
      <c r="EI401">
        <v>255</v>
      </c>
      <c r="EJ401">
        <v>255</v>
      </c>
      <c r="EK401">
        <v>255</v>
      </c>
      <c r="EL401">
        <v>255</v>
      </c>
      <c r="EM401">
        <v>255</v>
      </c>
      <c r="EN401">
        <v>255</v>
      </c>
      <c r="EO401">
        <v>255</v>
      </c>
      <c r="EP401">
        <v>255</v>
      </c>
      <c r="EQ401">
        <v>255</v>
      </c>
      <c r="ER401" t="s">
        <v>208</v>
      </c>
      <c r="ES401" t="s">
        <v>209</v>
      </c>
      <c r="ET401" t="s">
        <v>209</v>
      </c>
      <c r="EU401">
        <v>0</v>
      </c>
      <c r="EV401">
        <v>16.2</v>
      </c>
      <c r="EW401">
        <v>-114.7</v>
      </c>
      <c r="EX401">
        <v>-0.2</v>
      </c>
      <c r="EY401">
        <v>0</v>
      </c>
      <c r="EZ401">
        <v>0</v>
      </c>
      <c r="FA401">
        <v>0</v>
      </c>
      <c r="FB401" t="s">
        <v>198</v>
      </c>
      <c r="FC401" t="s">
        <v>198</v>
      </c>
      <c r="FD401" t="s">
        <v>198</v>
      </c>
      <c r="FE401" t="s">
        <v>198</v>
      </c>
      <c r="FF401" t="s">
        <v>198</v>
      </c>
      <c r="FG401" t="s">
        <v>198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 t="s">
        <v>203</v>
      </c>
      <c r="FP401" t="s">
        <v>203</v>
      </c>
      <c r="FQ401" t="s">
        <v>203</v>
      </c>
      <c r="FR401" t="s">
        <v>203</v>
      </c>
      <c r="FS401" t="s">
        <v>203</v>
      </c>
      <c r="FT401" t="s">
        <v>203</v>
      </c>
      <c r="FU401" t="s">
        <v>198</v>
      </c>
      <c r="FV401" t="s">
        <v>198</v>
      </c>
      <c r="FW401" t="s">
        <v>198</v>
      </c>
      <c r="FX401" t="s">
        <v>198</v>
      </c>
      <c r="FY401" t="s">
        <v>198</v>
      </c>
      <c r="FZ401" t="s">
        <v>198</v>
      </c>
      <c r="GA401">
        <v>31.2</v>
      </c>
      <c r="GB401">
        <v>31.2</v>
      </c>
      <c r="GC401" t="s">
        <v>203</v>
      </c>
      <c r="GD401">
        <v>0</v>
      </c>
      <c r="GE401">
        <v>504</v>
      </c>
      <c r="GF401">
        <v>0</v>
      </c>
      <c r="GG401">
        <v>0</v>
      </c>
      <c r="GH401">
        <v>0</v>
      </c>
      <c r="GI401">
        <v>1</v>
      </c>
      <c r="GJ401">
        <v>1</v>
      </c>
      <c r="GK401">
        <v>0</v>
      </c>
      <c r="GL401" t="s">
        <v>198</v>
      </c>
      <c r="GM401" t="s">
        <v>198</v>
      </c>
      <c r="GN401" t="s">
        <v>198</v>
      </c>
    </row>
    <row r="402" spans="1:196">
      <c r="A402" s="19">
        <v>46316.9085340625</v>
      </c>
      <c r="B402">
        <v>0</v>
      </c>
      <c r="C402">
        <v>0</v>
      </c>
      <c r="D402">
        <v>277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584.2</v>
      </c>
      <c r="N402">
        <v>-0.5</v>
      </c>
      <c r="O402">
        <v>0</v>
      </c>
      <c r="P402">
        <v>0</v>
      </c>
      <c r="Q402">
        <v>0</v>
      </c>
      <c r="R402">
        <v>0</v>
      </c>
      <c r="S402">
        <v>115.6</v>
      </c>
      <c r="T402" t="s">
        <v>485</v>
      </c>
      <c r="U402">
        <v>115.7</v>
      </c>
      <c r="V402">
        <v>1762727256586.8</v>
      </c>
      <c r="W402">
        <v>1</v>
      </c>
      <c r="X402" t="s">
        <v>197</v>
      </c>
      <c r="Y402">
        <v>0</v>
      </c>
      <c r="Z402">
        <v>98</v>
      </c>
      <c r="AA402">
        <v>278</v>
      </c>
      <c r="AB402" t="s">
        <v>197</v>
      </c>
      <c r="AC402" t="s">
        <v>198</v>
      </c>
      <c r="AD402" t="s">
        <v>199</v>
      </c>
      <c r="AE402">
        <v>0</v>
      </c>
      <c r="AF402">
        <v>45</v>
      </c>
      <c r="AG402">
        <v>255</v>
      </c>
      <c r="AH402">
        <v>0</v>
      </c>
      <c r="AI402">
        <v>0</v>
      </c>
      <c r="AJ402">
        <v>0</v>
      </c>
      <c r="AK402">
        <v>12.6</v>
      </c>
      <c r="AL402">
        <v>0</v>
      </c>
      <c r="AM402">
        <v>0</v>
      </c>
      <c r="AN402" t="s">
        <v>197</v>
      </c>
      <c r="AO402">
        <v>100</v>
      </c>
      <c r="AP402" t="s">
        <v>197</v>
      </c>
      <c r="AQ402" t="s">
        <v>200</v>
      </c>
      <c r="AR402">
        <v>1</v>
      </c>
      <c r="AS402">
        <v>0</v>
      </c>
      <c r="AT402" t="s">
        <v>748</v>
      </c>
      <c r="AU402" t="s">
        <v>748</v>
      </c>
      <c r="AV402" t="s">
        <v>202</v>
      </c>
      <c r="AW402" t="s">
        <v>203</v>
      </c>
      <c r="AX402" t="s">
        <v>203</v>
      </c>
      <c r="AY402" t="s">
        <v>203</v>
      </c>
      <c r="AZ402" t="s">
        <v>203</v>
      </c>
      <c r="BA402" t="s">
        <v>203</v>
      </c>
      <c r="BB402" t="s">
        <v>203</v>
      </c>
      <c r="BC402" t="s">
        <v>203</v>
      </c>
      <c r="BD402" t="s">
        <v>203</v>
      </c>
      <c r="BE402" t="s">
        <v>203</v>
      </c>
      <c r="BF402">
        <v>0</v>
      </c>
      <c r="BG402">
        <v>0.2</v>
      </c>
      <c r="BH402">
        <v>50</v>
      </c>
      <c r="BI402">
        <v>0</v>
      </c>
      <c r="BJ402" t="s">
        <v>198</v>
      </c>
      <c r="BK402" t="s">
        <v>198</v>
      </c>
      <c r="BL402" t="s">
        <v>198</v>
      </c>
      <c r="BM402" t="s">
        <v>198</v>
      </c>
      <c r="BN402" t="s">
        <v>198</v>
      </c>
      <c r="BO402" t="s">
        <v>198</v>
      </c>
      <c r="BP402" t="s">
        <v>198</v>
      </c>
      <c r="BQ402" t="s">
        <v>198</v>
      </c>
      <c r="BR402" t="s">
        <v>198</v>
      </c>
      <c r="BS402" t="s">
        <v>198</v>
      </c>
      <c r="BT402" t="s">
        <v>198</v>
      </c>
      <c r="BU402" t="s">
        <v>198</v>
      </c>
      <c r="BV402" t="s">
        <v>198</v>
      </c>
      <c r="BW402" t="s">
        <v>198</v>
      </c>
      <c r="BX402" t="s">
        <v>198</v>
      </c>
      <c r="BY402" t="s">
        <v>198</v>
      </c>
      <c r="BZ402" t="s">
        <v>198</v>
      </c>
      <c r="CA402" t="s">
        <v>198</v>
      </c>
      <c r="CB402" t="s">
        <v>204</v>
      </c>
      <c r="CC402" t="s">
        <v>204</v>
      </c>
      <c r="CD402" t="s">
        <v>204</v>
      </c>
      <c r="CE402" t="s">
        <v>204</v>
      </c>
      <c r="CF402" t="s">
        <v>204</v>
      </c>
      <c r="CG402" t="s">
        <v>204</v>
      </c>
      <c r="CH402" t="s">
        <v>204</v>
      </c>
      <c r="CI402" t="s">
        <v>204</v>
      </c>
      <c r="CJ402" t="s">
        <v>204</v>
      </c>
      <c r="CK402" t="s">
        <v>204</v>
      </c>
      <c r="CL402" t="s">
        <v>204</v>
      </c>
      <c r="CM402" t="s">
        <v>204</v>
      </c>
      <c r="CN402" t="s">
        <v>203</v>
      </c>
      <c r="CO402" t="s">
        <v>203</v>
      </c>
      <c r="CP402" t="s">
        <v>203</v>
      </c>
      <c r="CQ402" t="s">
        <v>203</v>
      </c>
      <c r="CR402" t="s">
        <v>203</v>
      </c>
      <c r="CS402" t="s">
        <v>203</v>
      </c>
      <c r="CT402" t="s">
        <v>203</v>
      </c>
      <c r="CU402" t="s">
        <v>203</v>
      </c>
      <c r="CV402">
        <v>0</v>
      </c>
      <c r="CW402">
        <v>0</v>
      </c>
      <c r="CX402" t="s">
        <v>198</v>
      </c>
      <c r="CY402" t="s">
        <v>198</v>
      </c>
      <c r="CZ402" t="s">
        <v>198</v>
      </c>
      <c r="DA402" t="s">
        <v>198</v>
      </c>
      <c r="DB402" t="s">
        <v>198</v>
      </c>
      <c r="DC402">
        <v>0</v>
      </c>
      <c r="DD402">
        <v>0</v>
      </c>
      <c r="DE402">
        <v>0</v>
      </c>
      <c r="DF402">
        <v>0</v>
      </c>
      <c r="DG402">
        <v>-35.3631166</v>
      </c>
      <c r="DH402">
        <v>149.1639735</v>
      </c>
      <c r="DI402" t="s">
        <v>360</v>
      </c>
      <c r="DJ402">
        <v>1.2</v>
      </c>
      <c r="DK402">
        <v>2</v>
      </c>
      <c r="DL402">
        <v>159.8</v>
      </c>
      <c r="DM402">
        <v>0</v>
      </c>
      <c r="DN402">
        <v>6</v>
      </c>
      <c r="DO402">
        <v>10</v>
      </c>
      <c r="DP402">
        <v>0</v>
      </c>
      <c r="DQ402">
        <v>255</v>
      </c>
      <c r="DR402">
        <v>255</v>
      </c>
      <c r="DS402">
        <v>255</v>
      </c>
      <c r="DT402">
        <v>255</v>
      </c>
      <c r="DU402">
        <v>255</v>
      </c>
      <c r="DV402">
        <v>255</v>
      </c>
      <c r="DW402">
        <v>255</v>
      </c>
      <c r="DX402" t="s">
        <v>206</v>
      </c>
      <c r="DY402" t="s">
        <v>206</v>
      </c>
      <c r="DZ402" t="s">
        <v>207</v>
      </c>
      <c r="EA402" t="s">
        <v>198</v>
      </c>
      <c r="EB402" t="s">
        <v>198</v>
      </c>
      <c r="EC402" t="s">
        <v>198</v>
      </c>
      <c r="ED402">
        <v>0</v>
      </c>
      <c r="EE402">
        <v>0</v>
      </c>
      <c r="EF402">
        <v>0</v>
      </c>
      <c r="EG402">
        <v>0</v>
      </c>
      <c r="EH402">
        <v>255</v>
      </c>
      <c r="EI402">
        <v>255</v>
      </c>
      <c r="EJ402">
        <v>255</v>
      </c>
      <c r="EK402">
        <v>255</v>
      </c>
      <c r="EL402">
        <v>255</v>
      </c>
      <c r="EM402">
        <v>255</v>
      </c>
      <c r="EN402">
        <v>255</v>
      </c>
      <c r="EO402">
        <v>255</v>
      </c>
      <c r="EP402">
        <v>255</v>
      </c>
      <c r="EQ402">
        <v>255</v>
      </c>
      <c r="ER402" t="s">
        <v>208</v>
      </c>
      <c r="ES402" t="s">
        <v>209</v>
      </c>
      <c r="ET402" t="s">
        <v>209</v>
      </c>
      <c r="EU402">
        <v>0</v>
      </c>
      <c r="EV402">
        <v>16.2</v>
      </c>
      <c r="EW402">
        <v>-114.7</v>
      </c>
      <c r="EX402">
        <v>-0.2</v>
      </c>
      <c r="EY402">
        <v>0</v>
      </c>
      <c r="EZ402">
        <v>0</v>
      </c>
      <c r="FA402">
        <v>0</v>
      </c>
      <c r="FB402" t="s">
        <v>198</v>
      </c>
      <c r="FC402" t="s">
        <v>198</v>
      </c>
      <c r="FD402" t="s">
        <v>198</v>
      </c>
      <c r="FE402" t="s">
        <v>198</v>
      </c>
      <c r="FF402" t="s">
        <v>198</v>
      </c>
      <c r="FG402" t="s">
        <v>198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203</v>
      </c>
      <c r="FP402" t="s">
        <v>203</v>
      </c>
      <c r="FQ402" t="s">
        <v>203</v>
      </c>
      <c r="FR402" t="s">
        <v>203</v>
      </c>
      <c r="FS402" t="s">
        <v>203</v>
      </c>
      <c r="FT402" t="s">
        <v>203</v>
      </c>
      <c r="FU402" t="s">
        <v>198</v>
      </c>
      <c r="FV402" t="s">
        <v>198</v>
      </c>
      <c r="FW402" t="s">
        <v>198</v>
      </c>
      <c r="FX402" t="s">
        <v>198</v>
      </c>
      <c r="FY402" t="s">
        <v>198</v>
      </c>
      <c r="FZ402" t="s">
        <v>198</v>
      </c>
      <c r="GA402">
        <v>31.2</v>
      </c>
      <c r="GB402">
        <v>31.2</v>
      </c>
      <c r="GC402" t="s">
        <v>203</v>
      </c>
      <c r="GD402">
        <v>0</v>
      </c>
      <c r="GE402">
        <v>504</v>
      </c>
      <c r="GF402">
        <v>0</v>
      </c>
      <c r="GG402">
        <v>0</v>
      </c>
      <c r="GH402">
        <v>0</v>
      </c>
      <c r="GI402">
        <v>1</v>
      </c>
      <c r="GJ402">
        <v>1</v>
      </c>
      <c r="GK402">
        <v>0</v>
      </c>
      <c r="GL402" t="s">
        <v>198</v>
      </c>
      <c r="GM402" t="s">
        <v>198</v>
      </c>
      <c r="GN402" t="s">
        <v>198</v>
      </c>
    </row>
    <row r="403" spans="1:196">
      <c r="A403" s="19">
        <v>46316.908545625</v>
      </c>
      <c r="B403">
        <v>0</v>
      </c>
      <c r="C403">
        <v>0</v>
      </c>
      <c r="D403">
        <v>277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584.2</v>
      </c>
      <c r="N403">
        <v>-0.5</v>
      </c>
      <c r="O403">
        <v>0</v>
      </c>
      <c r="P403">
        <v>0</v>
      </c>
      <c r="Q403">
        <v>0</v>
      </c>
      <c r="R403">
        <v>0</v>
      </c>
      <c r="S403">
        <v>115.6</v>
      </c>
      <c r="T403" t="s">
        <v>485</v>
      </c>
      <c r="U403">
        <v>115.7</v>
      </c>
      <c r="V403">
        <v>1762727256586.8</v>
      </c>
      <c r="W403">
        <v>1</v>
      </c>
      <c r="X403" t="s">
        <v>197</v>
      </c>
      <c r="Y403">
        <v>0</v>
      </c>
      <c r="Z403">
        <v>98</v>
      </c>
      <c r="AA403">
        <v>278</v>
      </c>
      <c r="AB403" t="s">
        <v>197</v>
      </c>
      <c r="AC403" t="s">
        <v>198</v>
      </c>
      <c r="AD403" t="s">
        <v>199</v>
      </c>
      <c r="AE403">
        <v>0</v>
      </c>
      <c r="AF403">
        <v>45</v>
      </c>
      <c r="AG403">
        <v>255</v>
      </c>
      <c r="AH403">
        <v>0</v>
      </c>
      <c r="AI403">
        <v>0</v>
      </c>
      <c r="AJ403">
        <v>0</v>
      </c>
      <c r="AK403">
        <v>12.6</v>
      </c>
      <c r="AL403">
        <v>0</v>
      </c>
      <c r="AM403">
        <v>0</v>
      </c>
      <c r="AN403" t="s">
        <v>197</v>
      </c>
      <c r="AO403">
        <v>100</v>
      </c>
      <c r="AP403" t="s">
        <v>197</v>
      </c>
      <c r="AQ403" t="s">
        <v>200</v>
      </c>
      <c r="AR403">
        <v>1</v>
      </c>
      <c r="AS403">
        <v>0</v>
      </c>
      <c r="AT403" t="s">
        <v>749</v>
      </c>
      <c r="AU403" t="s">
        <v>749</v>
      </c>
      <c r="AV403" t="s">
        <v>202</v>
      </c>
      <c r="AW403" t="s">
        <v>203</v>
      </c>
      <c r="AX403" t="s">
        <v>203</v>
      </c>
      <c r="AY403" t="s">
        <v>203</v>
      </c>
      <c r="AZ403" t="s">
        <v>203</v>
      </c>
      <c r="BA403" t="s">
        <v>203</v>
      </c>
      <c r="BB403" t="s">
        <v>203</v>
      </c>
      <c r="BC403" t="s">
        <v>203</v>
      </c>
      <c r="BD403" t="s">
        <v>203</v>
      </c>
      <c r="BE403" t="s">
        <v>203</v>
      </c>
      <c r="BF403">
        <v>0</v>
      </c>
      <c r="BG403">
        <v>0.2</v>
      </c>
      <c r="BH403">
        <v>50</v>
      </c>
      <c r="BI403">
        <v>0</v>
      </c>
      <c r="BJ403" t="s">
        <v>198</v>
      </c>
      <c r="BK403" t="s">
        <v>198</v>
      </c>
      <c r="BL403" t="s">
        <v>198</v>
      </c>
      <c r="BM403" t="s">
        <v>198</v>
      </c>
      <c r="BN403" t="s">
        <v>198</v>
      </c>
      <c r="BO403" t="s">
        <v>198</v>
      </c>
      <c r="BP403" t="s">
        <v>198</v>
      </c>
      <c r="BQ403" t="s">
        <v>198</v>
      </c>
      <c r="BR403" t="s">
        <v>198</v>
      </c>
      <c r="BS403" t="s">
        <v>198</v>
      </c>
      <c r="BT403" t="s">
        <v>198</v>
      </c>
      <c r="BU403" t="s">
        <v>198</v>
      </c>
      <c r="BV403" t="s">
        <v>198</v>
      </c>
      <c r="BW403" t="s">
        <v>198</v>
      </c>
      <c r="BX403" t="s">
        <v>198</v>
      </c>
      <c r="BY403" t="s">
        <v>198</v>
      </c>
      <c r="BZ403" t="s">
        <v>198</v>
      </c>
      <c r="CA403" t="s">
        <v>198</v>
      </c>
      <c r="CB403" t="s">
        <v>204</v>
      </c>
      <c r="CC403" t="s">
        <v>204</v>
      </c>
      <c r="CD403" t="s">
        <v>204</v>
      </c>
      <c r="CE403" t="s">
        <v>204</v>
      </c>
      <c r="CF403" t="s">
        <v>204</v>
      </c>
      <c r="CG403" t="s">
        <v>204</v>
      </c>
      <c r="CH403" t="s">
        <v>204</v>
      </c>
      <c r="CI403" t="s">
        <v>204</v>
      </c>
      <c r="CJ403" t="s">
        <v>204</v>
      </c>
      <c r="CK403" t="s">
        <v>204</v>
      </c>
      <c r="CL403" t="s">
        <v>204</v>
      </c>
      <c r="CM403" t="s">
        <v>204</v>
      </c>
      <c r="CN403" t="s">
        <v>203</v>
      </c>
      <c r="CO403" t="s">
        <v>203</v>
      </c>
      <c r="CP403" t="s">
        <v>203</v>
      </c>
      <c r="CQ403" t="s">
        <v>203</v>
      </c>
      <c r="CR403" t="s">
        <v>203</v>
      </c>
      <c r="CS403" t="s">
        <v>203</v>
      </c>
      <c r="CT403" t="s">
        <v>203</v>
      </c>
      <c r="CU403" t="s">
        <v>203</v>
      </c>
      <c r="CV403">
        <v>0</v>
      </c>
      <c r="CW403">
        <v>0</v>
      </c>
      <c r="CX403" t="s">
        <v>198</v>
      </c>
      <c r="CY403" t="s">
        <v>198</v>
      </c>
      <c r="CZ403" t="s">
        <v>198</v>
      </c>
      <c r="DA403" t="s">
        <v>198</v>
      </c>
      <c r="DB403" t="s">
        <v>198</v>
      </c>
      <c r="DC403">
        <v>0</v>
      </c>
      <c r="DD403">
        <v>0</v>
      </c>
      <c r="DE403">
        <v>0</v>
      </c>
      <c r="DF403">
        <v>0</v>
      </c>
      <c r="DG403">
        <v>-35.3631166</v>
      </c>
      <c r="DH403">
        <v>149.1639735</v>
      </c>
      <c r="DI403" t="s">
        <v>360</v>
      </c>
      <c r="DJ403">
        <v>1.2</v>
      </c>
      <c r="DK403">
        <v>2</v>
      </c>
      <c r="DL403">
        <v>159.8</v>
      </c>
      <c r="DM403">
        <v>0</v>
      </c>
      <c r="DN403">
        <v>6</v>
      </c>
      <c r="DO403">
        <v>10</v>
      </c>
      <c r="DP403">
        <v>0</v>
      </c>
      <c r="DQ403">
        <v>255</v>
      </c>
      <c r="DR403">
        <v>255</v>
      </c>
      <c r="DS403">
        <v>255</v>
      </c>
      <c r="DT403">
        <v>255</v>
      </c>
      <c r="DU403">
        <v>255</v>
      </c>
      <c r="DV403">
        <v>255</v>
      </c>
      <c r="DW403">
        <v>255</v>
      </c>
      <c r="DX403" t="s">
        <v>206</v>
      </c>
      <c r="DY403" t="s">
        <v>206</v>
      </c>
      <c r="DZ403" t="s">
        <v>207</v>
      </c>
      <c r="EA403" t="s">
        <v>198</v>
      </c>
      <c r="EB403" t="s">
        <v>198</v>
      </c>
      <c r="EC403" t="s">
        <v>198</v>
      </c>
      <c r="ED403">
        <v>0</v>
      </c>
      <c r="EE403">
        <v>0</v>
      </c>
      <c r="EF403">
        <v>0</v>
      </c>
      <c r="EG403">
        <v>0</v>
      </c>
      <c r="EH403">
        <v>255</v>
      </c>
      <c r="EI403">
        <v>255</v>
      </c>
      <c r="EJ403">
        <v>255</v>
      </c>
      <c r="EK403">
        <v>255</v>
      </c>
      <c r="EL403">
        <v>255</v>
      </c>
      <c r="EM403">
        <v>255</v>
      </c>
      <c r="EN403">
        <v>255</v>
      </c>
      <c r="EO403">
        <v>255</v>
      </c>
      <c r="EP403">
        <v>255</v>
      </c>
      <c r="EQ403">
        <v>255</v>
      </c>
      <c r="ER403" t="s">
        <v>208</v>
      </c>
      <c r="ES403" t="s">
        <v>209</v>
      </c>
      <c r="ET403" t="s">
        <v>209</v>
      </c>
      <c r="EU403">
        <v>0</v>
      </c>
      <c r="EV403">
        <v>16.2</v>
      </c>
      <c r="EW403">
        <v>-114.7</v>
      </c>
      <c r="EX403">
        <v>-0.2</v>
      </c>
      <c r="EY403">
        <v>0</v>
      </c>
      <c r="EZ403">
        <v>0</v>
      </c>
      <c r="FA403">
        <v>0</v>
      </c>
      <c r="FB403" t="s">
        <v>198</v>
      </c>
      <c r="FC403" t="s">
        <v>198</v>
      </c>
      <c r="FD403" t="s">
        <v>198</v>
      </c>
      <c r="FE403" t="s">
        <v>198</v>
      </c>
      <c r="FF403" t="s">
        <v>198</v>
      </c>
      <c r="FG403" t="s">
        <v>198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203</v>
      </c>
      <c r="FP403" t="s">
        <v>203</v>
      </c>
      <c r="FQ403" t="s">
        <v>203</v>
      </c>
      <c r="FR403" t="s">
        <v>203</v>
      </c>
      <c r="FS403" t="s">
        <v>203</v>
      </c>
      <c r="FT403" t="s">
        <v>203</v>
      </c>
      <c r="FU403" t="s">
        <v>198</v>
      </c>
      <c r="FV403" t="s">
        <v>198</v>
      </c>
      <c r="FW403" t="s">
        <v>198</v>
      </c>
      <c r="FX403" t="s">
        <v>198</v>
      </c>
      <c r="FY403" t="s">
        <v>198</v>
      </c>
      <c r="FZ403" t="s">
        <v>198</v>
      </c>
      <c r="GA403">
        <v>31.2</v>
      </c>
      <c r="GB403">
        <v>31.2</v>
      </c>
      <c r="GC403" t="s">
        <v>203</v>
      </c>
      <c r="GD403">
        <v>0</v>
      </c>
      <c r="GE403">
        <v>504</v>
      </c>
      <c r="GF403">
        <v>0</v>
      </c>
      <c r="GG403">
        <v>0</v>
      </c>
      <c r="GH403">
        <v>0</v>
      </c>
      <c r="GI403">
        <v>1</v>
      </c>
      <c r="GJ403">
        <v>1</v>
      </c>
      <c r="GK403">
        <v>0</v>
      </c>
      <c r="GL403" t="s">
        <v>198</v>
      </c>
      <c r="GM403" t="s">
        <v>198</v>
      </c>
      <c r="GN403" t="s">
        <v>198</v>
      </c>
    </row>
    <row r="404" spans="1:196">
      <c r="A404" s="19">
        <v>46316.90855721065</v>
      </c>
      <c r="B404">
        <v>0</v>
      </c>
      <c r="C404">
        <v>0</v>
      </c>
      <c r="D404">
        <v>277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584.2</v>
      </c>
      <c r="N404">
        <v>-0.5</v>
      </c>
      <c r="O404">
        <v>0</v>
      </c>
      <c r="P404">
        <v>0</v>
      </c>
      <c r="Q404">
        <v>0</v>
      </c>
      <c r="R404">
        <v>0</v>
      </c>
      <c r="S404">
        <v>115.6</v>
      </c>
      <c r="T404" t="s">
        <v>485</v>
      </c>
      <c r="U404">
        <v>115.7</v>
      </c>
      <c r="V404">
        <v>1762727256586.8</v>
      </c>
      <c r="W404">
        <v>1</v>
      </c>
      <c r="X404" t="s">
        <v>197</v>
      </c>
      <c r="Y404">
        <v>0</v>
      </c>
      <c r="Z404">
        <v>98</v>
      </c>
      <c r="AA404">
        <v>278</v>
      </c>
      <c r="AB404" t="s">
        <v>197</v>
      </c>
      <c r="AC404" t="s">
        <v>198</v>
      </c>
      <c r="AD404" t="s">
        <v>199</v>
      </c>
      <c r="AE404">
        <v>0</v>
      </c>
      <c r="AF404">
        <v>45</v>
      </c>
      <c r="AG404">
        <v>255</v>
      </c>
      <c r="AH404">
        <v>0</v>
      </c>
      <c r="AI404">
        <v>0</v>
      </c>
      <c r="AJ404">
        <v>0</v>
      </c>
      <c r="AK404">
        <v>12.6</v>
      </c>
      <c r="AL404">
        <v>0</v>
      </c>
      <c r="AM404">
        <v>0</v>
      </c>
      <c r="AN404" t="s">
        <v>197</v>
      </c>
      <c r="AO404">
        <v>100</v>
      </c>
      <c r="AP404" t="s">
        <v>197</v>
      </c>
      <c r="AQ404" t="s">
        <v>200</v>
      </c>
      <c r="AR404">
        <v>1</v>
      </c>
      <c r="AS404">
        <v>0</v>
      </c>
      <c r="AT404" t="s">
        <v>750</v>
      </c>
      <c r="AU404" t="s">
        <v>750</v>
      </c>
      <c r="AV404" t="s">
        <v>202</v>
      </c>
      <c r="AW404" t="s">
        <v>203</v>
      </c>
      <c r="AX404" t="s">
        <v>203</v>
      </c>
      <c r="AY404" t="s">
        <v>203</v>
      </c>
      <c r="AZ404" t="s">
        <v>203</v>
      </c>
      <c r="BA404" t="s">
        <v>203</v>
      </c>
      <c r="BB404" t="s">
        <v>203</v>
      </c>
      <c r="BC404" t="s">
        <v>203</v>
      </c>
      <c r="BD404" t="s">
        <v>203</v>
      </c>
      <c r="BE404" t="s">
        <v>203</v>
      </c>
      <c r="BF404">
        <v>0</v>
      </c>
      <c r="BG404">
        <v>0.2</v>
      </c>
      <c r="BH404">
        <v>50</v>
      </c>
      <c r="BI404">
        <v>0</v>
      </c>
      <c r="BJ404" t="s">
        <v>198</v>
      </c>
      <c r="BK404" t="s">
        <v>198</v>
      </c>
      <c r="BL404" t="s">
        <v>198</v>
      </c>
      <c r="BM404" t="s">
        <v>198</v>
      </c>
      <c r="BN404" t="s">
        <v>198</v>
      </c>
      <c r="BO404" t="s">
        <v>198</v>
      </c>
      <c r="BP404" t="s">
        <v>198</v>
      </c>
      <c r="BQ404" t="s">
        <v>198</v>
      </c>
      <c r="BR404" t="s">
        <v>198</v>
      </c>
      <c r="BS404" t="s">
        <v>198</v>
      </c>
      <c r="BT404" t="s">
        <v>198</v>
      </c>
      <c r="BU404" t="s">
        <v>198</v>
      </c>
      <c r="BV404" t="s">
        <v>198</v>
      </c>
      <c r="BW404" t="s">
        <v>198</v>
      </c>
      <c r="BX404" t="s">
        <v>198</v>
      </c>
      <c r="BY404" t="s">
        <v>198</v>
      </c>
      <c r="BZ404" t="s">
        <v>198</v>
      </c>
      <c r="CA404" t="s">
        <v>198</v>
      </c>
      <c r="CB404" t="s">
        <v>204</v>
      </c>
      <c r="CC404" t="s">
        <v>204</v>
      </c>
      <c r="CD404" t="s">
        <v>204</v>
      </c>
      <c r="CE404" t="s">
        <v>204</v>
      </c>
      <c r="CF404" t="s">
        <v>204</v>
      </c>
      <c r="CG404" t="s">
        <v>204</v>
      </c>
      <c r="CH404" t="s">
        <v>204</v>
      </c>
      <c r="CI404" t="s">
        <v>204</v>
      </c>
      <c r="CJ404" t="s">
        <v>204</v>
      </c>
      <c r="CK404" t="s">
        <v>204</v>
      </c>
      <c r="CL404" t="s">
        <v>204</v>
      </c>
      <c r="CM404" t="s">
        <v>204</v>
      </c>
      <c r="CN404" t="s">
        <v>203</v>
      </c>
      <c r="CO404" t="s">
        <v>203</v>
      </c>
      <c r="CP404" t="s">
        <v>203</v>
      </c>
      <c r="CQ404" t="s">
        <v>203</v>
      </c>
      <c r="CR404" t="s">
        <v>203</v>
      </c>
      <c r="CS404" t="s">
        <v>203</v>
      </c>
      <c r="CT404" t="s">
        <v>203</v>
      </c>
      <c r="CU404" t="s">
        <v>203</v>
      </c>
      <c r="CV404">
        <v>0</v>
      </c>
      <c r="CW404">
        <v>0</v>
      </c>
      <c r="CX404" t="s">
        <v>198</v>
      </c>
      <c r="CY404" t="s">
        <v>198</v>
      </c>
      <c r="CZ404" t="s">
        <v>198</v>
      </c>
      <c r="DA404" t="s">
        <v>198</v>
      </c>
      <c r="DB404" t="s">
        <v>198</v>
      </c>
      <c r="DC404">
        <v>0</v>
      </c>
      <c r="DD404">
        <v>0</v>
      </c>
      <c r="DE404">
        <v>0</v>
      </c>
      <c r="DF404">
        <v>0</v>
      </c>
      <c r="DG404">
        <v>-35.3631166</v>
      </c>
      <c r="DH404">
        <v>149.1639735</v>
      </c>
      <c r="DI404" t="s">
        <v>360</v>
      </c>
      <c r="DJ404">
        <v>1.2</v>
      </c>
      <c r="DK404">
        <v>2</v>
      </c>
      <c r="DL404">
        <v>159.8</v>
      </c>
      <c r="DM404">
        <v>0</v>
      </c>
      <c r="DN404">
        <v>6</v>
      </c>
      <c r="DO404">
        <v>10</v>
      </c>
      <c r="DP404">
        <v>0</v>
      </c>
      <c r="DQ404">
        <v>255</v>
      </c>
      <c r="DR404">
        <v>255</v>
      </c>
      <c r="DS404">
        <v>255</v>
      </c>
      <c r="DT404">
        <v>255</v>
      </c>
      <c r="DU404">
        <v>255</v>
      </c>
      <c r="DV404">
        <v>255</v>
      </c>
      <c r="DW404">
        <v>255</v>
      </c>
      <c r="DX404" t="s">
        <v>206</v>
      </c>
      <c r="DY404" t="s">
        <v>206</v>
      </c>
      <c r="DZ404" t="s">
        <v>207</v>
      </c>
      <c r="EA404" t="s">
        <v>198</v>
      </c>
      <c r="EB404" t="s">
        <v>198</v>
      </c>
      <c r="EC404" t="s">
        <v>198</v>
      </c>
      <c r="ED404">
        <v>0</v>
      </c>
      <c r="EE404">
        <v>0</v>
      </c>
      <c r="EF404">
        <v>0</v>
      </c>
      <c r="EG404">
        <v>0</v>
      </c>
      <c r="EH404">
        <v>255</v>
      </c>
      <c r="EI404">
        <v>255</v>
      </c>
      <c r="EJ404">
        <v>255</v>
      </c>
      <c r="EK404">
        <v>255</v>
      </c>
      <c r="EL404">
        <v>255</v>
      </c>
      <c r="EM404">
        <v>255</v>
      </c>
      <c r="EN404">
        <v>255</v>
      </c>
      <c r="EO404">
        <v>255</v>
      </c>
      <c r="EP404">
        <v>255</v>
      </c>
      <c r="EQ404">
        <v>255</v>
      </c>
      <c r="ER404" t="s">
        <v>208</v>
      </c>
      <c r="ES404" t="s">
        <v>209</v>
      </c>
      <c r="ET404" t="s">
        <v>209</v>
      </c>
      <c r="EU404">
        <v>0</v>
      </c>
      <c r="EV404">
        <v>16.2</v>
      </c>
      <c r="EW404">
        <v>-114.7</v>
      </c>
      <c r="EX404">
        <v>-0.2</v>
      </c>
      <c r="EY404">
        <v>0</v>
      </c>
      <c r="EZ404">
        <v>0</v>
      </c>
      <c r="FA404">
        <v>0</v>
      </c>
      <c r="FB404" t="s">
        <v>198</v>
      </c>
      <c r="FC404" t="s">
        <v>198</v>
      </c>
      <c r="FD404" t="s">
        <v>198</v>
      </c>
      <c r="FE404" t="s">
        <v>198</v>
      </c>
      <c r="FF404" t="s">
        <v>198</v>
      </c>
      <c r="FG404" t="s">
        <v>198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203</v>
      </c>
      <c r="FP404" t="s">
        <v>203</v>
      </c>
      <c r="FQ404" t="s">
        <v>203</v>
      </c>
      <c r="FR404" t="s">
        <v>203</v>
      </c>
      <c r="FS404" t="s">
        <v>203</v>
      </c>
      <c r="FT404" t="s">
        <v>203</v>
      </c>
      <c r="FU404" t="s">
        <v>198</v>
      </c>
      <c r="FV404" t="s">
        <v>198</v>
      </c>
      <c r="FW404" t="s">
        <v>198</v>
      </c>
      <c r="FX404" t="s">
        <v>198</v>
      </c>
      <c r="FY404" t="s">
        <v>198</v>
      </c>
      <c r="FZ404" t="s">
        <v>198</v>
      </c>
      <c r="GA404">
        <v>31.2</v>
      </c>
      <c r="GB404">
        <v>31.2</v>
      </c>
      <c r="GC404" t="s">
        <v>203</v>
      </c>
      <c r="GD404">
        <v>0</v>
      </c>
      <c r="GE404">
        <v>504</v>
      </c>
      <c r="GF404">
        <v>0</v>
      </c>
      <c r="GG404">
        <v>0</v>
      </c>
      <c r="GH404">
        <v>0</v>
      </c>
      <c r="GI404">
        <v>1</v>
      </c>
      <c r="GJ404">
        <v>1</v>
      </c>
      <c r="GK404">
        <v>0</v>
      </c>
      <c r="GL404" t="s">
        <v>198</v>
      </c>
      <c r="GM404" t="s">
        <v>198</v>
      </c>
      <c r="GN404" t="s">
        <v>198</v>
      </c>
    </row>
    <row r="405" spans="1:196">
      <c r="A405" s="19">
        <v>46316.90856878473</v>
      </c>
      <c r="B405">
        <v>0</v>
      </c>
      <c r="C405">
        <v>0</v>
      </c>
      <c r="D405">
        <v>277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584.2</v>
      </c>
      <c r="N405">
        <v>-0.5</v>
      </c>
      <c r="O405">
        <v>0</v>
      </c>
      <c r="P405">
        <v>0</v>
      </c>
      <c r="Q405">
        <v>0</v>
      </c>
      <c r="R405">
        <v>0</v>
      </c>
      <c r="S405">
        <v>115.6</v>
      </c>
      <c r="T405" t="s">
        <v>485</v>
      </c>
      <c r="U405">
        <v>115.7</v>
      </c>
      <c r="V405">
        <v>1762727256586.8</v>
      </c>
      <c r="W405">
        <v>1</v>
      </c>
      <c r="X405" t="s">
        <v>197</v>
      </c>
      <c r="Y405">
        <v>0</v>
      </c>
      <c r="Z405">
        <v>98</v>
      </c>
      <c r="AA405">
        <v>278</v>
      </c>
      <c r="AB405" t="s">
        <v>197</v>
      </c>
      <c r="AC405" t="s">
        <v>198</v>
      </c>
      <c r="AD405" t="s">
        <v>199</v>
      </c>
      <c r="AE405">
        <v>0</v>
      </c>
      <c r="AF405">
        <v>45</v>
      </c>
      <c r="AG405">
        <v>255</v>
      </c>
      <c r="AH405">
        <v>0</v>
      </c>
      <c r="AI405">
        <v>0</v>
      </c>
      <c r="AJ405">
        <v>0</v>
      </c>
      <c r="AK405">
        <v>12.6</v>
      </c>
      <c r="AL405">
        <v>0</v>
      </c>
      <c r="AM405">
        <v>0</v>
      </c>
      <c r="AN405" t="s">
        <v>197</v>
      </c>
      <c r="AO405">
        <v>100</v>
      </c>
      <c r="AP405" t="s">
        <v>197</v>
      </c>
      <c r="AQ405" t="s">
        <v>200</v>
      </c>
      <c r="AR405">
        <v>1</v>
      </c>
      <c r="AS405">
        <v>0</v>
      </c>
      <c r="AT405" t="s">
        <v>751</v>
      </c>
      <c r="AU405" t="s">
        <v>751</v>
      </c>
      <c r="AV405" t="s">
        <v>202</v>
      </c>
      <c r="AW405" t="s">
        <v>203</v>
      </c>
      <c r="AX405" t="s">
        <v>203</v>
      </c>
      <c r="AY405" t="s">
        <v>203</v>
      </c>
      <c r="AZ405" t="s">
        <v>203</v>
      </c>
      <c r="BA405" t="s">
        <v>203</v>
      </c>
      <c r="BB405" t="s">
        <v>203</v>
      </c>
      <c r="BC405" t="s">
        <v>203</v>
      </c>
      <c r="BD405" t="s">
        <v>203</v>
      </c>
      <c r="BE405" t="s">
        <v>203</v>
      </c>
      <c r="BF405">
        <v>0</v>
      </c>
      <c r="BG405">
        <v>0.2</v>
      </c>
      <c r="BH405">
        <v>50</v>
      </c>
      <c r="BI405">
        <v>0</v>
      </c>
      <c r="BJ405" t="s">
        <v>198</v>
      </c>
      <c r="BK405" t="s">
        <v>198</v>
      </c>
      <c r="BL405" t="s">
        <v>198</v>
      </c>
      <c r="BM405" t="s">
        <v>198</v>
      </c>
      <c r="BN405" t="s">
        <v>198</v>
      </c>
      <c r="BO405" t="s">
        <v>198</v>
      </c>
      <c r="BP405" t="s">
        <v>198</v>
      </c>
      <c r="BQ405" t="s">
        <v>198</v>
      </c>
      <c r="BR405" t="s">
        <v>198</v>
      </c>
      <c r="BS405" t="s">
        <v>198</v>
      </c>
      <c r="BT405" t="s">
        <v>198</v>
      </c>
      <c r="BU405" t="s">
        <v>198</v>
      </c>
      <c r="BV405" t="s">
        <v>198</v>
      </c>
      <c r="BW405" t="s">
        <v>198</v>
      </c>
      <c r="BX405" t="s">
        <v>198</v>
      </c>
      <c r="BY405" t="s">
        <v>198</v>
      </c>
      <c r="BZ405" t="s">
        <v>198</v>
      </c>
      <c r="CA405" t="s">
        <v>198</v>
      </c>
      <c r="CB405" t="s">
        <v>204</v>
      </c>
      <c r="CC405" t="s">
        <v>204</v>
      </c>
      <c r="CD405" t="s">
        <v>204</v>
      </c>
      <c r="CE405" t="s">
        <v>204</v>
      </c>
      <c r="CF405" t="s">
        <v>204</v>
      </c>
      <c r="CG405" t="s">
        <v>204</v>
      </c>
      <c r="CH405" t="s">
        <v>204</v>
      </c>
      <c r="CI405" t="s">
        <v>204</v>
      </c>
      <c r="CJ405" t="s">
        <v>204</v>
      </c>
      <c r="CK405" t="s">
        <v>204</v>
      </c>
      <c r="CL405" t="s">
        <v>204</v>
      </c>
      <c r="CM405" t="s">
        <v>204</v>
      </c>
      <c r="CN405" t="s">
        <v>203</v>
      </c>
      <c r="CO405" t="s">
        <v>203</v>
      </c>
      <c r="CP405" t="s">
        <v>203</v>
      </c>
      <c r="CQ405" t="s">
        <v>203</v>
      </c>
      <c r="CR405" t="s">
        <v>203</v>
      </c>
      <c r="CS405" t="s">
        <v>203</v>
      </c>
      <c r="CT405" t="s">
        <v>203</v>
      </c>
      <c r="CU405" t="s">
        <v>203</v>
      </c>
      <c r="CV405">
        <v>0</v>
      </c>
      <c r="CW405">
        <v>0</v>
      </c>
      <c r="CX405" t="s">
        <v>198</v>
      </c>
      <c r="CY405" t="s">
        <v>198</v>
      </c>
      <c r="CZ405" t="s">
        <v>198</v>
      </c>
      <c r="DA405" t="s">
        <v>198</v>
      </c>
      <c r="DB405" t="s">
        <v>198</v>
      </c>
      <c r="DC405">
        <v>0</v>
      </c>
      <c r="DD405">
        <v>0</v>
      </c>
      <c r="DE405">
        <v>0</v>
      </c>
      <c r="DF405">
        <v>0</v>
      </c>
      <c r="DG405">
        <v>-35.3631166</v>
      </c>
      <c r="DH405">
        <v>149.1639735</v>
      </c>
      <c r="DI405" t="s">
        <v>360</v>
      </c>
      <c r="DJ405">
        <v>1.2</v>
      </c>
      <c r="DK405">
        <v>2</v>
      </c>
      <c r="DL405">
        <v>159.8</v>
      </c>
      <c r="DM405">
        <v>0</v>
      </c>
      <c r="DN405">
        <v>6</v>
      </c>
      <c r="DO405">
        <v>10</v>
      </c>
      <c r="DP405">
        <v>0</v>
      </c>
      <c r="DQ405">
        <v>255</v>
      </c>
      <c r="DR405">
        <v>255</v>
      </c>
      <c r="DS405">
        <v>255</v>
      </c>
      <c r="DT405">
        <v>255</v>
      </c>
      <c r="DU405">
        <v>255</v>
      </c>
      <c r="DV405">
        <v>255</v>
      </c>
      <c r="DW405">
        <v>255</v>
      </c>
      <c r="DX405" t="s">
        <v>206</v>
      </c>
      <c r="DY405" t="s">
        <v>206</v>
      </c>
      <c r="DZ405" t="s">
        <v>207</v>
      </c>
      <c r="EA405" t="s">
        <v>198</v>
      </c>
      <c r="EB405" t="s">
        <v>198</v>
      </c>
      <c r="EC405" t="s">
        <v>198</v>
      </c>
      <c r="ED405">
        <v>0</v>
      </c>
      <c r="EE405">
        <v>0</v>
      </c>
      <c r="EF405">
        <v>0</v>
      </c>
      <c r="EG405">
        <v>0</v>
      </c>
      <c r="EH405">
        <v>255</v>
      </c>
      <c r="EI405">
        <v>255</v>
      </c>
      <c r="EJ405">
        <v>255</v>
      </c>
      <c r="EK405">
        <v>255</v>
      </c>
      <c r="EL405">
        <v>255</v>
      </c>
      <c r="EM405">
        <v>255</v>
      </c>
      <c r="EN405">
        <v>255</v>
      </c>
      <c r="EO405">
        <v>255</v>
      </c>
      <c r="EP405">
        <v>255</v>
      </c>
      <c r="EQ405">
        <v>255</v>
      </c>
      <c r="ER405" t="s">
        <v>208</v>
      </c>
      <c r="ES405" t="s">
        <v>209</v>
      </c>
      <c r="ET405" t="s">
        <v>209</v>
      </c>
      <c r="EU405">
        <v>0</v>
      </c>
      <c r="EV405">
        <v>16.2</v>
      </c>
      <c r="EW405">
        <v>-114.7</v>
      </c>
      <c r="EX405">
        <v>-0.2</v>
      </c>
      <c r="EY405">
        <v>0</v>
      </c>
      <c r="EZ405">
        <v>0</v>
      </c>
      <c r="FA405">
        <v>0</v>
      </c>
      <c r="FB405" t="s">
        <v>198</v>
      </c>
      <c r="FC405" t="s">
        <v>198</v>
      </c>
      <c r="FD405" t="s">
        <v>198</v>
      </c>
      <c r="FE405" t="s">
        <v>198</v>
      </c>
      <c r="FF405" t="s">
        <v>198</v>
      </c>
      <c r="FG405" t="s">
        <v>198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 t="s">
        <v>203</v>
      </c>
      <c r="FP405" t="s">
        <v>203</v>
      </c>
      <c r="FQ405" t="s">
        <v>203</v>
      </c>
      <c r="FR405" t="s">
        <v>203</v>
      </c>
      <c r="FS405" t="s">
        <v>203</v>
      </c>
      <c r="FT405" t="s">
        <v>203</v>
      </c>
      <c r="FU405" t="s">
        <v>198</v>
      </c>
      <c r="FV405" t="s">
        <v>198</v>
      </c>
      <c r="FW405" t="s">
        <v>198</v>
      </c>
      <c r="FX405" t="s">
        <v>198</v>
      </c>
      <c r="FY405" t="s">
        <v>198</v>
      </c>
      <c r="FZ405" t="s">
        <v>198</v>
      </c>
      <c r="GA405">
        <v>31.2</v>
      </c>
      <c r="GB405">
        <v>31.2</v>
      </c>
      <c r="GC405" t="s">
        <v>203</v>
      </c>
      <c r="GD405">
        <v>0</v>
      </c>
      <c r="GE405">
        <v>504</v>
      </c>
      <c r="GF405">
        <v>0</v>
      </c>
      <c r="GG405">
        <v>0</v>
      </c>
      <c r="GH405">
        <v>0</v>
      </c>
      <c r="GI405">
        <v>1</v>
      </c>
      <c r="GJ405">
        <v>1</v>
      </c>
      <c r="GK405">
        <v>0</v>
      </c>
      <c r="GL405" t="s">
        <v>198</v>
      </c>
      <c r="GM405" t="s">
        <v>198</v>
      </c>
      <c r="GN405" t="s">
        <v>198</v>
      </c>
    </row>
    <row r="406" spans="1:196">
      <c r="A406" s="19">
        <v>46316.9085803588</v>
      </c>
      <c r="B406">
        <v>0</v>
      </c>
      <c r="C406">
        <v>0</v>
      </c>
      <c r="D406">
        <v>277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584.2</v>
      </c>
      <c r="N406">
        <v>-0.5</v>
      </c>
      <c r="O406">
        <v>0</v>
      </c>
      <c r="P406">
        <v>0</v>
      </c>
      <c r="Q406">
        <v>0</v>
      </c>
      <c r="R406">
        <v>0</v>
      </c>
      <c r="S406">
        <v>115.6</v>
      </c>
      <c r="T406" t="s">
        <v>485</v>
      </c>
      <c r="U406">
        <v>115.7</v>
      </c>
      <c r="V406">
        <v>1762727256586.8</v>
      </c>
      <c r="W406">
        <v>1</v>
      </c>
      <c r="X406" t="s">
        <v>197</v>
      </c>
      <c r="Y406">
        <v>0</v>
      </c>
      <c r="Z406">
        <v>98</v>
      </c>
      <c r="AA406">
        <v>278</v>
      </c>
      <c r="AB406" t="s">
        <v>197</v>
      </c>
      <c r="AC406" t="s">
        <v>198</v>
      </c>
      <c r="AD406" t="s">
        <v>199</v>
      </c>
      <c r="AE406">
        <v>0</v>
      </c>
      <c r="AF406">
        <v>45</v>
      </c>
      <c r="AG406">
        <v>255</v>
      </c>
      <c r="AH406">
        <v>0</v>
      </c>
      <c r="AI406">
        <v>0</v>
      </c>
      <c r="AJ406">
        <v>0</v>
      </c>
      <c r="AK406">
        <v>12.6</v>
      </c>
      <c r="AL406">
        <v>0</v>
      </c>
      <c r="AM406">
        <v>0</v>
      </c>
      <c r="AN406" t="s">
        <v>197</v>
      </c>
      <c r="AO406">
        <v>100</v>
      </c>
      <c r="AP406" t="s">
        <v>197</v>
      </c>
      <c r="AQ406" t="s">
        <v>200</v>
      </c>
      <c r="AR406">
        <v>1</v>
      </c>
      <c r="AS406">
        <v>0</v>
      </c>
      <c r="AT406" t="s">
        <v>752</v>
      </c>
      <c r="AU406" t="s">
        <v>752</v>
      </c>
      <c r="AV406" t="s">
        <v>202</v>
      </c>
      <c r="AW406" t="s">
        <v>203</v>
      </c>
      <c r="AX406" t="s">
        <v>203</v>
      </c>
      <c r="AY406" t="s">
        <v>203</v>
      </c>
      <c r="AZ406" t="s">
        <v>203</v>
      </c>
      <c r="BA406" t="s">
        <v>203</v>
      </c>
      <c r="BB406" t="s">
        <v>203</v>
      </c>
      <c r="BC406" t="s">
        <v>203</v>
      </c>
      <c r="BD406" t="s">
        <v>203</v>
      </c>
      <c r="BE406" t="s">
        <v>203</v>
      </c>
      <c r="BF406">
        <v>0</v>
      </c>
      <c r="BG406">
        <v>0.2</v>
      </c>
      <c r="BH406">
        <v>50</v>
      </c>
      <c r="BI406">
        <v>0</v>
      </c>
      <c r="BJ406" t="s">
        <v>198</v>
      </c>
      <c r="BK406" t="s">
        <v>198</v>
      </c>
      <c r="BL406" t="s">
        <v>198</v>
      </c>
      <c r="BM406" t="s">
        <v>198</v>
      </c>
      <c r="BN406" t="s">
        <v>198</v>
      </c>
      <c r="BO406" t="s">
        <v>198</v>
      </c>
      <c r="BP406" t="s">
        <v>198</v>
      </c>
      <c r="BQ406" t="s">
        <v>198</v>
      </c>
      <c r="BR406" t="s">
        <v>198</v>
      </c>
      <c r="BS406" t="s">
        <v>198</v>
      </c>
      <c r="BT406" t="s">
        <v>198</v>
      </c>
      <c r="BU406" t="s">
        <v>198</v>
      </c>
      <c r="BV406" t="s">
        <v>198</v>
      </c>
      <c r="BW406" t="s">
        <v>198</v>
      </c>
      <c r="BX406" t="s">
        <v>198</v>
      </c>
      <c r="BY406" t="s">
        <v>198</v>
      </c>
      <c r="BZ406" t="s">
        <v>198</v>
      </c>
      <c r="CA406" t="s">
        <v>198</v>
      </c>
      <c r="CB406" t="s">
        <v>204</v>
      </c>
      <c r="CC406" t="s">
        <v>204</v>
      </c>
      <c r="CD406" t="s">
        <v>204</v>
      </c>
      <c r="CE406" t="s">
        <v>204</v>
      </c>
      <c r="CF406" t="s">
        <v>204</v>
      </c>
      <c r="CG406" t="s">
        <v>204</v>
      </c>
      <c r="CH406" t="s">
        <v>204</v>
      </c>
      <c r="CI406" t="s">
        <v>204</v>
      </c>
      <c r="CJ406" t="s">
        <v>204</v>
      </c>
      <c r="CK406" t="s">
        <v>204</v>
      </c>
      <c r="CL406" t="s">
        <v>204</v>
      </c>
      <c r="CM406" t="s">
        <v>204</v>
      </c>
      <c r="CN406" t="s">
        <v>203</v>
      </c>
      <c r="CO406" t="s">
        <v>203</v>
      </c>
      <c r="CP406" t="s">
        <v>203</v>
      </c>
      <c r="CQ406" t="s">
        <v>203</v>
      </c>
      <c r="CR406" t="s">
        <v>203</v>
      </c>
      <c r="CS406" t="s">
        <v>203</v>
      </c>
      <c r="CT406" t="s">
        <v>203</v>
      </c>
      <c r="CU406" t="s">
        <v>203</v>
      </c>
      <c r="CV406">
        <v>0</v>
      </c>
      <c r="CW406">
        <v>0</v>
      </c>
      <c r="CX406" t="s">
        <v>198</v>
      </c>
      <c r="CY406" t="s">
        <v>198</v>
      </c>
      <c r="CZ406" t="s">
        <v>198</v>
      </c>
      <c r="DA406" t="s">
        <v>198</v>
      </c>
      <c r="DB406" t="s">
        <v>198</v>
      </c>
      <c r="DC406">
        <v>0</v>
      </c>
      <c r="DD406">
        <v>0</v>
      </c>
      <c r="DE406">
        <v>0</v>
      </c>
      <c r="DF406">
        <v>0</v>
      </c>
      <c r="DG406">
        <v>-35.3631166</v>
      </c>
      <c r="DH406">
        <v>149.1639735</v>
      </c>
      <c r="DI406" t="s">
        <v>360</v>
      </c>
      <c r="DJ406">
        <v>1.2</v>
      </c>
      <c r="DK406">
        <v>2</v>
      </c>
      <c r="DL406">
        <v>159.8</v>
      </c>
      <c r="DM406">
        <v>0</v>
      </c>
      <c r="DN406">
        <v>6</v>
      </c>
      <c r="DO406">
        <v>10</v>
      </c>
      <c r="DP406">
        <v>0</v>
      </c>
      <c r="DQ406">
        <v>255</v>
      </c>
      <c r="DR406">
        <v>255</v>
      </c>
      <c r="DS406">
        <v>255</v>
      </c>
      <c r="DT406">
        <v>255</v>
      </c>
      <c r="DU406">
        <v>255</v>
      </c>
      <c r="DV406">
        <v>255</v>
      </c>
      <c r="DW406">
        <v>255</v>
      </c>
      <c r="DX406" t="s">
        <v>206</v>
      </c>
      <c r="DY406" t="s">
        <v>206</v>
      </c>
      <c r="DZ406" t="s">
        <v>207</v>
      </c>
      <c r="EA406" t="s">
        <v>198</v>
      </c>
      <c r="EB406" t="s">
        <v>198</v>
      </c>
      <c r="EC406" t="s">
        <v>198</v>
      </c>
      <c r="ED406">
        <v>0</v>
      </c>
      <c r="EE406">
        <v>0</v>
      </c>
      <c r="EF406">
        <v>0</v>
      </c>
      <c r="EG406">
        <v>0</v>
      </c>
      <c r="EH406">
        <v>255</v>
      </c>
      <c r="EI406">
        <v>255</v>
      </c>
      <c r="EJ406">
        <v>255</v>
      </c>
      <c r="EK406">
        <v>255</v>
      </c>
      <c r="EL406">
        <v>255</v>
      </c>
      <c r="EM406">
        <v>255</v>
      </c>
      <c r="EN406">
        <v>255</v>
      </c>
      <c r="EO406">
        <v>255</v>
      </c>
      <c r="EP406">
        <v>255</v>
      </c>
      <c r="EQ406">
        <v>255</v>
      </c>
      <c r="ER406" t="s">
        <v>208</v>
      </c>
      <c r="ES406" t="s">
        <v>209</v>
      </c>
      <c r="ET406" t="s">
        <v>209</v>
      </c>
      <c r="EU406">
        <v>0</v>
      </c>
      <c r="EV406">
        <v>16.2</v>
      </c>
      <c r="EW406">
        <v>-114.7</v>
      </c>
      <c r="EX406">
        <v>-0.2</v>
      </c>
      <c r="EY406">
        <v>0</v>
      </c>
      <c r="EZ406">
        <v>0</v>
      </c>
      <c r="FA406">
        <v>0</v>
      </c>
      <c r="FB406" t="s">
        <v>198</v>
      </c>
      <c r="FC406" t="s">
        <v>198</v>
      </c>
      <c r="FD406" t="s">
        <v>198</v>
      </c>
      <c r="FE406" t="s">
        <v>198</v>
      </c>
      <c r="FF406" t="s">
        <v>198</v>
      </c>
      <c r="FG406" t="s">
        <v>198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203</v>
      </c>
      <c r="FP406" t="s">
        <v>203</v>
      </c>
      <c r="FQ406" t="s">
        <v>203</v>
      </c>
      <c r="FR406" t="s">
        <v>203</v>
      </c>
      <c r="FS406" t="s">
        <v>203</v>
      </c>
      <c r="FT406" t="s">
        <v>203</v>
      </c>
      <c r="FU406" t="s">
        <v>198</v>
      </c>
      <c r="FV406" t="s">
        <v>198</v>
      </c>
      <c r="FW406" t="s">
        <v>198</v>
      </c>
      <c r="FX406" t="s">
        <v>198</v>
      </c>
      <c r="FY406" t="s">
        <v>198</v>
      </c>
      <c r="FZ406" t="s">
        <v>198</v>
      </c>
      <c r="GA406">
        <v>31.2</v>
      </c>
      <c r="GB406">
        <v>31.2</v>
      </c>
      <c r="GC406" t="s">
        <v>203</v>
      </c>
      <c r="GD406">
        <v>0</v>
      </c>
      <c r="GE406">
        <v>504</v>
      </c>
      <c r="GF406">
        <v>0</v>
      </c>
      <c r="GG406">
        <v>0</v>
      </c>
      <c r="GH406">
        <v>0</v>
      </c>
      <c r="GI406">
        <v>1</v>
      </c>
      <c r="GJ406">
        <v>1</v>
      </c>
      <c r="GK406">
        <v>0</v>
      </c>
      <c r="GL406" t="s">
        <v>198</v>
      </c>
      <c r="GM406" t="s">
        <v>198</v>
      </c>
      <c r="GN406" t="s">
        <v>198</v>
      </c>
    </row>
    <row r="407" spans="1:196">
      <c r="A407" s="19">
        <v>46316.9085919213</v>
      </c>
      <c r="B407">
        <v>0</v>
      </c>
      <c r="C407">
        <v>0</v>
      </c>
      <c r="D407">
        <v>277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584.2</v>
      </c>
      <c r="N407">
        <v>-0.5</v>
      </c>
      <c r="O407">
        <v>0</v>
      </c>
      <c r="P407">
        <v>0</v>
      </c>
      <c r="Q407">
        <v>0</v>
      </c>
      <c r="R407">
        <v>0</v>
      </c>
      <c r="S407">
        <v>115.6</v>
      </c>
      <c r="T407" t="s">
        <v>485</v>
      </c>
      <c r="U407">
        <v>115.7</v>
      </c>
      <c r="V407">
        <v>1762727256586.8</v>
      </c>
      <c r="W407">
        <v>1</v>
      </c>
      <c r="X407" t="s">
        <v>197</v>
      </c>
      <c r="Y407">
        <v>0</v>
      </c>
      <c r="Z407">
        <v>98</v>
      </c>
      <c r="AA407">
        <v>278</v>
      </c>
      <c r="AB407" t="s">
        <v>197</v>
      </c>
      <c r="AC407" t="s">
        <v>198</v>
      </c>
      <c r="AD407" t="s">
        <v>199</v>
      </c>
      <c r="AE407">
        <v>0</v>
      </c>
      <c r="AF407">
        <v>45</v>
      </c>
      <c r="AG407">
        <v>255</v>
      </c>
      <c r="AH407">
        <v>0</v>
      </c>
      <c r="AI407">
        <v>0</v>
      </c>
      <c r="AJ407">
        <v>0</v>
      </c>
      <c r="AK407">
        <v>12.6</v>
      </c>
      <c r="AL407">
        <v>0</v>
      </c>
      <c r="AM407">
        <v>0</v>
      </c>
      <c r="AN407" t="s">
        <v>197</v>
      </c>
      <c r="AO407">
        <v>100</v>
      </c>
      <c r="AP407" t="s">
        <v>197</v>
      </c>
      <c r="AQ407" t="s">
        <v>200</v>
      </c>
      <c r="AR407">
        <v>1</v>
      </c>
      <c r="AS407">
        <v>0</v>
      </c>
      <c r="AT407" t="s">
        <v>753</v>
      </c>
      <c r="AU407" t="s">
        <v>753</v>
      </c>
      <c r="AV407" t="s">
        <v>202</v>
      </c>
      <c r="AW407" t="s">
        <v>203</v>
      </c>
      <c r="AX407" t="s">
        <v>203</v>
      </c>
      <c r="AY407" t="s">
        <v>203</v>
      </c>
      <c r="AZ407" t="s">
        <v>203</v>
      </c>
      <c r="BA407" t="s">
        <v>203</v>
      </c>
      <c r="BB407" t="s">
        <v>203</v>
      </c>
      <c r="BC407" t="s">
        <v>203</v>
      </c>
      <c r="BD407" t="s">
        <v>203</v>
      </c>
      <c r="BE407" t="s">
        <v>203</v>
      </c>
      <c r="BF407">
        <v>0</v>
      </c>
      <c r="BG407">
        <v>0.2</v>
      </c>
      <c r="BH407">
        <v>50</v>
      </c>
      <c r="BI407">
        <v>0</v>
      </c>
      <c r="BJ407" t="s">
        <v>198</v>
      </c>
      <c r="BK407" t="s">
        <v>198</v>
      </c>
      <c r="BL407" t="s">
        <v>198</v>
      </c>
      <c r="BM407" t="s">
        <v>198</v>
      </c>
      <c r="BN407" t="s">
        <v>198</v>
      </c>
      <c r="BO407" t="s">
        <v>198</v>
      </c>
      <c r="BP407" t="s">
        <v>198</v>
      </c>
      <c r="BQ407" t="s">
        <v>198</v>
      </c>
      <c r="BR407" t="s">
        <v>198</v>
      </c>
      <c r="BS407" t="s">
        <v>198</v>
      </c>
      <c r="BT407" t="s">
        <v>198</v>
      </c>
      <c r="BU407" t="s">
        <v>198</v>
      </c>
      <c r="BV407" t="s">
        <v>198</v>
      </c>
      <c r="BW407" t="s">
        <v>198</v>
      </c>
      <c r="BX407" t="s">
        <v>198</v>
      </c>
      <c r="BY407" t="s">
        <v>198</v>
      </c>
      <c r="BZ407" t="s">
        <v>198</v>
      </c>
      <c r="CA407" t="s">
        <v>198</v>
      </c>
      <c r="CB407" t="s">
        <v>204</v>
      </c>
      <c r="CC407" t="s">
        <v>204</v>
      </c>
      <c r="CD407" t="s">
        <v>204</v>
      </c>
      <c r="CE407" t="s">
        <v>204</v>
      </c>
      <c r="CF407" t="s">
        <v>204</v>
      </c>
      <c r="CG407" t="s">
        <v>204</v>
      </c>
      <c r="CH407" t="s">
        <v>204</v>
      </c>
      <c r="CI407" t="s">
        <v>204</v>
      </c>
      <c r="CJ407" t="s">
        <v>204</v>
      </c>
      <c r="CK407" t="s">
        <v>204</v>
      </c>
      <c r="CL407" t="s">
        <v>204</v>
      </c>
      <c r="CM407" t="s">
        <v>204</v>
      </c>
      <c r="CN407" t="s">
        <v>203</v>
      </c>
      <c r="CO407" t="s">
        <v>203</v>
      </c>
      <c r="CP407" t="s">
        <v>203</v>
      </c>
      <c r="CQ407" t="s">
        <v>203</v>
      </c>
      <c r="CR407" t="s">
        <v>203</v>
      </c>
      <c r="CS407" t="s">
        <v>203</v>
      </c>
      <c r="CT407" t="s">
        <v>203</v>
      </c>
      <c r="CU407" t="s">
        <v>203</v>
      </c>
      <c r="CV407">
        <v>0</v>
      </c>
      <c r="CW407">
        <v>0</v>
      </c>
      <c r="CX407" t="s">
        <v>198</v>
      </c>
      <c r="CY407" t="s">
        <v>198</v>
      </c>
      <c r="CZ407" t="s">
        <v>198</v>
      </c>
      <c r="DA407" t="s">
        <v>198</v>
      </c>
      <c r="DB407" t="s">
        <v>198</v>
      </c>
      <c r="DC407">
        <v>0</v>
      </c>
      <c r="DD407">
        <v>0</v>
      </c>
      <c r="DE407">
        <v>0</v>
      </c>
      <c r="DF407">
        <v>0</v>
      </c>
      <c r="DG407">
        <v>-35.3631166</v>
      </c>
      <c r="DH407">
        <v>149.1639735</v>
      </c>
      <c r="DI407" t="s">
        <v>360</v>
      </c>
      <c r="DJ407">
        <v>1.2</v>
      </c>
      <c r="DK407">
        <v>2</v>
      </c>
      <c r="DL407">
        <v>159.8</v>
      </c>
      <c r="DM407">
        <v>0</v>
      </c>
      <c r="DN407">
        <v>6</v>
      </c>
      <c r="DO407">
        <v>10</v>
      </c>
      <c r="DP407">
        <v>0</v>
      </c>
      <c r="DQ407">
        <v>255</v>
      </c>
      <c r="DR407">
        <v>255</v>
      </c>
      <c r="DS407">
        <v>255</v>
      </c>
      <c r="DT407">
        <v>255</v>
      </c>
      <c r="DU407">
        <v>255</v>
      </c>
      <c r="DV407">
        <v>255</v>
      </c>
      <c r="DW407">
        <v>255</v>
      </c>
      <c r="DX407" t="s">
        <v>206</v>
      </c>
      <c r="DY407" t="s">
        <v>206</v>
      </c>
      <c r="DZ407" t="s">
        <v>207</v>
      </c>
      <c r="EA407" t="s">
        <v>198</v>
      </c>
      <c r="EB407" t="s">
        <v>198</v>
      </c>
      <c r="EC407" t="s">
        <v>198</v>
      </c>
      <c r="ED407">
        <v>0</v>
      </c>
      <c r="EE407">
        <v>0</v>
      </c>
      <c r="EF407">
        <v>0</v>
      </c>
      <c r="EG407">
        <v>0</v>
      </c>
      <c r="EH407">
        <v>255</v>
      </c>
      <c r="EI407">
        <v>255</v>
      </c>
      <c r="EJ407">
        <v>255</v>
      </c>
      <c r="EK407">
        <v>255</v>
      </c>
      <c r="EL407">
        <v>255</v>
      </c>
      <c r="EM407">
        <v>255</v>
      </c>
      <c r="EN407">
        <v>255</v>
      </c>
      <c r="EO407">
        <v>255</v>
      </c>
      <c r="EP407">
        <v>255</v>
      </c>
      <c r="EQ407">
        <v>255</v>
      </c>
      <c r="ER407" t="s">
        <v>208</v>
      </c>
      <c r="ES407" t="s">
        <v>209</v>
      </c>
      <c r="ET407" t="s">
        <v>209</v>
      </c>
      <c r="EU407">
        <v>0</v>
      </c>
      <c r="EV407">
        <v>16.2</v>
      </c>
      <c r="EW407">
        <v>-114.7</v>
      </c>
      <c r="EX407">
        <v>-0.2</v>
      </c>
      <c r="EY407">
        <v>0</v>
      </c>
      <c r="EZ407">
        <v>0</v>
      </c>
      <c r="FA407">
        <v>0</v>
      </c>
      <c r="FB407" t="s">
        <v>198</v>
      </c>
      <c r="FC407" t="s">
        <v>198</v>
      </c>
      <c r="FD407" t="s">
        <v>198</v>
      </c>
      <c r="FE407" t="s">
        <v>198</v>
      </c>
      <c r="FF407" t="s">
        <v>198</v>
      </c>
      <c r="FG407" t="s">
        <v>198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203</v>
      </c>
      <c r="FP407" t="s">
        <v>203</v>
      </c>
      <c r="FQ407" t="s">
        <v>203</v>
      </c>
      <c r="FR407" t="s">
        <v>203</v>
      </c>
      <c r="FS407" t="s">
        <v>203</v>
      </c>
      <c r="FT407" t="s">
        <v>203</v>
      </c>
      <c r="FU407" t="s">
        <v>198</v>
      </c>
      <c r="FV407" t="s">
        <v>198</v>
      </c>
      <c r="FW407" t="s">
        <v>198</v>
      </c>
      <c r="FX407" t="s">
        <v>198</v>
      </c>
      <c r="FY407" t="s">
        <v>198</v>
      </c>
      <c r="FZ407" t="s">
        <v>198</v>
      </c>
      <c r="GA407">
        <v>31.2</v>
      </c>
      <c r="GB407">
        <v>31.2</v>
      </c>
      <c r="GC407" t="s">
        <v>203</v>
      </c>
      <c r="GD407">
        <v>0</v>
      </c>
      <c r="GE407">
        <v>504</v>
      </c>
      <c r="GF407">
        <v>0</v>
      </c>
      <c r="GG407">
        <v>0</v>
      </c>
      <c r="GH407">
        <v>0</v>
      </c>
      <c r="GI407">
        <v>1</v>
      </c>
      <c r="GJ407">
        <v>1</v>
      </c>
      <c r="GK407">
        <v>0</v>
      </c>
      <c r="GL407" t="s">
        <v>198</v>
      </c>
      <c r="GM407" t="s">
        <v>198</v>
      </c>
      <c r="GN407" t="s">
        <v>198</v>
      </c>
    </row>
    <row r="408" spans="1:196">
      <c r="A408" s="19">
        <v>46316.90860349537</v>
      </c>
      <c r="B408">
        <v>0</v>
      </c>
      <c r="C408">
        <v>0</v>
      </c>
      <c r="D408">
        <v>277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584.2</v>
      </c>
      <c r="N408">
        <v>-0.5</v>
      </c>
      <c r="O408">
        <v>0</v>
      </c>
      <c r="P408">
        <v>0</v>
      </c>
      <c r="Q408">
        <v>0</v>
      </c>
      <c r="R408">
        <v>0</v>
      </c>
      <c r="S408">
        <v>115.6</v>
      </c>
      <c r="T408" t="s">
        <v>485</v>
      </c>
      <c r="U408">
        <v>115.7</v>
      </c>
      <c r="V408">
        <v>1762727256586.8</v>
      </c>
      <c r="W408">
        <v>1</v>
      </c>
      <c r="X408" t="s">
        <v>197</v>
      </c>
      <c r="Y408">
        <v>0</v>
      </c>
      <c r="Z408">
        <v>98</v>
      </c>
      <c r="AA408">
        <v>278</v>
      </c>
      <c r="AB408" t="s">
        <v>197</v>
      </c>
      <c r="AC408" t="s">
        <v>198</v>
      </c>
      <c r="AD408" t="s">
        <v>199</v>
      </c>
      <c r="AE408">
        <v>0</v>
      </c>
      <c r="AF408">
        <v>45</v>
      </c>
      <c r="AG408">
        <v>255</v>
      </c>
      <c r="AH408">
        <v>0</v>
      </c>
      <c r="AI408">
        <v>0</v>
      </c>
      <c r="AJ408">
        <v>0</v>
      </c>
      <c r="AK408">
        <v>12.6</v>
      </c>
      <c r="AL408">
        <v>0</v>
      </c>
      <c r="AM408">
        <v>0</v>
      </c>
      <c r="AN408" t="s">
        <v>197</v>
      </c>
      <c r="AO408">
        <v>100</v>
      </c>
      <c r="AP408" t="s">
        <v>197</v>
      </c>
      <c r="AQ408" t="s">
        <v>200</v>
      </c>
      <c r="AR408">
        <v>1</v>
      </c>
      <c r="AS408">
        <v>0</v>
      </c>
      <c r="AT408" t="s">
        <v>754</v>
      </c>
      <c r="AU408" t="s">
        <v>754</v>
      </c>
      <c r="AV408" t="s">
        <v>202</v>
      </c>
      <c r="AW408" t="s">
        <v>203</v>
      </c>
      <c r="AX408" t="s">
        <v>203</v>
      </c>
      <c r="AY408" t="s">
        <v>203</v>
      </c>
      <c r="AZ408" t="s">
        <v>203</v>
      </c>
      <c r="BA408" t="s">
        <v>203</v>
      </c>
      <c r="BB408" t="s">
        <v>203</v>
      </c>
      <c r="BC408" t="s">
        <v>203</v>
      </c>
      <c r="BD408" t="s">
        <v>203</v>
      </c>
      <c r="BE408" t="s">
        <v>203</v>
      </c>
      <c r="BF408">
        <v>0</v>
      </c>
      <c r="BG408">
        <v>0.2</v>
      </c>
      <c r="BH408">
        <v>50</v>
      </c>
      <c r="BI408">
        <v>0</v>
      </c>
      <c r="BJ408" t="s">
        <v>198</v>
      </c>
      <c r="BK408" t="s">
        <v>198</v>
      </c>
      <c r="BL408" t="s">
        <v>198</v>
      </c>
      <c r="BM408" t="s">
        <v>198</v>
      </c>
      <c r="BN408" t="s">
        <v>198</v>
      </c>
      <c r="BO408" t="s">
        <v>198</v>
      </c>
      <c r="BP408" t="s">
        <v>198</v>
      </c>
      <c r="BQ408" t="s">
        <v>198</v>
      </c>
      <c r="BR408" t="s">
        <v>198</v>
      </c>
      <c r="BS408" t="s">
        <v>198</v>
      </c>
      <c r="BT408" t="s">
        <v>198</v>
      </c>
      <c r="BU408" t="s">
        <v>198</v>
      </c>
      <c r="BV408" t="s">
        <v>198</v>
      </c>
      <c r="BW408" t="s">
        <v>198</v>
      </c>
      <c r="BX408" t="s">
        <v>198</v>
      </c>
      <c r="BY408" t="s">
        <v>198</v>
      </c>
      <c r="BZ408" t="s">
        <v>198</v>
      </c>
      <c r="CA408" t="s">
        <v>198</v>
      </c>
      <c r="CB408" t="s">
        <v>204</v>
      </c>
      <c r="CC408" t="s">
        <v>204</v>
      </c>
      <c r="CD408" t="s">
        <v>204</v>
      </c>
      <c r="CE408" t="s">
        <v>204</v>
      </c>
      <c r="CF408" t="s">
        <v>204</v>
      </c>
      <c r="CG408" t="s">
        <v>204</v>
      </c>
      <c r="CH408" t="s">
        <v>204</v>
      </c>
      <c r="CI408" t="s">
        <v>204</v>
      </c>
      <c r="CJ408" t="s">
        <v>204</v>
      </c>
      <c r="CK408" t="s">
        <v>204</v>
      </c>
      <c r="CL408" t="s">
        <v>204</v>
      </c>
      <c r="CM408" t="s">
        <v>204</v>
      </c>
      <c r="CN408" t="s">
        <v>203</v>
      </c>
      <c r="CO408" t="s">
        <v>203</v>
      </c>
      <c r="CP408" t="s">
        <v>203</v>
      </c>
      <c r="CQ408" t="s">
        <v>203</v>
      </c>
      <c r="CR408" t="s">
        <v>203</v>
      </c>
      <c r="CS408" t="s">
        <v>203</v>
      </c>
      <c r="CT408" t="s">
        <v>203</v>
      </c>
      <c r="CU408" t="s">
        <v>203</v>
      </c>
      <c r="CV408">
        <v>0</v>
      </c>
      <c r="CW408">
        <v>0</v>
      </c>
      <c r="CX408" t="s">
        <v>198</v>
      </c>
      <c r="CY408" t="s">
        <v>198</v>
      </c>
      <c r="CZ408" t="s">
        <v>198</v>
      </c>
      <c r="DA408" t="s">
        <v>198</v>
      </c>
      <c r="DB408" t="s">
        <v>198</v>
      </c>
      <c r="DC408">
        <v>0</v>
      </c>
      <c r="DD408">
        <v>0</v>
      </c>
      <c r="DE408">
        <v>0</v>
      </c>
      <c r="DF408">
        <v>0</v>
      </c>
      <c r="DG408">
        <v>-35.3631166</v>
      </c>
      <c r="DH408">
        <v>149.1639735</v>
      </c>
      <c r="DI408" t="s">
        <v>360</v>
      </c>
      <c r="DJ408">
        <v>1.2</v>
      </c>
      <c r="DK408">
        <v>2</v>
      </c>
      <c r="DL408">
        <v>159.8</v>
      </c>
      <c r="DM408">
        <v>0</v>
      </c>
      <c r="DN408">
        <v>6</v>
      </c>
      <c r="DO408">
        <v>10</v>
      </c>
      <c r="DP408">
        <v>0</v>
      </c>
      <c r="DQ408">
        <v>255</v>
      </c>
      <c r="DR408">
        <v>255</v>
      </c>
      <c r="DS408">
        <v>255</v>
      </c>
      <c r="DT408">
        <v>255</v>
      </c>
      <c r="DU408">
        <v>255</v>
      </c>
      <c r="DV408">
        <v>255</v>
      </c>
      <c r="DW408">
        <v>255</v>
      </c>
      <c r="DX408" t="s">
        <v>206</v>
      </c>
      <c r="DY408" t="s">
        <v>206</v>
      </c>
      <c r="DZ408" t="s">
        <v>207</v>
      </c>
      <c r="EA408" t="s">
        <v>198</v>
      </c>
      <c r="EB408" t="s">
        <v>198</v>
      </c>
      <c r="EC408" t="s">
        <v>198</v>
      </c>
      <c r="ED408">
        <v>0</v>
      </c>
      <c r="EE408">
        <v>0</v>
      </c>
      <c r="EF408">
        <v>0</v>
      </c>
      <c r="EG408">
        <v>0</v>
      </c>
      <c r="EH408">
        <v>255</v>
      </c>
      <c r="EI408">
        <v>255</v>
      </c>
      <c r="EJ408">
        <v>255</v>
      </c>
      <c r="EK408">
        <v>255</v>
      </c>
      <c r="EL408">
        <v>255</v>
      </c>
      <c r="EM408">
        <v>255</v>
      </c>
      <c r="EN408">
        <v>255</v>
      </c>
      <c r="EO408">
        <v>255</v>
      </c>
      <c r="EP408">
        <v>255</v>
      </c>
      <c r="EQ408">
        <v>255</v>
      </c>
      <c r="ER408" t="s">
        <v>208</v>
      </c>
      <c r="ES408" t="s">
        <v>209</v>
      </c>
      <c r="ET408" t="s">
        <v>209</v>
      </c>
      <c r="EU408">
        <v>0</v>
      </c>
      <c r="EV408">
        <v>16.2</v>
      </c>
      <c r="EW408">
        <v>-114.7</v>
      </c>
      <c r="EX408">
        <v>-0.2</v>
      </c>
      <c r="EY408">
        <v>0</v>
      </c>
      <c r="EZ408">
        <v>0</v>
      </c>
      <c r="FA408">
        <v>0</v>
      </c>
      <c r="FB408" t="s">
        <v>198</v>
      </c>
      <c r="FC408" t="s">
        <v>198</v>
      </c>
      <c r="FD408" t="s">
        <v>198</v>
      </c>
      <c r="FE408" t="s">
        <v>198</v>
      </c>
      <c r="FF408" t="s">
        <v>198</v>
      </c>
      <c r="FG408" t="s">
        <v>198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203</v>
      </c>
      <c r="FP408" t="s">
        <v>203</v>
      </c>
      <c r="FQ408" t="s">
        <v>203</v>
      </c>
      <c r="FR408" t="s">
        <v>203</v>
      </c>
      <c r="FS408" t="s">
        <v>203</v>
      </c>
      <c r="FT408" t="s">
        <v>203</v>
      </c>
      <c r="FU408" t="s">
        <v>198</v>
      </c>
      <c r="FV408" t="s">
        <v>198</v>
      </c>
      <c r="FW408" t="s">
        <v>198</v>
      </c>
      <c r="FX408" t="s">
        <v>198</v>
      </c>
      <c r="FY408" t="s">
        <v>198</v>
      </c>
      <c r="FZ408" t="s">
        <v>198</v>
      </c>
      <c r="GA408">
        <v>31.2</v>
      </c>
      <c r="GB408">
        <v>31.2</v>
      </c>
      <c r="GC408" t="s">
        <v>203</v>
      </c>
      <c r="GD408">
        <v>0</v>
      </c>
      <c r="GE408">
        <v>504</v>
      </c>
      <c r="GF408">
        <v>0</v>
      </c>
      <c r="GG408">
        <v>0</v>
      </c>
      <c r="GH408">
        <v>0</v>
      </c>
      <c r="GI408">
        <v>1</v>
      </c>
      <c r="GJ408">
        <v>1</v>
      </c>
      <c r="GK408">
        <v>0</v>
      </c>
      <c r="GL408" t="s">
        <v>198</v>
      </c>
      <c r="GM408" t="s">
        <v>198</v>
      </c>
      <c r="GN408" t="s">
        <v>198</v>
      </c>
    </row>
    <row r="409" spans="1:196">
      <c r="A409" s="19">
        <v>46316.90861508102</v>
      </c>
      <c r="B409">
        <v>0</v>
      </c>
      <c r="C409">
        <v>0</v>
      </c>
      <c r="D409">
        <v>277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584.2</v>
      </c>
      <c r="N409">
        <v>-0.5</v>
      </c>
      <c r="O409">
        <v>0</v>
      </c>
      <c r="P409">
        <v>0</v>
      </c>
      <c r="Q409">
        <v>0</v>
      </c>
      <c r="R409">
        <v>0</v>
      </c>
      <c r="S409">
        <v>115.6</v>
      </c>
      <c r="T409" t="s">
        <v>485</v>
      </c>
      <c r="U409">
        <v>115.7</v>
      </c>
      <c r="V409">
        <v>1762727256586.8</v>
      </c>
      <c r="W409">
        <v>1</v>
      </c>
      <c r="X409" t="s">
        <v>197</v>
      </c>
      <c r="Y409">
        <v>0</v>
      </c>
      <c r="Z409">
        <v>98</v>
      </c>
      <c r="AA409">
        <v>278</v>
      </c>
      <c r="AB409" t="s">
        <v>197</v>
      </c>
      <c r="AC409" t="s">
        <v>198</v>
      </c>
      <c r="AD409" t="s">
        <v>199</v>
      </c>
      <c r="AE409">
        <v>0</v>
      </c>
      <c r="AF409">
        <v>45</v>
      </c>
      <c r="AG409">
        <v>255</v>
      </c>
      <c r="AH409">
        <v>0</v>
      </c>
      <c r="AI409">
        <v>0</v>
      </c>
      <c r="AJ409">
        <v>0</v>
      </c>
      <c r="AK409">
        <v>12.6</v>
      </c>
      <c r="AL409">
        <v>0</v>
      </c>
      <c r="AM409">
        <v>0</v>
      </c>
      <c r="AN409" t="s">
        <v>197</v>
      </c>
      <c r="AO409">
        <v>100</v>
      </c>
      <c r="AP409" t="s">
        <v>197</v>
      </c>
      <c r="AQ409" t="s">
        <v>200</v>
      </c>
      <c r="AR409">
        <v>1</v>
      </c>
      <c r="AS409">
        <v>0</v>
      </c>
      <c r="AT409" t="s">
        <v>755</v>
      </c>
      <c r="AU409" t="s">
        <v>755</v>
      </c>
      <c r="AV409" t="s">
        <v>202</v>
      </c>
      <c r="AW409" t="s">
        <v>203</v>
      </c>
      <c r="AX409" t="s">
        <v>203</v>
      </c>
      <c r="AY409" t="s">
        <v>203</v>
      </c>
      <c r="AZ409" t="s">
        <v>203</v>
      </c>
      <c r="BA409" t="s">
        <v>203</v>
      </c>
      <c r="BB409" t="s">
        <v>203</v>
      </c>
      <c r="BC409" t="s">
        <v>203</v>
      </c>
      <c r="BD409" t="s">
        <v>203</v>
      </c>
      <c r="BE409" t="s">
        <v>203</v>
      </c>
      <c r="BF409">
        <v>0</v>
      </c>
      <c r="BG409">
        <v>0.2</v>
      </c>
      <c r="BH409">
        <v>50</v>
      </c>
      <c r="BI409">
        <v>0</v>
      </c>
      <c r="BJ409" t="s">
        <v>198</v>
      </c>
      <c r="BK409" t="s">
        <v>198</v>
      </c>
      <c r="BL409" t="s">
        <v>198</v>
      </c>
      <c r="BM409" t="s">
        <v>198</v>
      </c>
      <c r="BN409" t="s">
        <v>198</v>
      </c>
      <c r="BO409" t="s">
        <v>198</v>
      </c>
      <c r="BP409" t="s">
        <v>198</v>
      </c>
      <c r="BQ409" t="s">
        <v>198</v>
      </c>
      <c r="BR409" t="s">
        <v>198</v>
      </c>
      <c r="BS409" t="s">
        <v>198</v>
      </c>
      <c r="BT409" t="s">
        <v>198</v>
      </c>
      <c r="BU409" t="s">
        <v>198</v>
      </c>
      <c r="BV409" t="s">
        <v>198</v>
      </c>
      <c r="BW409" t="s">
        <v>198</v>
      </c>
      <c r="BX409" t="s">
        <v>198</v>
      </c>
      <c r="BY409" t="s">
        <v>198</v>
      </c>
      <c r="BZ409" t="s">
        <v>198</v>
      </c>
      <c r="CA409" t="s">
        <v>198</v>
      </c>
      <c r="CB409" t="s">
        <v>204</v>
      </c>
      <c r="CC409" t="s">
        <v>204</v>
      </c>
      <c r="CD409" t="s">
        <v>204</v>
      </c>
      <c r="CE409" t="s">
        <v>204</v>
      </c>
      <c r="CF409" t="s">
        <v>204</v>
      </c>
      <c r="CG409" t="s">
        <v>204</v>
      </c>
      <c r="CH409" t="s">
        <v>204</v>
      </c>
      <c r="CI409" t="s">
        <v>204</v>
      </c>
      <c r="CJ409" t="s">
        <v>204</v>
      </c>
      <c r="CK409" t="s">
        <v>204</v>
      </c>
      <c r="CL409" t="s">
        <v>204</v>
      </c>
      <c r="CM409" t="s">
        <v>204</v>
      </c>
      <c r="CN409" t="s">
        <v>203</v>
      </c>
      <c r="CO409" t="s">
        <v>203</v>
      </c>
      <c r="CP409" t="s">
        <v>203</v>
      </c>
      <c r="CQ409" t="s">
        <v>203</v>
      </c>
      <c r="CR409" t="s">
        <v>203</v>
      </c>
      <c r="CS409" t="s">
        <v>203</v>
      </c>
      <c r="CT409" t="s">
        <v>203</v>
      </c>
      <c r="CU409" t="s">
        <v>203</v>
      </c>
      <c r="CV409">
        <v>0</v>
      </c>
      <c r="CW409">
        <v>0</v>
      </c>
      <c r="CX409" t="s">
        <v>198</v>
      </c>
      <c r="CY409" t="s">
        <v>198</v>
      </c>
      <c r="CZ409" t="s">
        <v>198</v>
      </c>
      <c r="DA409" t="s">
        <v>198</v>
      </c>
      <c r="DB409" t="s">
        <v>198</v>
      </c>
      <c r="DC409">
        <v>0</v>
      </c>
      <c r="DD409">
        <v>0</v>
      </c>
      <c r="DE409">
        <v>0</v>
      </c>
      <c r="DF409">
        <v>0</v>
      </c>
      <c r="DG409">
        <v>-35.3631166</v>
      </c>
      <c r="DH409">
        <v>149.1639735</v>
      </c>
      <c r="DI409" t="s">
        <v>360</v>
      </c>
      <c r="DJ409">
        <v>1.2</v>
      </c>
      <c r="DK409">
        <v>2</v>
      </c>
      <c r="DL409">
        <v>159.8</v>
      </c>
      <c r="DM409">
        <v>0</v>
      </c>
      <c r="DN409">
        <v>6</v>
      </c>
      <c r="DO409">
        <v>10</v>
      </c>
      <c r="DP409">
        <v>0</v>
      </c>
      <c r="DQ409">
        <v>255</v>
      </c>
      <c r="DR409">
        <v>255</v>
      </c>
      <c r="DS409">
        <v>255</v>
      </c>
      <c r="DT409">
        <v>255</v>
      </c>
      <c r="DU409">
        <v>255</v>
      </c>
      <c r="DV409">
        <v>255</v>
      </c>
      <c r="DW409">
        <v>255</v>
      </c>
      <c r="DX409" t="s">
        <v>206</v>
      </c>
      <c r="DY409" t="s">
        <v>206</v>
      </c>
      <c r="DZ409" t="s">
        <v>207</v>
      </c>
      <c r="EA409" t="s">
        <v>198</v>
      </c>
      <c r="EB409" t="s">
        <v>198</v>
      </c>
      <c r="EC409" t="s">
        <v>198</v>
      </c>
      <c r="ED409">
        <v>0</v>
      </c>
      <c r="EE409">
        <v>0</v>
      </c>
      <c r="EF409">
        <v>0</v>
      </c>
      <c r="EG409">
        <v>0</v>
      </c>
      <c r="EH409">
        <v>255</v>
      </c>
      <c r="EI409">
        <v>255</v>
      </c>
      <c r="EJ409">
        <v>255</v>
      </c>
      <c r="EK409">
        <v>255</v>
      </c>
      <c r="EL409">
        <v>255</v>
      </c>
      <c r="EM409">
        <v>255</v>
      </c>
      <c r="EN409">
        <v>255</v>
      </c>
      <c r="EO409">
        <v>255</v>
      </c>
      <c r="EP409">
        <v>255</v>
      </c>
      <c r="EQ409">
        <v>255</v>
      </c>
      <c r="ER409" t="s">
        <v>208</v>
      </c>
      <c r="ES409" t="s">
        <v>209</v>
      </c>
      <c r="ET409" t="s">
        <v>209</v>
      </c>
      <c r="EU409">
        <v>0</v>
      </c>
      <c r="EV409">
        <v>16.2</v>
      </c>
      <c r="EW409">
        <v>-114.7</v>
      </c>
      <c r="EX409">
        <v>-0.2</v>
      </c>
      <c r="EY409">
        <v>0</v>
      </c>
      <c r="EZ409">
        <v>0</v>
      </c>
      <c r="FA409">
        <v>0</v>
      </c>
      <c r="FB409" t="s">
        <v>198</v>
      </c>
      <c r="FC409" t="s">
        <v>198</v>
      </c>
      <c r="FD409" t="s">
        <v>198</v>
      </c>
      <c r="FE409" t="s">
        <v>198</v>
      </c>
      <c r="FF409" t="s">
        <v>198</v>
      </c>
      <c r="FG409" t="s">
        <v>198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203</v>
      </c>
      <c r="FP409" t="s">
        <v>203</v>
      </c>
      <c r="FQ409" t="s">
        <v>203</v>
      </c>
      <c r="FR409" t="s">
        <v>203</v>
      </c>
      <c r="FS409" t="s">
        <v>203</v>
      </c>
      <c r="FT409" t="s">
        <v>203</v>
      </c>
      <c r="FU409" t="s">
        <v>198</v>
      </c>
      <c r="FV409" t="s">
        <v>198</v>
      </c>
      <c r="FW409" t="s">
        <v>198</v>
      </c>
      <c r="FX409" t="s">
        <v>198</v>
      </c>
      <c r="FY409" t="s">
        <v>198</v>
      </c>
      <c r="FZ409" t="s">
        <v>198</v>
      </c>
      <c r="GA409">
        <v>31.2</v>
      </c>
      <c r="GB409">
        <v>31.2</v>
      </c>
      <c r="GC409" t="s">
        <v>203</v>
      </c>
      <c r="GD409">
        <v>0</v>
      </c>
      <c r="GE409">
        <v>504</v>
      </c>
      <c r="GF409">
        <v>0</v>
      </c>
      <c r="GG409">
        <v>0</v>
      </c>
      <c r="GH409">
        <v>0</v>
      </c>
      <c r="GI409">
        <v>1</v>
      </c>
      <c r="GJ409">
        <v>1</v>
      </c>
      <c r="GK409">
        <v>0</v>
      </c>
      <c r="GL409" t="s">
        <v>198</v>
      </c>
      <c r="GM409" t="s">
        <v>198</v>
      </c>
      <c r="GN409" t="s">
        <v>198</v>
      </c>
    </row>
    <row r="410" spans="1:196">
      <c r="A410" s="19">
        <v>46316.90862665509</v>
      </c>
      <c r="B410">
        <v>0</v>
      </c>
      <c r="C410">
        <v>0</v>
      </c>
      <c r="D410">
        <v>277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584.2</v>
      </c>
      <c r="N410">
        <v>-0.5</v>
      </c>
      <c r="O410">
        <v>0</v>
      </c>
      <c r="P410">
        <v>0</v>
      </c>
      <c r="Q410">
        <v>0</v>
      </c>
      <c r="R410">
        <v>0</v>
      </c>
      <c r="S410">
        <v>115.6</v>
      </c>
      <c r="T410" t="s">
        <v>485</v>
      </c>
      <c r="U410">
        <v>115.7</v>
      </c>
      <c r="V410">
        <v>1762727256586.8</v>
      </c>
      <c r="W410">
        <v>1</v>
      </c>
      <c r="X410" t="s">
        <v>197</v>
      </c>
      <c r="Y410">
        <v>0</v>
      </c>
      <c r="Z410">
        <v>98</v>
      </c>
      <c r="AA410">
        <v>278</v>
      </c>
      <c r="AB410" t="s">
        <v>197</v>
      </c>
      <c r="AC410" t="s">
        <v>198</v>
      </c>
      <c r="AD410" t="s">
        <v>199</v>
      </c>
      <c r="AE410">
        <v>0</v>
      </c>
      <c r="AF410">
        <v>45</v>
      </c>
      <c r="AG410">
        <v>255</v>
      </c>
      <c r="AH410">
        <v>0</v>
      </c>
      <c r="AI410">
        <v>0</v>
      </c>
      <c r="AJ410">
        <v>0</v>
      </c>
      <c r="AK410">
        <v>12.6</v>
      </c>
      <c r="AL410">
        <v>0</v>
      </c>
      <c r="AM410">
        <v>0</v>
      </c>
      <c r="AN410" t="s">
        <v>197</v>
      </c>
      <c r="AO410">
        <v>100</v>
      </c>
      <c r="AP410" t="s">
        <v>197</v>
      </c>
      <c r="AQ410" t="s">
        <v>200</v>
      </c>
      <c r="AR410">
        <v>1</v>
      </c>
      <c r="AS410">
        <v>0</v>
      </c>
      <c r="AT410" t="s">
        <v>756</v>
      </c>
      <c r="AU410" t="s">
        <v>756</v>
      </c>
      <c r="AV410" t="s">
        <v>202</v>
      </c>
      <c r="AW410" t="s">
        <v>203</v>
      </c>
      <c r="AX410" t="s">
        <v>203</v>
      </c>
      <c r="AY410" t="s">
        <v>203</v>
      </c>
      <c r="AZ410" t="s">
        <v>203</v>
      </c>
      <c r="BA410" t="s">
        <v>203</v>
      </c>
      <c r="BB410" t="s">
        <v>203</v>
      </c>
      <c r="BC410" t="s">
        <v>203</v>
      </c>
      <c r="BD410" t="s">
        <v>203</v>
      </c>
      <c r="BE410" t="s">
        <v>203</v>
      </c>
      <c r="BF410">
        <v>0</v>
      </c>
      <c r="BG410">
        <v>0.2</v>
      </c>
      <c r="BH410">
        <v>50</v>
      </c>
      <c r="BI410">
        <v>0</v>
      </c>
      <c r="BJ410" t="s">
        <v>198</v>
      </c>
      <c r="BK410" t="s">
        <v>198</v>
      </c>
      <c r="BL410" t="s">
        <v>198</v>
      </c>
      <c r="BM410" t="s">
        <v>198</v>
      </c>
      <c r="BN410" t="s">
        <v>198</v>
      </c>
      <c r="BO410" t="s">
        <v>198</v>
      </c>
      <c r="BP410" t="s">
        <v>198</v>
      </c>
      <c r="BQ410" t="s">
        <v>198</v>
      </c>
      <c r="BR410" t="s">
        <v>198</v>
      </c>
      <c r="BS410" t="s">
        <v>198</v>
      </c>
      <c r="BT410" t="s">
        <v>198</v>
      </c>
      <c r="BU410" t="s">
        <v>198</v>
      </c>
      <c r="BV410" t="s">
        <v>198</v>
      </c>
      <c r="BW410" t="s">
        <v>198</v>
      </c>
      <c r="BX410" t="s">
        <v>198</v>
      </c>
      <c r="BY410" t="s">
        <v>198</v>
      </c>
      <c r="BZ410" t="s">
        <v>198</v>
      </c>
      <c r="CA410" t="s">
        <v>198</v>
      </c>
      <c r="CB410" t="s">
        <v>204</v>
      </c>
      <c r="CC410" t="s">
        <v>204</v>
      </c>
      <c r="CD410" t="s">
        <v>204</v>
      </c>
      <c r="CE410" t="s">
        <v>204</v>
      </c>
      <c r="CF410" t="s">
        <v>204</v>
      </c>
      <c r="CG410" t="s">
        <v>204</v>
      </c>
      <c r="CH410" t="s">
        <v>204</v>
      </c>
      <c r="CI410" t="s">
        <v>204</v>
      </c>
      <c r="CJ410" t="s">
        <v>204</v>
      </c>
      <c r="CK410" t="s">
        <v>204</v>
      </c>
      <c r="CL410" t="s">
        <v>204</v>
      </c>
      <c r="CM410" t="s">
        <v>204</v>
      </c>
      <c r="CN410" t="s">
        <v>203</v>
      </c>
      <c r="CO410" t="s">
        <v>203</v>
      </c>
      <c r="CP410" t="s">
        <v>203</v>
      </c>
      <c r="CQ410" t="s">
        <v>203</v>
      </c>
      <c r="CR410" t="s">
        <v>203</v>
      </c>
      <c r="CS410" t="s">
        <v>203</v>
      </c>
      <c r="CT410" t="s">
        <v>203</v>
      </c>
      <c r="CU410" t="s">
        <v>203</v>
      </c>
      <c r="CV410">
        <v>0</v>
      </c>
      <c r="CW410">
        <v>0</v>
      </c>
      <c r="CX410" t="s">
        <v>198</v>
      </c>
      <c r="CY410" t="s">
        <v>198</v>
      </c>
      <c r="CZ410" t="s">
        <v>198</v>
      </c>
      <c r="DA410" t="s">
        <v>198</v>
      </c>
      <c r="DB410" t="s">
        <v>198</v>
      </c>
      <c r="DC410">
        <v>0</v>
      </c>
      <c r="DD410">
        <v>0</v>
      </c>
      <c r="DE410">
        <v>0</v>
      </c>
      <c r="DF410">
        <v>0</v>
      </c>
      <c r="DG410">
        <v>-35.3631166</v>
      </c>
      <c r="DH410">
        <v>149.1639735</v>
      </c>
      <c r="DI410" t="s">
        <v>360</v>
      </c>
      <c r="DJ410">
        <v>1.2</v>
      </c>
      <c r="DK410">
        <v>2</v>
      </c>
      <c r="DL410">
        <v>159.8</v>
      </c>
      <c r="DM410">
        <v>0</v>
      </c>
      <c r="DN410">
        <v>6</v>
      </c>
      <c r="DO410">
        <v>10</v>
      </c>
      <c r="DP410">
        <v>0</v>
      </c>
      <c r="DQ410">
        <v>255</v>
      </c>
      <c r="DR410">
        <v>255</v>
      </c>
      <c r="DS410">
        <v>255</v>
      </c>
      <c r="DT410">
        <v>255</v>
      </c>
      <c r="DU410">
        <v>255</v>
      </c>
      <c r="DV410">
        <v>255</v>
      </c>
      <c r="DW410">
        <v>255</v>
      </c>
      <c r="DX410" t="s">
        <v>206</v>
      </c>
      <c r="DY410" t="s">
        <v>206</v>
      </c>
      <c r="DZ410" t="s">
        <v>207</v>
      </c>
      <c r="EA410" t="s">
        <v>198</v>
      </c>
      <c r="EB410" t="s">
        <v>198</v>
      </c>
      <c r="EC410" t="s">
        <v>198</v>
      </c>
      <c r="ED410">
        <v>0</v>
      </c>
      <c r="EE410">
        <v>0</v>
      </c>
      <c r="EF410">
        <v>0</v>
      </c>
      <c r="EG410">
        <v>0</v>
      </c>
      <c r="EH410">
        <v>255</v>
      </c>
      <c r="EI410">
        <v>255</v>
      </c>
      <c r="EJ410">
        <v>255</v>
      </c>
      <c r="EK410">
        <v>255</v>
      </c>
      <c r="EL410">
        <v>255</v>
      </c>
      <c r="EM410">
        <v>255</v>
      </c>
      <c r="EN410">
        <v>255</v>
      </c>
      <c r="EO410">
        <v>255</v>
      </c>
      <c r="EP410">
        <v>255</v>
      </c>
      <c r="EQ410">
        <v>255</v>
      </c>
      <c r="ER410" t="s">
        <v>208</v>
      </c>
      <c r="ES410" t="s">
        <v>209</v>
      </c>
      <c r="ET410" t="s">
        <v>209</v>
      </c>
      <c r="EU410">
        <v>0</v>
      </c>
      <c r="EV410">
        <v>16.2</v>
      </c>
      <c r="EW410">
        <v>-114.7</v>
      </c>
      <c r="EX410">
        <v>-0.2</v>
      </c>
      <c r="EY410">
        <v>0</v>
      </c>
      <c r="EZ410">
        <v>0</v>
      </c>
      <c r="FA410">
        <v>0</v>
      </c>
      <c r="FB410" t="s">
        <v>198</v>
      </c>
      <c r="FC410" t="s">
        <v>198</v>
      </c>
      <c r="FD410" t="s">
        <v>198</v>
      </c>
      <c r="FE410" t="s">
        <v>198</v>
      </c>
      <c r="FF410" t="s">
        <v>198</v>
      </c>
      <c r="FG410" t="s">
        <v>198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203</v>
      </c>
      <c r="FP410" t="s">
        <v>203</v>
      </c>
      <c r="FQ410" t="s">
        <v>203</v>
      </c>
      <c r="FR410" t="s">
        <v>203</v>
      </c>
      <c r="FS410" t="s">
        <v>203</v>
      </c>
      <c r="FT410" t="s">
        <v>203</v>
      </c>
      <c r="FU410" t="s">
        <v>198</v>
      </c>
      <c r="FV410" t="s">
        <v>198</v>
      </c>
      <c r="FW410" t="s">
        <v>198</v>
      </c>
      <c r="FX410" t="s">
        <v>198</v>
      </c>
      <c r="FY410" t="s">
        <v>198</v>
      </c>
      <c r="FZ410" t="s">
        <v>198</v>
      </c>
      <c r="GA410">
        <v>31.2</v>
      </c>
      <c r="GB410">
        <v>31.2</v>
      </c>
      <c r="GC410" t="s">
        <v>203</v>
      </c>
      <c r="GD410">
        <v>0</v>
      </c>
      <c r="GE410">
        <v>504</v>
      </c>
      <c r="GF410">
        <v>0</v>
      </c>
      <c r="GG410">
        <v>0</v>
      </c>
      <c r="GH410">
        <v>0</v>
      </c>
      <c r="GI410">
        <v>1</v>
      </c>
      <c r="GJ410">
        <v>1</v>
      </c>
      <c r="GK410">
        <v>0</v>
      </c>
      <c r="GL410" t="s">
        <v>198</v>
      </c>
      <c r="GM410" t="s">
        <v>198</v>
      </c>
      <c r="GN410" t="s">
        <v>198</v>
      </c>
    </row>
    <row r="411" spans="1:196">
      <c r="A411" s="19">
        <v>46316.90863822916</v>
      </c>
      <c r="B411">
        <v>0</v>
      </c>
      <c r="C411">
        <v>0</v>
      </c>
      <c r="D411">
        <v>277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584.2</v>
      </c>
      <c r="N411">
        <v>-0.5</v>
      </c>
      <c r="O411">
        <v>0</v>
      </c>
      <c r="P411">
        <v>0</v>
      </c>
      <c r="Q411">
        <v>0</v>
      </c>
      <c r="R411">
        <v>0</v>
      </c>
      <c r="S411">
        <v>115.6</v>
      </c>
      <c r="T411" t="s">
        <v>485</v>
      </c>
      <c r="U411">
        <v>115.7</v>
      </c>
      <c r="V411">
        <v>1762727256586.8</v>
      </c>
      <c r="W411">
        <v>1</v>
      </c>
      <c r="X411" t="s">
        <v>197</v>
      </c>
      <c r="Y411">
        <v>0</v>
      </c>
      <c r="Z411">
        <v>98</v>
      </c>
      <c r="AA411">
        <v>278</v>
      </c>
      <c r="AB411" t="s">
        <v>197</v>
      </c>
      <c r="AC411" t="s">
        <v>198</v>
      </c>
      <c r="AD411" t="s">
        <v>199</v>
      </c>
      <c r="AE411">
        <v>0</v>
      </c>
      <c r="AF411">
        <v>45</v>
      </c>
      <c r="AG411">
        <v>255</v>
      </c>
      <c r="AH411">
        <v>0</v>
      </c>
      <c r="AI411">
        <v>0</v>
      </c>
      <c r="AJ411">
        <v>0</v>
      </c>
      <c r="AK411">
        <v>12.6</v>
      </c>
      <c r="AL411">
        <v>0</v>
      </c>
      <c r="AM411">
        <v>0</v>
      </c>
      <c r="AN411" t="s">
        <v>197</v>
      </c>
      <c r="AO411">
        <v>100</v>
      </c>
      <c r="AP411" t="s">
        <v>197</v>
      </c>
      <c r="AQ411" t="s">
        <v>200</v>
      </c>
      <c r="AR411">
        <v>1</v>
      </c>
      <c r="AS411">
        <v>0</v>
      </c>
      <c r="AT411" t="s">
        <v>757</v>
      </c>
      <c r="AU411" t="s">
        <v>757</v>
      </c>
      <c r="AV411" t="s">
        <v>202</v>
      </c>
      <c r="AW411" t="s">
        <v>203</v>
      </c>
      <c r="AX411" t="s">
        <v>203</v>
      </c>
      <c r="AY411" t="s">
        <v>203</v>
      </c>
      <c r="AZ411" t="s">
        <v>203</v>
      </c>
      <c r="BA411" t="s">
        <v>203</v>
      </c>
      <c r="BB411" t="s">
        <v>203</v>
      </c>
      <c r="BC411" t="s">
        <v>203</v>
      </c>
      <c r="BD411" t="s">
        <v>203</v>
      </c>
      <c r="BE411" t="s">
        <v>203</v>
      </c>
      <c r="BF411">
        <v>0</v>
      </c>
      <c r="BG411">
        <v>0.2</v>
      </c>
      <c r="BH411">
        <v>50</v>
      </c>
      <c r="BI411">
        <v>0</v>
      </c>
      <c r="BJ411" t="s">
        <v>198</v>
      </c>
      <c r="BK411" t="s">
        <v>198</v>
      </c>
      <c r="BL411" t="s">
        <v>198</v>
      </c>
      <c r="BM411" t="s">
        <v>198</v>
      </c>
      <c r="BN411" t="s">
        <v>198</v>
      </c>
      <c r="BO411" t="s">
        <v>198</v>
      </c>
      <c r="BP411" t="s">
        <v>198</v>
      </c>
      <c r="BQ411" t="s">
        <v>198</v>
      </c>
      <c r="BR411" t="s">
        <v>198</v>
      </c>
      <c r="BS411" t="s">
        <v>198</v>
      </c>
      <c r="BT411" t="s">
        <v>198</v>
      </c>
      <c r="BU411" t="s">
        <v>198</v>
      </c>
      <c r="BV411" t="s">
        <v>198</v>
      </c>
      <c r="BW411" t="s">
        <v>198</v>
      </c>
      <c r="BX411" t="s">
        <v>198</v>
      </c>
      <c r="BY411" t="s">
        <v>198</v>
      </c>
      <c r="BZ411" t="s">
        <v>198</v>
      </c>
      <c r="CA411" t="s">
        <v>198</v>
      </c>
      <c r="CB411" t="s">
        <v>204</v>
      </c>
      <c r="CC411" t="s">
        <v>204</v>
      </c>
      <c r="CD411" t="s">
        <v>204</v>
      </c>
      <c r="CE411" t="s">
        <v>204</v>
      </c>
      <c r="CF411" t="s">
        <v>204</v>
      </c>
      <c r="CG411" t="s">
        <v>204</v>
      </c>
      <c r="CH411" t="s">
        <v>204</v>
      </c>
      <c r="CI411" t="s">
        <v>204</v>
      </c>
      <c r="CJ411" t="s">
        <v>204</v>
      </c>
      <c r="CK411" t="s">
        <v>204</v>
      </c>
      <c r="CL411" t="s">
        <v>204</v>
      </c>
      <c r="CM411" t="s">
        <v>204</v>
      </c>
      <c r="CN411" t="s">
        <v>203</v>
      </c>
      <c r="CO411" t="s">
        <v>203</v>
      </c>
      <c r="CP411" t="s">
        <v>203</v>
      </c>
      <c r="CQ411" t="s">
        <v>203</v>
      </c>
      <c r="CR411" t="s">
        <v>203</v>
      </c>
      <c r="CS411" t="s">
        <v>203</v>
      </c>
      <c r="CT411" t="s">
        <v>203</v>
      </c>
      <c r="CU411" t="s">
        <v>203</v>
      </c>
      <c r="CV411">
        <v>0</v>
      </c>
      <c r="CW411">
        <v>0</v>
      </c>
      <c r="CX411" t="s">
        <v>198</v>
      </c>
      <c r="CY411" t="s">
        <v>198</v>
      </c>
      <c r="CZ411" t="s">
        <v>198</v>
      </c>
      <c r="DA411" t="s">
        <v>198</v>
      </c>
      <c r="DB411" t="s">
        <v>198</v>
      </c>
      <c r="DC411">
        <v>0</v>
      </c>
      <c r="DD411">
        <v>0</v>
      </c>
      <c r="DE411">
        <v>0</v>
      </c>
      <c r="DF411">
        <v>0</v>
      </c>
      <c r="DG411">
        <v>-35.3631166</v>
      </c>
      <c r="DH411">
        <v>149.1639735</v>
      </c>
      <c r="DI411" t="s">
        <v>360</v>
      </c>
      <c r="DJ411">
        <v>1.2</v>
      </c>
      <c r="DK411">
        <v>2</v>
      </c>
      <c r="DL411">
        <v>159.8</v>
      </c>
      <c r="DM411">
        <v>0</v>
      </c>
      <c r="DN411">
        <v>6</v>
      </c>
      <c r="DO411">
        <v>10</v>
      </c>
      <c r="DP411">
        <v>0</v>
      </c>
      <c r="DQ411">
        <v>255</v>
      </c>
      <c r="DR411">
        <v>255</v>
      </c>
      <c r="DS411">
        <v>255</v>
      </c>
      <c r="DT411">
        <v>255</v>
      </c>
      <c r="DU411">
        <v>255</v>
      </c>
      <c r="DV411">
        <v>255</v>
      </c>
      <c r="DW411">
        <v>255</v>
      </c>
      <c r="DX411" t="s">
        <v>206</v>
      </c>
      <c r="DY411" t="s">
        <v>206</v>
      </c>
      <c r="DZ411" t="s">
        <v>207</v>
      </c>
      <c r="EA411" t="s">
        <v>198</v>
      </c>
      <c r="EB411" t="s">
        <v>198</v>
      </c>
      <c r="EC411" t="s">
        <v>198</v>
      </c>
      <c r="ED411">
        <v>0</v>
      </c>
      <c r="EE411">
        <v>0</v>
      </c>
      <c r="EF411">
        <v>0</v>
      </c>
      <c r="EG411">
        <v>0</v>
      </c>
      <c r="EH411">
        <v>255</v>
      </c>
      <c r="EI411">
        <v>255</v>
      </c>
      <c r="EJ411">
        <v>255</v>
      </c>
      <c r="EK411">
        <v>255</v>
      </c>
      <c r="EL411">
        <v>255</v>
      </c>
      <c r="EM411">
        <v>255</v>
      </c>
      <c r="EN411">
        <v>255</v>
      </c>
      <c r="EO411">
        <v>255</v>
      </c>
      <c r="EP411">
        <v>255</v>
      </c>
      <c r="EQ411">
        <v>255</v>
      </c>
      <c r="ER411" t="s">
        <v>208</v>
      </c>
      <c r="ES411" t="s">
        <v>209</v>
      </c>
      <c r="ET411" t="s">
        <v>209</v>
      </c>
      <c r="EU411">
        <v>0</v>
      </c>
      <c r="EV411">
        <v>16.2</v>
      </c>
      <c r="EW411">
        <v>-114.7</v>
      </c>
      <c r="EX411">
        <v>-0.2</v>
      </c>
      <c r="EY411">
        <v>0</v>
      </c>
      <c r="EZ411">
        <v>0</v>
      </c>
      <c r="FA411">
        <v>0</v>
      </c>
      <c r="FB411" t="s">
        <v>198</v>
      </c>
      <c r="FC411" t="s">
        <v>198</v>
      </c>
      <c r="FD411" t="s">
        <v>198</v>
      </c>
      <c r="FE411" t="s">
        <v>198</v>
      </c>
      <c r="FF411" t="s">
        <v>198</v>
      </c>
      <c r="FG411" t="s">
        <v>198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203</v>
      </c>
      <c r="FP411" t="s">
        <v>203</v>
      </c>
      <c r="FQ411" t="s">
        <v>203</v>
      </c>
      <c r="FR411" t="s">
        <v>203</v>
      </c>
      <c r="FS411" t="s">
        <v>203</v>
      </c>
      <c r="FT411" t="s">
        <v>203</v>
      </c>
      <c r="FU411" t="s">
        <v>198</v>
      </c>
      <c r="FV411" t="s">
        <v>198</v>
      </c>
      <c r="FW411" t="s">
        <v>198</v>
      </c>
      <c r="FX411" t="s">
        <v>198</v>
      </c>
      <c r="FY411" t="s">
        <v>198</v>
      </c>
      <c r="FZ411" t="s">
        <v>198</v>
      </c>
      <c r="GA411">
        <v>31.2</v>
      </c>
      <c r="GB411">
        <v>31.2</v>
      </c>
      <c r="GC411" t="s">
        <v>203</v>
      </c>
      <c r="GD411">
        <v>0</v>
      </c>
      <c r="GE411">
        <v>504</v>
      </c>
      <c r="GF411">
        <v>0</v>
      </c>
      <c r="GG411">
        <v>0</v>
      </c>
      <c r="GH411">
        <v>0</v>
      </c>
      <c r="GI411">
        <v>1</v>
      </c>
      <c r="GJ411">
        <v>1</v>
      </c>
      <c r="GK411">
        <v>0</v>
      </c>
      <c r="GL411" t="s">
        <v>198</v>
      </c>
      <c r="GM411" t="s">
        <v>198</v>
      </c>
      <c r="GN411" t="s">
        <v>198</v>
      </c>
    </row>
    <row r="412" spans="1:196">
      <c r="A412" s="19">
        <v>46316.90864979167</v>
      </c>
      <c r="B412">
        <v>0</v>
      </c>
      <c r="C412">
        <v>0</v>
      </c>
      <c r="D412">
        <v>277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584.2</v>
      </c>
      <c r="N412">
        <v>-0.5</v>
      </c>
      <c r="O412">
        <v>0</v>
      </c>
      <c r="P412">
        <v>0</v>
      </c>
      <c r="Q412">
        <v>0</v>
      </c>
      <c r="R412">
        <v>0</v>
      </c>
      <c r="S412">
        <v>115.6</v>
      </c>
      <c r="T412" t="s">
        <v>485</v>
      </c>
      <c r="U412">
        <v>115.7</v>
      </c>
      <c r="V412">
        <v>1762727256586.8</v>
      </c>
      <c r="W412">
        <v>1</v>
      </c>
      <c r="X412" t="s">
        <v>197</v>
      </c>
      <c r="Y412">
        <v>0</v>
      </c>
      <c r="Z412">
        <v>98</v>
      </c>
      <c r="AA412">
        <v>278</v>
      </c>
      <c r="AB412" t="s">
        <v>197</v>
      </c>
      <c r="AC412" t="s">
        <v>198</v>
      </c>
      <c r="AD412" t="s">
        <v>199</v>
      </c>
      <c r="AE412">
        <v>0</v>
      </c>
      <c r="AF412">
        <v>45</v>
      </c>
      <c r="AG412">
        <v>255</v>
      </c>
      <c r="AH412">
        <v>0</v>
      </c>
      <c r="AI412">
        <v>0</v>
      </c>
      <c r="AJ412">
        <v>0</v>
      </c>
      <c r="AK412">
        <v>12.6</v>
      </c>
      <c r="AL412">
        <v>0</v>
      </c>
      <c r="AM412">
        <v>0</v>
      </c>
      <c r="AN412" t="s">
        <v>197</v>
      </c>
      <c r="AO412">
        <v>100</v>
      </c>
      <c r="AP412" t="s">
        <v>197</v>
      </c>
      <c r="AQ412" t="s">
        <v>200</v>
      </c>
      <c r="AR412">
        <v>1</v>
      </c>
      <c r="AS412">
        <v>0</v>
      </c>
      <c r="AT412" t="s">
        <v>758</v>
      </c>
      <c r="AU412" t="s">
        <v>758</v>
      </c>
      <c r="AV412" t="s">
        <v>202</v>
      </c>
      <c r="AW412" t="s">
        <v>203</v>
      </c>
      <c r="AX412" t="s">
        <v>203</v>
      </c>
      <c r="AY412" t="s">
        <v>203</v>
      </c>
      <c r="AZ412" t="s">
        <v>203</v>
      </c>
      <c r="BA412" t="s">
        <v>203</v>
      </c>
      <c r="BB412" t="s">
        <v>203</v>
      </c>
      <c r="BC412" t="s">
        <v>203</v>
      </c>
      <c r="BD412" t="s">
        <v>203</v>
      </c>
      <c r="BE412" t="s">
        <v>203</v>
      </c>
      <c r="BF412">
        <v>0</v>
      </c>
      <c r="BG412">
        <v>0.2</v>
      </c>
      <c r="BH412">
        <v>50</v>
      </c>
      <c r="BI412">
        <v>0</v>
      </c>
      <c r="BJ412" t="s">
        <v>198</v>
      </c>
      <c r="BK412" t="s">
        <v>198</v>
      </c>
      <c r="BL412" t="s">
        <v>198</v>
      </c>
      <c r="BM412" t="s">
        <v>198</v>
      </c>
      <c r="BN412" t="s">
        <v>198</v>
      </c>
      <c r="BO412" t="s">
        <v>198</v>
      </c>
      <c r="BP412" t="s">
        <v>198</v>
      </c>
      <c r="BQ412" t="s">
        <v>198</v>
      </c>
      <c r="BR412" t="s">
        <v>198</v>
      </c>
      <c r="BS412" t="s">
        <v>198</v>
      </c>
      <c r="BT412" t="s">
        <v>198</v>
      </c>
      <c r="BU412" t="s">
        <v>198</v>
      </c>
      <c r="BV412" t="s">
        <v>198</v>
      </c>
      <c r="BW412" t="s">
        <v>198</v>
      </c>
      <c r="BX412" t="s">
        <v>198</v>
      </c>
      <c r="BY412" t="s">
        <v>198</v>
      </c>
      <c r="BZ412" t="s">
        <v>198</v>
      </c>
      <c r="CA412" t="s">
        <v>198</v>
      </c>
      <c r="CB412" t="s">
        <v>204</v>
      </c>
      <c r="CC412" t="s">
        <v>204</v>
      </c>
      <c r="CD412" t="s">
        <v>204</v>
      </c>
      <c r="CE412" t="s">
        <v>204</v>
      </c>
      <c r="CF412" t="s">
        <v>204</v>
      </c>
      <c r="CG412" t="s">
        <v>204</v>
      </c>
      <c r="CH412" t="s">
        <v>204</v>
      </c>
      <c r="CI412" t="s">
        <v>204</v>
      </c>
      <c r="CJ412" t="s">
        <v>204</v>
      </c>
      <c r="CK412" t="s">
        <v>204</v>
      </c>
      <c r="CL412" t="s">
        <v>204</v>
      </c>
      <c r="CM412" t="s">
        <v>204</v>
      </c>
      <c r="CN412" t="s">
        <v>203</v>
      </c>
      <c r="CO412" t="s">
        <v>203</v>
      </c>
      <c r="CP412" t="s">
        <v>203</v>
      </c>
      <c r="CQ412" t="s">
        <v>203</v>
      </c>
      <c r="CR412" t="s">
        <v>203</v>
      </c>
      <c r="CS412" t="s">
        <v>203</v>
      </c>
      <c r="CT412" t="s">
        <v>203</v>
      </c>
      <c r="CU412" t="s">
        <v>203</v>
      </c>
      <c r="CV412">
        <v>0</v>
      </c>
      <c r="CW412">
        <v>0</v>
      </c>
      <c r="CX412" t="s">
        <v>198</v>
      </c>
      <c r="CY412" t="s">
        <v>198</v>
      </c>
      <c r="CZ412" t="s">
        <v>198</v>
      </c>
      <c r="DA412" t="s">
        <v>198</v>
      </c>
      <c r="DB412" t="s">
        <v>198</v>
      </c>
      <c r="DC412">
        <v>0</v>
      </c>
      <c r="DD412">
        <v>0</v>
      </c>
      <c r="DE412">
        <v>0</v>
      </c>
      <c r="DF412">
        <v>0</v>
      </c>
      <c r="DG412">
        <v>-35.3631166</v>
      </c>
      <c r="DH412">
        <v>149.1639735</v>
      </c>
      <c r="DI412" t="s">
        <v>360</v>
      </c>
      <c r="DJ412">
        <v>1.2</v>
      </c>
      <c r="DK412">
        <v>2</v>
      </c>
      <c r="DL412">
        <v>159.8</v>
      </c>
      <c r="DM412">
        <v>0</v>
      </c>
      <c r="DN412">
        <v>6</v>
      </c>
      <c r="DO412">
        <v>10</v>
      </c>
      <c r="DP412">
        <v>0</v>
      </c>
      <c r="DQ412">
        <v>255</v>
      </c>
      <c r="DR412">
        <v>255</v>
      </c>
      <c r="DS412">
        <v>255</v>
      </c>
      <c r="DT412">
        <v>255</v>
      </c>
      <c r="DU412">
        <v>255</v>
      </c>
      <c r="DV412">
        <v>255</v>
      </c>
      <c r="DW412">
        <v>255</v>
      </c>
      <c r="DX412" t="s">
        <v>206</v>
      </c>
      <c r="DY412" t="s">
        <v>206</v>
      </c>
      <c r="DZ412" t="s">
        <v>207</v>
      </c>
      <c r="EA412" t="s">
        <v>198</v>
      </c>
      <c r="EB412" t="s">
        <v>198</v>
      </c>
      <c r="EC412" t="s">
        <v>198</v>
      </c>
      <c r="ED412">
        <v>0</v>
      </c>
      <c r="EE412">
        <v>0</v>
      </c>
      <c r="EF412">
        <v>0</v>
      </c>
      <c r="EG412">
        <v>0</v>
      </c>
      <c r="EH412">
        <v>255</v>
      </c>
      <c r="EI412">
        <v>255</v>
      </c>
      <c r="EJ412">
        <v>255</v>
      </c>
      <c r="EK412">
        <v>255</v>
      </c>
      <c r="EL412">
        <v>255</v>
      </c>
      <c r="EM412">
        <v>255</v>
      </c>
      <c r="EN412">
        <v>255</v>
      </c>
      <c r="EO412">
        <v>255</v>
      </c>
      <c r="EP412">
        <v>255</v>
      </c>
      <c r="EQ412">
        <v>255</v>
      </c>
      <c r="ER412" t="s">
        <v>208</v>
      </c>
      <c r="ES412" t="s">
        <v>209</v>
      </c>
      <c r="ET412" t="s">
        <v>209</v>
      </c>
      <c r="EU412">
        <v>0</v>
      </c>
      <c r="EV412">
        <v>16.2</v>
      </c>
      <c r="EW412">
        <v>-114.7</v>
      </c>
      <c r="EX412">
        <v>-0.2</v>
      </c>
      <c r="EY412">
        <v>0</v>
      </c>
      <c r="EZ412">
        <v>0</v>
      </c>
      <c r="FA412">
        <v>0</v>
      </c>
      <c r="FB412" t="s">
        <v>198</v>
      </c>
      <c r="FC412" t="s">
        <v>198</v>
      </c>
      <c r="FD412" t="s">
        <v>198</v>
      </c>
      <c r="FE412" t="s">
        <v>198</v>
      </c>
      <c r="FF412" t="s">
        <v>198</v>
      </c>
      <c r="FG412" t="s">
        <v>198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203</v>
      </c>
      <c r="FP412" t="s">
        <v>203</v>
      </c>
      <c r="FQ412" t="s">
        <v>203</v>
      </c>
      <c r="FR412" t="s">
        <v>203</v>
      </c>
      <c r="FS412" t="s">
        <v>203</v>
      </c>
      <c r="FT412" t="s">
        <v>203</v>
      </c>
      <c r="FU412" t="s">
        <v>198</v>
      </c>
      <c r="FV412" t="s">
        <v>198</v>
      </c>
      <c r="FW412" t="s">
        <v>198</v>
      </c>
      <c r="FX412" t="s">
        <v>198</v>
      </c>
      <c r="FY412" t="s">
        <v>198</v>
      </c>
      <c r="FZ412" t="s">
        <v>198</v>
      </c>
      <c r="GA412">
        <v>31.2</v>
      </c>
      <c r="GB412">
        <v>31.2</v>
      </c>
      <c r="GC412" t="s">
        <v>203</v>
      </c>
      <c r="GD412">
        <v>0</v>
      </c>
      <c r="GE412">
        <v>504</v>
      </c>
      <c r="GF412">
        <v>0</v>
      </c>
      <c r="GG412">
        <v>0</v>
      </c>
      <c r="GH412">
        <v>0</v>
      </c>
      <c r="GI412">
        <v>1</v>
      </c>
      <c r="GJ412">
        <v>1</v>
      </c>
      <c r="GK412">
        <v>0</v>
      </c>
      <c r="GL412" t="s">
        <v>198</v>
      </c>
      <c r="GM412" t="s">
        <v>198</v>
      </c>
      <c r="GN412" t="s">
        <v>198</v>
      </c>
    </row>
    <row r="413" spans="1:196">
      <c r="A413" s="19">
        <v>46316.90866137732</v>
      </c>
      <c r="B413">
        <v>0</v>
      </c>
      <c r="C413">
        <v>0</v>
      </c>
      <c r="D413">
        <v>277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584.2</v>
      </c>
      <c r="N413">
        <v>-0.5</v>
      </c>
      <c r="O413">
        <v>0</v>
      </c>
      <c r="P413">
        <v>0</v>
      </c>
      <c r="Q413">
        <v>0</v>
      </c>
      <c r="R413">
        <v>0</v>
      </c>
      <c r="S413">
        <v>115.6</v>
      </c>
      <c r="T413" t="s">
        <v>485</v>
      </c>
      <c r="U413">
        <v>115.7</v>
      </c>
      <c r="V413">
        <v>1762727256586.8</v>
      </c>
      <c r="W413">
        <v>1</v>
      </c>
      <c r="X413" t="s">
        <v>197</v>
      </c>
      <c r="Y413">
        <v>0</v>
      </c>
      <c r="Z413">
        <v>98</v>
      </c>
      <c r="AA413">
        <v>278</v>
      </c>
      <c r="AB413" t="s">
        <v>197</v>
      </c>
      <c r="AC413" t="s">
        <v>198</v>
      </c>
      <c r="AD413" t="s">
        <v>199</v>
      </c>
      <c r="AE413">
        <v>0</v>
      </c>
      <c r="AF413">
        <v>45</v>
      </c>
      <c r="AG413">
        <v>255</v>
      </c>
      <c r="AH413">
        <v>0</v>
      </c>
      <c r="AI413">
        <v>0</v>
      </c>
      <c r="AJ413">
        <v>0</v>
      </c>
      <c r="AK413">
        <v>12.6</v>
      </c>
      <c r="AL413">
        <v>0</v>
      </c>
      <c r="AM413">
        <v>0</v>
      </c>
      <c r="AN413" t="s">
        <v>197</v>
      </c>
      <c r="AO413">
        <v>100</v>
      </c>
      <c r="AP413" t="s">
        <v>197</v>
      </c>
      <c r="AQ413" t="s">
        <v>200</v>
      </c>
      <c r="AR413">
        <v>1</v>
      </c>
      <c r="AS413">
        <v>0</v>
      </c>
      <c r="AT413" t="s">
        <v>759</v>
      </c>
      <c r="AU413" t="s">
        <v>759</v>
      </c>
      <c r="AV413" t="s">
        <v>202</v>
      </c>
      <c r="AW413" t="s">
        <v>203</v>
      </c>
      <c r="AX413" t="s">
        <v>203</v>
      </c>
      <c r="AY413" t="s">
        <v>203</v>
      </c>
      <c r="AZ413" t="s">
        <v>203</v>
      </c>
      <c r="BA413" t="s">
        <v>203</v>
      </c>
      <c r="BB413" t="s">
        <v>203</v>
      </c>
      <c r="BC413" t="s">
        <v>203</v>
      </c>
      <c r="BD413" t="s">
        <v>203</v>
      </c>
      <c r="BE413" t="s">
        <v>203</v>
      </c>
      <c r="BF413">
        <v>0</v>
      </c>
      <c r="BG413">
        <v>0.2</v>
      </c>
      <c r="BH413">
        <v>50</v>
      </c>
      <c r="BI413">
        <v>0</v>
      </c>
      <c r="BJ413" t="s">
        <v>198</v>
      </c>
      <c r="BK413" t="s">
        <v>198</v>
      </c>
      <c r="BL413" t="s">
        <v>198</v>
      </c>
      <c r="BM413" t="s">
        <v>198</v>
      </c>
      <c r="BN413" t="s">
        <v>198</v>
      </c>
      <c r="BO413" t="s">
        <v>198</v>
      </c>
      <c r="BP413" t="s">
        <v>198</v>
      </c>
      <c r="BQ413" t="s">
        <v>198</v>
      </c>
      <c r="BR413" t="s">
        <v>198</v>
      </c>
      <c r="BS413" t="s">
        <v>198</v>
      </c>
      <c r="BT413" t="s">
        <v>198</v>
      </c>
      <c r="BU413" t="s">
        <v>198</v>
      </c>
      <c r="BV413" t="s">
        <v>198</v>
      </c>
      <c r="BW413" t="s">
        <v>198</v>
      </c>
      <c r="BX413" t="s">
        <v>198</v>
      </c>
      <c r="BY413" t="s">
        <v>198</v>
      </c>
      <c r="BZ413" t="s">
        <v>198</v>
      </c>
      <c r="CA413" t="s">
        <v>198</v>
      </c>
      <c r="CB413" t="s">
        <v>204</v>
      </c>
      <c r="CC413" t="s">
        <v>204</v>
      </c>
      <c r="CD413" t="s">
        <v>204</v>
      </c>
      <c r="CE413" t="s">
        <v>204</v>
      </c>
      <c r="CF413" t="s">
        <v>204</v>
      </c>
      <c r="CG413" t="s">
        <v>204</v>
      </c>
      <c r="CH413" t="s">
        <v>204</v>
      </c>
      <c r="CI413" t="s">
        <v>204</v>
      </c>
      <c r="CJ413" t="s">
        <v>204</v>
      </c>
      <c r="CK413" t="s">
        <v>204</v>
      </c>
      <c r="CL413" t="s">
        <v>204</v>
      </c>
      <c r="CM413" t="s">
        <v>204</v>
      </c>
      <c r="CN413" t="s">
        <v>203</v>
      </c>
      <c r="CO413" t="s">
        <v>203</v>
      </c>
      <c r="CP413" t="s">
        <v>203</v>
      </c>
      <c r="CQ413" t="s">
        <v>203</v>
      </c>
      <c r="CR413" t="s">
        <v>203</v>
      </c>
      <c r="CS413" t="s">
        <v>203</v>
      </c>
      <c r="CT413" t="s">
        <v>203</v>
      </c>
      <c r="CU413" t="s">
        <v>203</v>
      </c>
      <c r="CV413">
        <v>0</v>
      </c>
      <c r="CW413">
        <v>0</v>
      </c>
      <c r="CX413" t="s">
        <v>198</v>
      </c>
      <c r="CY413" t="s">
        <v>198</v>
      </c>
      <c r="CZ413" t="s">
        <v>198</v>
      </c>
      <c r="DA413" t="s">
        <v>198</v>
      </c>
      <c r="DB413" t="s">
        <v>198</v>
      </c>
      <c r="DC413">
        <v>0</v>
      </c>
      <c r="DD413">
        <v>0</v>
      </c>
      <c r="DE413">
        <v>0</v>
      </c>
      <c r="DF413">
        <v>0</v>
      </c>
      <c r="DG413">
        <v>-35.3631166</v>
      </c>
      <c r="DH413">
        <v>149.1639735</v>
      </c>
      <c r="DI413" t="s">
        <v>360</v>
      </c>
      <c r="DJ413">
        <v>1.2</v>
      </c>
      <c r="DK413">
        <v>2</v>
      </c>
      <c r="DL413">
        <v>159.8</v>
      </c>
      <c r="DM413">
        <v>0</v>
      </c>
      <c r="DN413">
        <v>6</v>
      </c>
      <c r="DO413">
        <v>10</v>
      </c>
      <c r="DP413">
        <v>0</v>
      </c>
      <c r="DQ413">
        <v>255</v>
      </c>
      <c r="DR413">
        <v>255</v>
      </c>
      <c r="DS413">
        <v>255</v>
      </c>
      <c r="DT413">
        <v>255</v>
      </c>
      <c r="DU413">
        <v>255</v>
      </c>
      <c r="DV413">
        <v>255</v>
      </c>
      <c r="DW413">
        <v>255</v>
      </c>
      <c r="DX413" t="s">
        <v>206</v>
      </c>
      <c r="DY413" t="s">
        <v>206</v>
      </c>
      <c r="DZ413" t="s">
        <v>207</v>
      </c>
      <c r="EA413" t="s">
        <v>198</v>
      </c>
      <c r="EB413" t="s">
        <v>198</v>
      </c>
      <c r="EC413" t="s">
        <v>198</v>
      </c>
      <c r="ED413">
        <v>0</v>
      </c>
      <c r="EE413">
        <v>0</v>
      </c>
      <c r="EF413">
        <v>0</v>
      </c>
      <c r="EG413">
        <v>0</v>
      </c>
      <c r="EH413">
        <v>255</v>
      </c>
      <c r="EI413">
        <v>255</v>
      </c>
      <c r="EJ413">
        <v>255</v>
      </c>
      <c r="EK413">
        <v>255</v>
      </c>
      <c r="EL413">
        <v>255</v>
      </c>
      <c r="EM413">
        <v>255</v>
      </c>
      <c r="EN413">
        <v>255</v>
      </c>
      <c r="EO413">
        <v>255</v>
      </c>
      <c r="EP413">
        <v>255</v>
      </c>
      <c r="EQ413">
        <v>255</v>
      </c>
      <c r="ER413" t="s">
        <v>208</v>
      </c>
      <c r="ES413" t="s">
        <v>209</v>
      </c>
      <c r="ET413" t="s">
        <v>209</v>
      </c>
      <c r="EU413">
        <v>0</v>
      </c>
      <c r="EV413">
        <v>16.2</v>
      </c>
      <c r="EW413">
        <v>-114.7</v>
      </c>
      <c r="EX413">
        <v>-0.2</v>
      </c>
      <c r="EY413">
        <v>0</v>
      </c>
      <c r="EZ413">
        <v>0</v>
      </c>
      <c r="FA413">
        <v>0</v>
      </c>
      <c r="FB413" t="s">
        <v>198</v>
      </c>
      <c r="FC413" t="s">
        <v>198</v>
      </c>
      <c r="FD413" t="s">
        <v>198</v>
      </c>
      <c r="FE413" t="s">
        <v>198</v>
      </c>
      <c r="FF413" t="s">
        <v>198</v>
      </c>
      <c r="FG413" t="s">
        <v>198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203</v>
      </c>
      <c r="FP413" t="s">
        <v>203</v>
      </c>
      <c r="FQ413" t="s">
        <v>203</v>
      </c>
      <c r="FR413" t="s">
        <v>203</v>
      </c>
      <c r="FS413" t="s">
        <v>203</v>
      </c>
      <c r="FT413" t="s">
        <v>203</v>
      </c>
      <c r="FU413" t="s">
        <v>198</v>
      </c>
      <c r="FV413" t="s">
        <v>198</v>
      </c>
      <c r="FW413" t="s">
        <v>198</v>
      </c>
      <c r="FX413" t="s">
        <v>198</v>
      </c>
      <c r="FY413" t="s">
        <v>198</v>
      </c>
      <c r="FZ413" t="s">
        <v>198</v>
      </c>
      <c r="GA413">
        <v>31.2</v>
      </c>
      <c r="GB413">
        <v>31.2</v>
      </c>
      <c r="GC413" t="s">
        <v>203</v>
      </c>
      <c r="GD413">
        <v>0</v>
      </c>
      <c r="GE413">
        <v>504</v>
      </c>
      <c r="GF413">
        <v>0</v>
      </c>
      <c r="GG413">
        <v>0</v>
      </c>
      <c r="GH413">
        <v>0</v>
      </c>
      <c r="GI413">
        <v>1</v>
      </c>
      <c r="GJ413">
        <v>1</v>
      </c>
      <c r="GK413">
        <v>0</v>
      </c>
      <c r="GL413" t="s">
        <v>198</v>
      </c>
      <c r="GM413" t="s">
        <v>198</v>
      </c>
      <c r="GN413" t="s">
        <v>198</v>
      </c>
    </row>
    <row r="414" spans="1:196">
      <c r="A414" s="19">
        <v>46316.90867295139</v>
      </c>
      <c r="B414">
        <v>0</v>
      </c>
      <c r="C414">
        <v>0</v>
      </c>
      <c r="D414">
        <v>277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584.2</v>
      </c>
      <c r="N414">
        <v>-0.5</v>
      </c>
      <c r="O414">
        <v>0</v>
      </c>
      <c r="P414">
        <v>0</v>
      </c>
      <c r="Q414">
        <v>0</v>
      </c>
      <c r="R414">
        <v>0</v>
      </c>
      <c r="S414">
        <v>115.6</v>
      </c>
      <c r="T414" t="s">
        <v>485</v>
      </c>
      <c r="U414">
        <v>115.7</v>
      </c>
      <c r="V414">
        <v>1762727256586.8</v>
      </c>
      <c r="W414">
        <v>1</v>
      </c>
      <c r="X414" t="s">
        <v>197</v>
      </c>
      <c r="Y414">
        <v>0</v>
      </c>
      <c r="Z414">
        <v>98</v>
      </c>
      <c r="AA414">
        <v>278</v>
      </c>
      <c r="AB414" t="s">
        <v>197</v>
      </c>
      <c r="AC414" t="s">
        <v>198</v>
      </c>
      <c r="AD414" t="s">
        <v>199</v>
      </c>
      <c r="AE414">
        <v>0</v>
      </c>
      <c r="AF414">
        <v>45</v>
      </c>
      <c r="AG414">
        <v>255</v>
      </c>
      <c r="AH414">
        <v>0</v>
      </c>
      <c r="AI414">
        <v>0</v>
      </c>
      <c r="AJ414">
        <v>0</v>
      </c>
      <c r="AK414">
        <v>12.6</v>
      </c>
      <c r="AL414">
        <v>0</v>
      </c>
      <c r="AM414">
        <v>0</v>
      </c>
      <c r="AN414" t="s">
        <v>197</v>
      </c>
      <c r="AO414">
        <v>100</v>
      </c>
      <c r="AP414" t="s">
        <v>197</v>
      </c>
      <c r="AQ414" t="s">
        <v>200</v>
      </c>
      <c r="AR414">
        <v>1</v>
      </c>
      <c r="AS414">
        <v>0</v>
      </c>
      <c r="AT414" t="s">
        <v>760</v>
      </c>
      <c r="AU414" t="s">
        <v>760</v>
      </c>
      <c r="AV414" t="s">
        <v>202</v>
      </c>
      <c r="AW414" t="s">
        <v>203</v>
      </c>
      <c r="AX414" t="s">
        <v>203</v>
      </c>
      <c r="AY414" t="s">
        <v>203</v>
      </c>
      <c r="AZ414" t="s">
        <v>203</v>
      </c>
      <c r="BA414" t="s">
        <v>203</v>
      </c>
      <c r="BB414" t="s">
        <v>203</v>
      </c>
      <c r="BC414" t="s">
        <v>203</v>
      </c>
      <c r="BD414" t="s">
        <v>203</v>
      </c>
      <c r="BE414" t="s">
        <v>203</v>
      </c>
      <c r="BF414">
        <v>0</v>
      </c>
      <c r="BG414">
        <v>0.2</v>
      </c>
      <c r="BH414">
        <v>50</v>
      </c>
      <c r="BI414">
        <v>0</v>
      </c>
      <c r="BJ414" t="s">
        <v>198</v>
      </c>
      <c r="BK414" t="s">
        <v>198</v>
      </c>
      <c r="BL414" t="s">
        <v>198</v>
      </c>
      <c r="BM414" t="s">
        <v>198</v>
      </c>
      <c r="BN414" t="s">
        <v>198</v>
      </c>
      <c r="BO414" t="s">
        <v>198</v>
      </c>
      <c r="BP414" t="s">
        <v>198</v>
      </c>
      <c r="BQ414" t="s">
        <v>198</v>
      </c>
      <c r="BR414" t="s">
        <v>198</v>
      </c>
      <c r="BS414" t="s">
        <v>198</v>
      </c>
      <c r="BT414" t="s">
        <v>198</v>
      </c>
      <c r="BU414" t="s">
        <v>198</v>
      </c>
      <c r="BV414" t="s">
        <v>198</v>
      </c>
      <c r="BW414" t="s">
        <v>198</v>
      </c>
      <c r="BX414" t="s">
        <v>198</v>
      </c>
      <c r="BY414" t="s">
        <v>198</v>
      </c>
      <c r="BZ414" t="s">
        <v>198</v>
      </c>
      <c r="CA414" t="s">
        <v>198</v>
      </c>
      <c r="CB414" t="s">
        <v>204</v>
      </c>
      <c r="CC414" t="s">
        <v>204</v>
      </c>
      <c r="CD414" t="s">
        <v>204</v>
      </c>
      <c r="CE414" t="s">
        <v>204</v>
      </c>
      <c r="CF414" t="s">
        <v>204</v>
      </c>
      <c r="CG414" t="s">
        <v>204</v>
      </c>
      <c r="CH414" t="s">
        <v>204</v>
      </c>
      <c r="CI414" t="s">
        <v>204</v>
      </c>
      <c r="CJ414" t="s">
        <v>204</v>
      </c>
      <c r="CK414" t="s">
        <v>204</v>
      </c>
      <c r="CL414" t="s">
        <v>204</v>
      </c>
      <c r="CM414" t="s">
        <v>204</v>
      </c>
      <c r="CN414" t="s">
        <v>203</v>
      </c>
      <c r="CO414" t="s">
        <v>203</v>
      </c>
      <c r="CP414" t="s">
        <v>203</v>
      </c>
      <c r="CQ414" t="s">
        <v>203</v>
      </c>
      <c r="CR414" t="s">
        <v>203</v>
      </c>
      <c r="CS414" t="s">
        <v>203</v>
      </c>
      <c r="CT414" t="s">
        <v>203</v>
      </c>
      <c r="CU414" t="s">
        <v>203</v>
      </c>
      <c r="CV414">
        <v>0</v>
      </c>
      <c r="CW414">
        <v>0</v>
      </c>
      <c r="CX414" t="s">
        <v>198</v>
      </c>
      <c r="CY414" t="s">
        <v>198</v>
      </c>
      <c r="CZ414" t="s">
        <v>198</v>
      </c>
      <c r="DA414" t="s">
        <v>198</v>
      </c>
      <c r="DB414" t="s">
        <v>198</v>
      </c>
      <c r="DC414">
        <v>0</v>
      </c>
      <c r="DD414">
        <v>0</v>
      </c>
      <c r="DE414">
        <v>0</v>
      </c>
      <c r="DF414">
        <v>0</v>
      </c>
      <c r="DG414">
        <v>-35.3631166</v>
      </c>
      <c r="DH414">
        <v>149.1639735</v>
      </c>
      <c r="DI414" t="s">
        <v>360</v>
      </c>
      <c r="DJ414">
        <v>1.2</v>
      </c>
      <c r="DK414">
        <v>2</v>
      </c>
      <c r="DL414">
        <v>159.8</v>
      </c>
      <c r="DM414">
        <v>0</v>
      </c>
      <c r="DN414">
        <v>6</v>
      </c>
      <c r="DO414">
        <v>10</v>
      </c>
      <c r="DP414">
        <v>0</v>
      </c>
      <c r="DQ414">
        <v>255</v>
      </c>
      <c r="DR414">
        <v>255</v>
      </c>
      <c r="DS414">
        <v>255</v>
      </c>
      <c r="DT414">
        <v>255</v>
      </c>
      <c r="DU414">
        <v>255</v>
      </c>
      <c r="DV414">
        <v>255</v>
      </c>
      <c r="DW414">
        <v>255</v>
      </c>
      <c r="DX414" t="s">
        <v>206</v>
      </c>
      <c r="DY414" t="s">
        <v>206</v>
      </c>
      <c r="DZ414" t="s">
        <v>207</v>
      </c>
      <c r="EA414" t="s">
        <v>198</v>
      </c>
      <c r="EB414" t="s">
        <v>198</v>
      </c>
      <c r="EC414" t="s">
        <v>198</v>
      </c>
      <c r="ED414">
        <v>0</v>
      </c>
      <c r="EE414">
        <v>0</v>
      </c>
      <c r="EF414">
        <v>0</v>
      </c>
      <c r="EG414">
        <v>0</v>
      </c>
      <c r="EH414">
        <v>255</v>
      </c>
      <c r="EI414">
        <v>255</v>
      </c>
      <c r="EJ414">
        <v>255</v>
      </c>
      <c r="EK414">
        <v>255</v>
      </c>
      <c r="EL414">
        <v>255</v>
      </c>
      <c r="EM414">
        <v>255</v>
      </c>
      <c r="EN414">
        <v>255</v>
      </c>
      <c r="EO414">
        <v>255</v>
      </c>
      <c r="EP414">
        <v>255</v>
      </c>
      <c r="EQ414">
        <v>255</v>
      </c>
      <c r="ER414" t="s">
        <v>208</v>
      </c>
      <c r="ES414" t="s">
        <v>209</v>
      </c>
      <c r="ET414" t="s">
        <v>209</v>
      </c>
      <c r="EU414">
        <v>0</v>
      </c>
      <c r="EV414">
        <v>16.2</v>
      </c>
      <c r="EW414">
        <v>-114.7</v>
      </c>
      <c r="EX414">
        <v>-0.2</v>
      </c>
      <c r="EY414">
        <v>0</v>
      </c>
      <c r="EZ414">
        <v>0</v>
      </c>
      <c r="FA414">
        <v>0</v>
      </c>
      <c r="FB414" t="s">
        <v>198</v>
      </c>
      <c r="FC414" t="s">
        <v>198</v>
      </c>
      <c r="FD414" t="s">
        <v>198</v>
      </c>
      <c r="FE414" t="s">
        <v>198</v>
      </c>
      <c r="FF414" t="s">
        <v>198</v>
      </c>
      <c r="FG414" t="s">
        <v>198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203</v>
      </c>
      <c r="FP414" t="s">
        <v>203</v>
      </c>
      <c r="FQ414" t="s">
        <v>203</v>
      </c>
      <c r="FR414" t="s">
        <v>203</v>
      </c>
      <c r="FS414" t="s">
        <v>203</v>
      </c>
      <c r="FT414" t="s">
        <v>203</v>
      </c>
      <c r="FU414" t="s">
        <v>198</v>
      </c>
      <c r="FV414" t="s">
        <v>198</v>
      </c>
      <c r="FW414" t="s">
        <v>198</v>
      </c>
      <c r="FX414" t="s">
        <v>198</v>
      </c>
      <c r="FY414" t="s">
        <v>198</v>
      </c>
      <c r="FZ414" t="s">
        <v>198</v>
      </c>
      <c r="GA414">
        <v>31.2</v>
      </c>
      <c r="GB414">
        <v>31.2</v>
      </c>
      <c r="GC414" t="s">
        <v>203</v>
      </c>
      <c r="GD414">
        <v>0</v>
      </c>
      <c r="GE414">
        <v>504</v>
      </c>
      <c r="GF414">
        <v>0</v>
      </c>
      <c r="GG414">
        <v>0</v>
      </c>
      <c r="GH414">
        <v>0</v>
      </c>
      <c r="GI414">
        <v>1</v>
      </c>
      <c r="GJ414">
        <v>1</v>
      </c>
      <c r="GK414">
        <v>0</v>
      </c>
      <c r="GL414" t="s">
        <v>198</v>
      </c>
      <c r="GM414" t="s">
        <v>198</v>
      </c>
      <c r="GN414" t="s">
        <v>198</v>
      </c>
    </row>
    <row r="415" spans="1:196">
      <c r="A415" s="19">
        <v>46316.90868452546</v>
      </c>
      <c r="B415">
        <v>0</v>
      </c>
      <c r="C415">
        <v>0</v>
      </c>
      <c r="D415">
        <v>277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584.2</v>
      </c>
      <c r="N415">
        <v>-0.5</v>
      </c>
      <c r="O415">
        <v>0</v>
      </c>
      <c r="P415">
        <v>0</v>
      </c>
      <c r="Q415">
        <v>0</v>
      </c>
      <c r="R415">
        <v>0</v>
      </c>
      <c r="S415">
        <v>115.6</v>
      </c>
      <c r="T415" t="s">
        <v>485</v>
      </c>
      <c r="U415">
        <v>115.7</v>
      </c>
      <c r="V415">
        <v>1762727256586.8</v>
      </c>
      <c r="W415">
        <v>1</v>
      </c>
      <c r="X415" t="s">
        <v>197</v>
      </c>
      <c r="Y415">
        <v>0</v>
      </c>
      <c r="Z415">
        <v>98</v>
      </c>
      <c r="AA415">
        <v>278</v>
      </c>
      <c r="AB415" t="s">
        <v>197</v>
      </c>
      <c r="AC415" t="s">
        <v>198</v>
      </c>
      <c r="AD415" t="s">
        <v>199</v>
      </c>
      <c r="AE415">
        <v>0</v>
      </c>
      <c r="AF415">
        <v>45</v>
      </c>
      <c r="AG415">
        <v>255</v>
      </c>
      <c r="AH415">
        <v>0</v>
      </c>
      <c r="AI415">
        <v>0</v>
      </c>
      <c r="AJ415">
        <v>0</v>
      </c>
      <c r="AK415">
        <v>12.6</v>
      </c>
      <c r="AL415">
        <v>0</v>
      </c>
      <c r="AM415">
        <v>0</v>
      </c>
      <c r="AN415" t="s">
        <v>197</v>
      </c>
      <c r="AO415">
        <v>100</v>
      </c>
      <c r="AP415" t="s">
        <v>197</v>
      </c>
      <c r="AQ415" t="s">
        <v>200</v>
      </c>
      <c r="AR415">
        <v>1</v>
      </c>
      <c r="AS415">
        <v>0</v>
      </c>
      <c r="AT415" t="s">
        <v>761</v>
      </c>
      <c r="AU415" t="s">
        <v>761</v>
      </c>
      <c r="AV415" t="s">
        <v>202</v>
      </c>
      <c r="AW415" t="s">
        <v>203</v>
      </c>
      <c r="AX415" t="s">
        <v>203</v>
      </c>
      <c r="AY415" t="s">
        <v>203</v>
      </c>
      <c r="AZ415" t="s">
        <v>203</v>
      </c>
      <c r="BA415" t="s">
        <v>203</v>
      </c>
      <c r="BB415" t="s">
        <v>203</v>
      </c>
      <c r="BC415" t="s">
        <v>203</v>
      </c>
      <c r="BD415" t="s">
        <v>203</v>
      </c>
      <c r="BE415" t="s">
        <v>203</v>
      </c>
      <c r="BF415">
        <v>0</v>
      </c>
      <c r="BG415">
        <v>0.2</v>
      </c>
      <c r="BH415">
        <v>50</v>
      </c>
      <c r="BI415">
        <v>0</v>
      </c>
      <c r="BJ415" t="s">
        <v>198</v>
      </c>
      <c r="BK415" t="s">
        <v>198</v>
      </c>
      <c r="BL415" t="s">
        <v>198</v>
      </c>
      <c r="BM415" t="s">
        <v>198</v>
      </c>
      <c r="BN415" t="s">
        <v>198</v>
      </c>
      <c r="BO415" t="s">
        <v>198</v>
      </c>
      <c r="BP415" t="s">
        <v>198</v>
      </c>
      <c r="BQ415" t="s">
        <v>198</v>
      </c>
      <c r="BR415" t="s">
        <v>198</v>
      </c>
      <c r="BS415" t="s">
        <v>198</v>
      </c>
      <c r="BT415" t="s">
        <v>198</v>
      </c>
      <c r="BU415" t="s">
        <v>198</v>
      </c>
      <c r="BV415" t="s">
        <v>198</v>
      </c>
      <c r="BW415" t="s">
        <v>198</v>
      </c>
      <c r="BX415" t="s">
        <v>198</v>
      </c>
      <c r="BY415" t="s">
        <v>198</v>
      </c>
      <c r="BZ415" t="s">
        <v>198</v>
      </c>
      <c r="CA415" t="s">
        <v>198</v>
      </c>
      <c r="CB415" t="s">
        <v>204</v>
      </c>
      <c r="CC415" t="s">
        <v>204</v>
      </c>
      <c r="CD415" t="s">
        <v>204</v>
      </c>
      <c r="CE415" t="s">
        <v>204</v>
      </c>
      <c r="CF415" t="s">
        <v>204</v>
      </c>
      <c r="CG415" t="s">
        <v>204</v>
      </c>
      <c r="CH415" t="s">
        <v>204</v>
      </c>
      <c r="CI415" t="s">
        <v>204</v>
      </c>
      <c r="CJ415" t="s">
        <v>204</v>
      </c>
      <c r="CK415" t="s">
        <v>204</v>
      </c>
      <c r="CL415" t="s">
        <v>204</v>
      </c>
      <c r="CM415" t="s">
        <v>204</v>
      </c>
      <c r="CN415" t="s">
        <v>203</v>
      </c>
      <c r="CO415" t="s">
        <v>203</v>
      </c>
      <c r="CP415" t="s">
        <v>203</v>
      </c>
      <c r="CQ415" t="s">
        <v>203</v>
      </c>
      <c r="CR415" t="s">
        <v>203</v>
      </c>
      <c r="CS415" t="s">
        <v>203</v>
      </c>
      <c r="CT415" t="s">
        <v>203</v>
      </c>
      <c r="CU415" t="s">
        <v>203</v>
      </c>
      <c r="CV415">
        <v>0</v>
      </c>
      <c r="CW415">
        <v>0</v>
      </c>
      <c r="CX415" t="s">
        <v>198</v>
      </c>
      <c r="CY415" t="s">
        <v>198</v>
      </c>
      <c r="CZ415" t="s">
        <v>198</v>
      </c>
      <c r="DA415" t="s">
        <v>198</v>
      </c>
      <c r="DB415" t="s">
        <v>198</v>
      </c>
      <c r="DC415">
        <v>0</v>
      </c>
      <c r="DD415">
        <v>0</v>
      </c>
      <c r="DE415">
        <v>0</v>
      </c>
      <c r="DF415">
        <v>0</v>
      </c>
      <c r="DG415">
        <v>-35.3631166</v>
      </c>
      <c r="DH415">
        <v>149.1639735</v>
      </c>
      <c r="DI415" t="s">
        <v>360</v>
      </c>
      <c r="DJ415">
        <v>1.2</v>
      </c>
      <c r="DK415">
        <v>2</v>
      </c>
      <c r="DL415">
        <v>159.8</v>
      </c>
      <c r="DM415">
        <v>0</v>
      </c>
      <c r="DN415">
        <v>6</v>
      </c>
      <c r="DO415">
        <v>10</v>
      </c>
      <c r="DP415">
        <v>0</v>
      </c>
      <c r="DQ415">
        <v>255</v>
      </c>
      <c r="DR415">
        <v>255</v>
      </c>
      <c r="DS415">
        <v>255</v>
      </c>
      <c r="DT415">
        <v>255</v>
      </c>
      <c r="DU415">
        <v>255</v>
      </c>
      <c r="DV415">
        <v>255</v>
      </c>
      <c r="DW415">
        <v>255</v>
      </c>
      <c r="DX415" t="s">
        <v>206</v>
      </c>
      <c r="DY415" t="s">
        <v>206</v>
      </c>
      <c r="DZ415" t="s">
        <v>207</v>
      </c>
      <c r="EA415" t="s">
        <v>198</v>
      </c>
      <c r="EB415" t="s">
        <v>198</v>
      </c>
      <c r="EC415" t="s">
        <v>198</v>
      </c>
      <c r="ED415">
        <v>0</v>
      </c>
      <c r="EE415">
        <v>0</v>
      </c>
      <c r="EF415">
        <v>0</v>
      </c>
      <c r="EG415">
        <v>0</v>
      </c>
      <c r="EH415">
        <v>255</v>
      </c>
      <c r="EI415">
        <v>255</v>
      </c>
      <c r="EJ415">
        <v>255</v>
      </c>
      <c r="EK415">
        <v>255</v>
      </c>
      <c r="EL415">
        <v>255</v>
      </c>
      <c r="EM415">
        <v>255</v>
      </c>
      <c r="EN415">
        <v>255</v>
      </c>
      <c r="EO415">
        <v>255</v>
      </c>
      <c r="EP415">
        <v>255</v>
      </c>
      <c r="EQ415">
        <v>255</v>
      </c>
      <c r="ER415" t="s">
        <v>208</v>
      </c>
      <c r="ES415" t="s">
        <v>209</v>
      </c>
      <c r="ET415" t="s">
        <v>209</v>
      </c>
      <c r="EU415">
        <v>0</v>
      </c>
      <c r="EV415">
        <v>16.2</v>
      </c>
      <c r="EW415">
        <v>-114.7</v>
      </c>
      <c r="EX415">
        <v>-0.2</v>
      </c>
      <c r="EY415">
        <v>0</v>
      </c>
      <c r="EZ415">
        <v>0</v>
      </c>
      <c r="FA415">
        <v>0</v>
      </c>
      <c r="FB415" t="s">
        <v>198</v>
      </c>
      <c r="FC415" t="s">
        <v>198</v>
      </c>
      <c r="FD415" t="s">
        <v>198</v>
      </c>
      <c r="FE415" t="s">
        <v>198</v>
      </c>
      <c r="FF415" t="s">
        <v>198</v>
      </c>
      <c r="FG415" t="s">
        <v>198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203</v>
      </c>
      <c r="FP415" t="s">
        <v>203</v>
      </c>
      <c r="FQ415" t="s">
        <v>203</v>
      </c>
      <c r="FR415" t="s">
        <v>203</v>
      </c>
      <c r="FS415" t="s">
        <v>203</v>
      </c>
      <c r="FT415" t="s">
        <v>203</v>
      </c>
      <c r="FU415" t="s">
        <v>198</v>
      </c>
      <c r="FV415" t="s">
        <v>198</v>
      </c>
      <c r="FW415" t="s">
        <v>198</v>
      </c>
      <c r="FX415" t="s">
        <v>198</v>
      </c>
      <c r="FY415" t="s">
        <v>198</v>
      </c>
      <c r="FZ415" t="s">
        <v>198</v>
      </c>
      <c r="GA415">
        <v>31.2</v>
      </c>
      <c r="GB415">
        <v>31.2</v>
      </c>
      <c r="GC415" t="s">
        <v>203</v>
      </c>
      <c r="GD415">
        <v>0</v>
      </c>
      <c r="GE415">
        <v>504</v>
      </c>
      <c r="GF415">
        <v>0</v>
      </c>
      <c r="GG415">
        <v>0</v>
      </c>
      <c r="GH415">
        <v>0</v>
      </c>
      <c r="GI415">
        <v>1</v>
      </c>
      <c r="GJ415">
        <v>1</v>
      </c>
      <c r="GK415">
        <v>0</v>
      </c>
      <c r="GL415" t="s">
        <v>198</v>
      </c>
      <c r="GM415" t="s">
        <v>198</v>
      </c>
      <c r="GN415" t="s">
        <v>198</v>
      </c>
    </row>
    <row r="416" spans="1:196">
      <c r="A416" s="19">
        <v>46316.90869609953</v>
      </c>
      <c r="B416">
        <v>0</v>
      </c>
      <c r="C416">
        <v>0</v>
      </c>
      <c r="D416">
        <v>277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584.2</v>
      </c>
      <c r="N416">
        <v>-0.5</v>
      </c>
      <c r="O416">
        <v>0</v>
      </c>
      <c r="P416">
        <v>0</v>
      </c>
      <c r="Q416">
        <v>0</v>
      </c>
      <c r="R416">
        <v>0</v>
      </c>
      <c r="S416">
        <v>115.6</v>
      </c>
      <c r="T416" t="s">
        <v>485</v>
      </c>
      <c r="U416">
        <v>115.7</v>
      </c>
      <c r="V416">
        <v>1762727256586.8</v>
      </c>
      <c r="W416">
        <v>1</v>
      </c>
      <c r="X416" t="s">
        <v>197</v>
      </c>
      <c r="Y416">
        <v>0</v>
      </c>
      <c r="Z416">
        <v>98</v>
      </c>
      <c r="AA416">
        <v>278</v>
      </c>
      <c r="AB416" t="s">
        <v>197</v>
      </c>
      <c r="AC416" t="s">
        <v>198</v>
      </c>
      <c r="AD416" t="s">
        <v>199</v>
      </c>
      <c r="AE416">
        <v>0</v>
      </c>
      <c r="AF416">
        <v>45</v>
      </c>
      <c r="AG416">
        <v>255</v>
      </c>
      <c r="AH416">
        <v>0</v>
      </c>
      <c r="AI416">
        <v>0</v>
      </c>
      <c r="AJ416">
        <v>0</v>
      </c>
      <c r="AK416">
        <v>12.6</v>
      </c>
      <c r="AL416">
        <v>0</v>
      </c>
      <c r="AM416">
        <v>0</v>
      </c>
      <c r="AN416" t="s">
        <v>197</v>
      </c>
      <c r="AO416">
        <v>100</v>
      </c>
      <c r="AP416" t="s">
        <v>197</v>
      </c>
      <c r="AQ416" t="s">
        <v>200</v>
      </c>
      <c r="AR416">
        <v>1</v>
      </c>
      <c r="AS416">
        <v>0</v>
      </c>
      <c r="AT416" t="s">
        <v>762</v>
      </c>
      <c r="AU416" t="s">
        <v>762</v>
      </c>
      <c r="AV416" t="s">
        <v>202</v>
      </c>
      <c r="AW416" t="s">
        <v>203</v>
      </c>
      <c r="AX416" t="s">
        <v>203</v>
      </c>
      <c r="AY416" t="s">
        <v>203</v>
      </c>
      <c r="AZ416" t="s">
        <v>203</v>
      </c>
      <c r="BA416" t="s">
        <v>203</v>
      </c>
      <c r="BB416" t="s">
        <v>203</v>
      </c>
      <c r="BC416" t="s">
        <v>203</v>
      </c>
      <c r="BD416" t="s">
        <v>203</v>
      </c>
      <c r="BE416" t="s">
        <v>203</v>
      </c>
      <c r="BF416">
        <v>0</v>
      </c>
      <c r="BG416">
        <v>0.2</v>
      </c>
      <c r="BH416">
        <v>50</v>
      </c>
      <c r="BI416">
        <v>0</v>
      </c>
      <c r="BJ416" t="s">
        <v>198</v>
      </c>
      <c r="BK416" t="s">
        <v>198</v>
      </c>
      <c r="BL416" t="s">
        <v>198</v>
      </c>
      <c r="BM416" t="s">
        <v>198</v>
      </c>
      <c r="BN416" t="s">
        <v>198</v>
      </c>
      <c r="BO416" t="s">
        <v>198</v>
      </c>
      <c r="BP416" t="s">
        <v>198</v>
      </c>
      <c r="BQ416" t="s">
        <v>198</v>
      </c>
      <c r="BR416" t="s">
        <v>198</v>
      </c>
      <c r="BS416" t="s">
        <v>198</v>
      </c>
      <c r="BT416" t="s">
        <v>198</v>
      </c>
      <c r="BU416" t="s">
        <v>198</v>
      </c>
      <c r="BV416" t="s">
        <v>198</v>
      </c>
      <c r="BW416" t="s">
        <v>198</v>
      </c>
      <c r="BX416" t="s">
        <v>198</v>
      </c>
      <c r="BY416" t="s">
        <v>198</v>
      </c>
      <c r="BZ416" t="s">
        <v>198</v>
      </c>
      <c r="CA416" t="s">
        <v>198</v>
      </c>
      <c r="CB416" t="s">
        <v>204</v>
      </c>
      <c r="CC416" t="s">
        <v>204</v>
      </c>
      <c r="CD416" t="s">
        <v>204</v>
      </c>
      <c r="CE416" t="s">
        <v>204</v>
      </c>
      <c r="CF416" t="s">
        <v>204</v>
      </c>
      <c r="CG416" t="s">
        <v>204</v>
      </c>
      <c r="CH416" t="s">
        <v>204</v>
      </c>
      <c r="CI416" t="s">
        <v>204</v>
      </c>
      <c r="CJ416" t="s">
        <v>204</v>
      </c>
      <c r="CK416" t="s">
        <v>204</v>
      </c>
      <c r="CL416" t="s">
        <v>204</v>
      </c>
      <c r="CM416" t="s">
        <v>204</v>
      </c>
      <c r="CN416" t="s">
        <v>203</v>
      </c>
      <c r="CO416" t="s">
        <v>203</v>
      </c>
      <c r="CP416" t="s">
        <v>203</v>
      </c>
      <c r="CQ416" t="s">
        <v>203</v>
      </c>
      <c r="CR416" t="s">
        <v>203</v>
      </c>
      <c r="CS416" t="s">
        <v>203</v>
      </c>
      <c r="CT416" t="s">
        <v>203</v>
      </c>
      <c r="CU416" t="s">
        <v>203</v>
      </c>
      <c r="CV416">
        <v>0</v>
      </c>
      <c r="CW416">
        <v>0</v>
      </c>
      <c r="CX416" t="s">
        <v>198</v>
      </c>
      <c r="CY416" t="s">
        <v>198</v>
      </c>
      <c r="CZ416" t="s">
        <v>198</v>
      </c>
      <c r="DA416" t="s">
        <v>198</v>
      </c>
      <c r="DB416" t="s">
        <v>198</v>
      </c>
      <c r="DC416">
        <v>0</v>
      </c>
      <c r="DD416">
        <v>0</v>
      </c>
      <c r="DE416">
        <v>0</v>
      </c>
      <c r="DF416">
        <v>0</v>
      </c>
      <c r="DG416">
        <v>-35.3631166</v>
      </c>
      <c r="DH416">
        <v>149.1639735</v>
      </c>
      <c r="DI416" t="s">
        <v>360</v>
      </c>
      <c r="DJ416">
        <v>1.2</v>
      </c>
      <c r="DK416">
        <v>2</v>
      </c>
      <c r="DL416">
        <v>159.8</v>
      </c>
      <c r="DM416">
        <v>0</v>
      </c>
      <c r="DN416">
        <v>6</v>
      </c>
      <c r="DO416">
        <v>10</v>
      </c>
      <c r="DP416">
        <v>0</v>
      </c>
      <c r="DQ416">
        <v>255</v>
      </c>
      <c r="DR416">
        <v>255</v>
      </c>
      <c r="DS416">
        <v>255</v>
      </c>
      <c r="DT416">
        <v>255</v>
      </c>
      <c r="DU416">
        <v>255</v>
      </c>
      <c r="DV416">
        <v>255</v>
      </c>
      <c r="DW416">
        <v>255</v>
      </c>
      <c r="DX416" t="s">
        <v>206</v>
      </c>
      <c r="DY416" t="s">
        <v>206</v>
      </c>
      <c r="DZ416" t="s">
        <v>207</v>
      </c>
      <c r="EA416" t="s">
        <v>198</v>
      </c>
      <c r="EB416" t="s">
        <v>198</v>
      </c>
      <c r="EC416" t="s">
        <v>198</v>
      </c>
      <c r="ED416">
        <v>0</v>
      </c>
      <c r="EE416">
        <v>0</v>
      </c>
      <c r="EF416">
        <v>0</v>
      </c>
      <c r="EG416">
        <v>0</v>
      </c>
      <c r="EH416">
        <v>255</v>
      </c>
      <c r="EI416">
        <v>255</v>
      </c>
      <c r="EJ416">
        <v>255</v>
      </c>
      <c r="EK416">
        <v>255</v>
      </c>
      <c r="EL416">
        <v>255</v>
      </c>
      <c r="EM416">
        <v>255</v>
      </c>
      <c r="EN416">
        <v>255</v>
      </c>
      <c r="EO416">
        <v>255</v>
      </c>
      <c r="EP416">
        <v>255</v>
      </c>
      <c r="EQ416">
        <v>255</v>
      </c>
      <c r="ER416" t="s">
        <v>208</v>
      </c>
      <c r="ES416" t="s">
        <v>209</v>
      </c>
      <c r="ET416" t="s">
        <v>209</v>
      </c>
      <c r="EU416">
        <v>0</v>
      </c>
      <c r="EV416">
        <v>16.2</v>
      </c>
      <c r="EW416">
        <v>-114.7</v>
      </c>
      <c r="EX416">
        <v>-0.2</v>
      </c>
      <c r="EY416">
        <v>0</v>
      </c>
      <c r="EZ416">
        <v>0</v>
      </c>
      <c r="FA416">
        <v>0</v>
      </c>
      <c r="FB416" t="s">
        <v>198</v>
      </c>
      <c r="FC416" t="s">
        <v>198</v>
      </c>
      <c r="FD416" t="s">
        <v>198</v>
      </c>
      <c r="FE416" t="s">
        <v>198</v>
      </c>
      <c r="FF416" t="s">
        <v>198</v>
      </c>
      <c r="FG416" t="s">
        <v>198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203</v>
      </c>
      <c r="FP416" t="s">
        <v>203</v>
      </c>
      <c r="FQ416" t="s">
        <v>203</v>
      </c>
      <c r="FR416" t="s">
        <v>203</v>
      </c>
      <c r="FS416" t="s">
        <v>203</v>
      </c>
      <c r="FT416" t="s">
        <v>203</v>
      </c>
      <c r="FU416" t="s">
        <v>198</v>
      </c>
      <c r="FV416" t="s">
        <v>198</v>
      </c>
      <c r="FW416" t="s">
        <v>198</v>
      </c>
      <c r="FX416" t="s">
        <v>198</v>
      </c>
      <c r="FY416" t="s">
        <v>198</v>
      </c>
      <c r="FZ416" t="s">
        <v>198</v>
      </c>
      <c r="GA416">
        <v>31.2</v>
      </c>
      <c r="GB416">
        <v>31.2</v>
      </c>
      <c r="GC416" t="s">
        <v>203</v>
      </c>
      <c r="GD416">
        <v>0</v>
      </c>
      <c r="GE416">
        <v>504</v>
      </c>
      <c r="GF416">
        <v>0</v>
      </c>
      <c r="GG416">
        <v>0</v>
      </c>
      <c r="GH416">
        <v>0</v>
      </c>
      <c r="GI416">
        <v>1</v>
      </c>
      <c r="GJ416">
        <v>1</v>
      </c>
      <c r="GK416">
        <v>0</v>
      </c>
      <c r="GL416" t="s">
        <v>198</v>
      </c>
      <c r="GM416" t="s">
        <v>198</v>
      </c>
      <c r="GN416" t="s">
        <v>198</v>
      </c>
    </row>
    <row r="417" spans="1:196">
      <c r="A417" s="19">
        <v>46316.90870767361</v>
      </c>
      <c r="B417">
        <v>0</v>
      </c>
      <c r="C417">
        <v>0</v>
      </c>
      <c r="D417">
        <v>277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584.2</v>
      </c>
      <c r="N417">
        <v>-0.5</v>
      </c>
      <c r="O417">
        <v>0</v>
      </c>
      <c r="P417">
        <v>0</v>
      </c>
      <c r="Q417">
        <v>0</v>
      </c>
      <c r="R417">
        <v>0</v>
      </c>
      <c r="S417">
        <v>115.6</v>
      </c>
      <c r="T417" t="s">
        <v>485</v>
      </c>
      <c r="U417">
        <v>115.7</v>
      </c>
      <c r="V417">
        <v>1762727256586.8</v>
      </c>
      <c r="W417">
        <v>1</v>
      </c>
      <c r="X417" t="s">
        <v>197</v>
      </c>
      <c r="Y417">
        <v>0</v>
      </c>
      <c r="Z417">
        <v>98</v>
      </c>
      <c r="AA417">
        <v>278</v>
      </c>
      <c r="AB417" t="s">
        <v>197</v>
      </c>
      <c r="AC417" t="s">
        <v>198</v>
      </c>
      <c r="AD417" t="s">
        <v>199</v>
      </c>
      <c r="AE417">
        <v>0</v>
      </c>
      <c r="AF417">
        <v>45</v>
      </c>
      <c r="AG417">
        <v>255</v>
      </c>
      <c r="AH417">
        <v>0</v>
      </c>
      <c r="AI417">
        <v>0</v>
      </c>
      <c r="AJ417">
        <v>0</v>
      </c>
      <c r="AK417">
        <v>12.6</v>
      </c>
      <c r="AL417">
        <v>0</v>
      </c>
      <c r="AM417">
        <v>0</v>
      </c>
      <c r="AN417" t="s">
        <v>197</v>
      </c>
      <c r="AO417">
        <v>100</v>
      </c>
      <c r="AP417" t="s">
        <v>197</v>
      </c>
      <c r="AQ417" t="s">
        <v>200</v>
      </c>
      <c r="AR417">
        <v>1</v>
      </c>
      <c r="AS417">
        <v>0</v>
      </c>
      <c r="AT417" t="s">
        <v>763</v>
      </c>
      <c r="AU417" t="s">
        <v>763</v>
      </c>
      <c r="AV417" t="s">
        <v>202</v>
      </c>
      <c r="AW417" t="s">
        <v>203</v>
      </c>
      <c r="AX417" t="s">
        <v>203</v>
      </c>
      <c r="AY417" t="s">
        <v>203</v>
      </c>
      <c r="AZ417" t="s">
        <v>203</v>
      </c>
      <c r="BA417" t="s">
        <v>203</v>
      </c>
      <c r="BB417" t="s">
        <v>203</v>
      </c>
      <c r="BC417" t="s">
        <v>203</v>
      </c>
      <c r="BD417" t="s">
        <v>203</v>
      </c>
      <c r="BE417" t="s">
        <v>203</v>
      </c>
      <c r="BF417">
        <v>0</v>
      </c>
      <c r="BG417">
        <v>0.2</v>
      </c>
      <c r="BH417">
        <v>50</v>
      </c>
      <c r="BI417">
        <v>0</v>
      </c>
      <c r="BJ417" t="s">
        <v>198</v>
      </c>
      <c r="BK417" t="s">
        <v>198</v>
      </c>
      <c r="BL417" t="s">
        <v>198</v>
      </c>
      <c r="BM417" t="s">
        <v>198</v>
      </c>
      <c r="BN417" t="s">
        <v>198</v>
      </c>
      <c r="BO417" t="s">
        <v>198</v>
      </c>
      <c r="BP417" t="s">
        <v>198</v>
      </c>
      <c r="BQ417" t="s">
        <v>198</v>
      </c>
      <c r="BR417" t="s">
        <v>198</v>
      </c>
      <c r="BS417" t="s">
        <v>198</v>
      </c>
      <c r="BT417" t="s">
        <v>198</v>
      </c>
      <c r="BU417" t="s">
        <v>198</v>
      </c>
      <c r="BV417" t="s">
        <v>198</v>
      </c>
      <c r="BW417" t="s">
        <v>198</v>
      </c>
      <c r="BX417" t="s">
        <v>198</v>
      </c>
      <c r="BY417" t="s">
        <v>198</v>
      </c>
      <c r="BZ417" t="s">
        <v>198</v>
      </c>
      <c r="CA417" t="s">
        <v>198</v>
      </c>
      <c r="CB417" t="s">
        <v>204</v>
      </c>
      <c r="CC417" t="s">
        <v>204</v>
      </c>
      <c r="CD417" t="s">
        <v>204</v>
      </c>
      <c r="CE417" t="s">
        <v>204</v>
      </c>
      <c r="CF417" t="s">
        <v>204</v>
      </c>
      <c r="CG417" t="s">
        <v>204</v>
      </c>
      <c r="CH417" t="s">
        <v>204</v>
      </c>
      <c r="CI417" t="s">
        <v>204</v>
      </c>
      <c r="CJ417" t="s">
        <v>204</v>
      </c>
      <c r="CK417" t="s">
        <v>204</v>
      </c>
      <c r="CL417" t="s">
        <v>204</v>
      </c>
      <c r="CM417" t="s">
        <v>204</v>
      </c>
      <c r="CN417" t="s">
        <v>203</v>
      </c>
      <c r="CO417" t="s">
        <v>203</v>
      </c>
      <c r="CP417" t="s">
        <v>203</v>
      </c>
      <c r="CQ417" t="s">
        <v>203</v>
      </c>
      <c r="CR417" t="s">
        <v>203</v>
      </c>
      <c r="CS417" t="s">
        <v>203</v>
      </c>
      <c r="CT417" t="s">
        <v>203</v>
      </c>
      <c r="CU417" t="s">
        <v>203</v>
      </c>
      <c r="CV417">
        <v>0</v>
      </c>
      <c r="CW417">
        <v>0</v>
      </c>
      <c r="CX417" t="s">
        <v>198</v>
      </c>
      <c r="CY417" t="s">
        <v>198</v>
      </c>
      <c r="CZ417" t="s">
        <v>198</v>
      </c>
      <c r="DA417" t="s">
        <v>198</v>
      </c>
      <c r="DB417" t="s">
        <v>198</v>
      </c>
      <c r="DC417">
        <v>0</v>
      </c>
      <c r="DD417">
        <v>0</v>
      </c>
      <c r="DE417">
        <v>0</v>
      </c>
      <c r="DF417">
        <v>0</v>
      </c>
      <c r="DG417">
        <v>-35.3631166</v>
      </c>
      <c r="DH417">
        <v>149.1639735</v>
      </c>
      <c r="DI417" t="s">
        <v>360</v>
      </c>
      <c r="DJ417">
        <v>1.2</v>
      </c>
      <c r="DK417">
        <v>2</v>
      </c>
      <c r="DL417">
        <v>159.8</v>
      </c>
      <c r="DM417">
        <v>0</v>
      </c>
      <c r="DN417">
        <v>6</v>
      </c>
      <c r="DO417">
        <v>10</v>
      </c>
      <c r="DP417">
        <v>0</v>
      </c>
      <c r="DQ417">
        <v>255</v>
      </c>
      <c r="DR417">
        <v>255</v>
      </c>
      <c r="DS417">
        <v>255</v>
      </c>
      <c r="DT417">
        <v>255</v>
      </c>
      <c r="DU417">
        <v>255</v>
      </c>
      <c r="DV417">
        <v>255</v>
      </c>
      <c r="DW417">
        <v>255</v>
      </c>
      <c r="DX417" t="s">
        <v>206</v>
      </c>
      <c r="DY417" t="s">
        <v>206</v>
      </c>
      <c r="DZ417" t="s">
        <v>207</v>
      </c>
      <c r="EA417" t="s">
        <v>198</v>
      </c>
      <c r="EB417" t="s">
        <v>198</v>
      </c>
      <c r="EC417" t="s">
        <v>198</v>
      </c>
      <c r="ED417">
        <v>0</v>
      </c>
      <c r="EE417">
        <v>0</v>
      </c>
      <c r="EF417">
        <v>0</v>
      </c>
      <c r="EG417">
        <v>0</v>
      </c>
      <c r="EH417">
        <v>255</v>
      </c>
      <c r="EI417">
        <v>255</v>
      </c>
      <c r="EJ417">
        <v>255</v>
      </c>
      <c r="EK417">
        <v>255</v>
      </c>
      <c r="EL417">
        <v>255</v>
      </c>
      <c r="EM417">
        <v>255</v>
      </c>
      <c r="EN417">
        <v>255</v>
      </c>
      <c r="EO417">
        <v>255</v>
      </c>
      <c r="EP417">
        <v>255</v>
      </c>
      <c r="EQ417">
        <v>255</v>
      </c>
      <c r="ER417" t="s">
        <v>208</v>
      </c>
      <c r="ES417" t="s">
        <v>209</v>
      </c>
      <c r="ET417" t="s">
        <v>209</v>
      </c>
      <c r="EU417">
        <v>0</v>
      </c>
      <c r="EV417">
        <v>16.2</v>
      </c>
      <c r="EW417">
        <v>-114.7</v>
      </c>
      <c r="EX417">
        <v>-0.2</v>
      </c>
      <c r="EY417">
        <v>0</v>
      </c>
      <c r="EZ417">
        <v>0</v>
      </c>
      <c r="FA417">
        <v>0</v>
      </c>
      <c r="FB417" t="s">
        <v>198</v>
      </c>
      <c r="FC417" t="s">
        <v>198</v>
      </c>
      <c r="FD417" t="s">
        <v>198</v>
      </c>
      <c r="FE417" t="s">
        <v>198</v>
      </c>
      <c r="FF417" t="s">
        <v>198</v>
      </c>
      <c r="FG417" t="s">
        <v>198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 t="s">
        <v>203</v>
      </c>
      <c r="FP417" t="s">
        <v>203</v>
      </c>
      <c r="FQ417" t="s">
        <v>203</v>
      </c>
      <c r="FR417" t="s">
        <v>203</v>
      </c>
      <c r="FS417" t="s">
        <v>203</v>
      </c>
      <c r="FT417" t="s">
        <v>203</v>
      </c>
      <c r="FU417" t="s">
        <v>198</v>
      </c>
      <c r="FV417" t="s">
        <v>198</v>
      </c>
      <c r="FW417" t="s">
        <v>198</v>
      </c>
      <c r="FX417" t="s">
        <v>198</v>
      </c>
      <c r="FY417" t="s">
        <v>198</v>
      </c>
      <c r="FZ417" t="s">
        <v>198</v>
      </c>
      <c r="GA417">
        <v>31.2</v>
      </c>
      <c r="GB417">
        <v>31.2</v>
      </c>
      <c r="GC417" t="s">
        <v>203</v>
      </c>
      <c r="GD417">
        <v>0</v>
      </c>
      <c r="GE417">
        <v>504</v>
      </c>
      <c r="GF417">
        <v>0</v>
      </c>
      <c r="GG417">
        <v>0</v>
      </c>
      <c r="GH417">
        <v>0</v>
      </c>
      <c r="GI417">
        <v>1</v>
      </c>
      <c r="GJ417">
        <v>1</v>
      </c>
      <c r="GK417">
        <v>0</v>
      </c>
      <c r="GL417" t="s">
        <v>198</v>
      </c>
      <c r="GM417" t="s">
        <v>198</v>
      </c>
      <c r="GN417" t="s">
        <v>198</v>
      </c>
    </row>
    <row r="418" spans="1:196">
      <c r="A418" s="19">
        <v>46316.90871924769</v>
      </c>
      <c r="B418">
        <v>0</v>
      </c>
      <c r="C418">
        <v>0</v>
      </c>
      <c r="D418">
        <v>277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584.2</v>
      </c>
      <c r="N418">
        <v>-0.5</v>
      </c>
      <c r="O418">
        <v>0</v>
      </c>
      <c r="P418">
        <v>0</v>
      </c>
      <c r="Q418">
        <v>0</v>
      </c>
      <c r="R418">
        <v>0</v>
      </c>
      <c r="S418">
        <v>115.6</v>
      </c>
      <c r="T418" t="s">
        <v>485</v>
      </c>
      <c r="U418">
        <v>115.7</v>
      </c>
      <c r="V418">
        <v>1762727256586.8</v>
      </c>
      <c r="W418">
        <v>1</v>
      </c>
      <c r="X418" t="s">
        <v>197</v>
      </c>
      <c r="Y418">
        <v>0</v>
      </c>
      <c r="Z418">
        <v>98</v>
      </c>
      <c r="AA418">
        <v>278</v>
      </c>
      <c r="AB418" t="s">
        <v>197</v>
      </c>
      <c r="AC418" t="s">
        <v>198</v>
      </c>
      <c r="AD418" t="s">
        <v>199</v>
      </c>
      <c r="AE418">
        <v>0</v>
      </c>
      <c r="AF418">
        <v>45</v>
      </c>
      <c r="AG418">
        <v>255</v>
      </c>
      <c r="AH418">
        <v>0</v>
      </c>
      <c r="AI418">
        <v>0</v>
      </c>
      <c r="AJ418">
        <v>0</v>
      </c>
      <c r="AK418">
        <v>12.6</v>
      </c>
      <c r="AL418">
        <v>0</v>
      </c>
      <c r="AM418">
        <v>0</v>
      </c>
      <c r="AN418" t="s">
        <v>197</v>
      </c>
      <c r="AO418">
        <v>100</v>
      </c>
      <c r="AP418" t="s">
        <v>197</v>
      </c>
      <c r="AQ418" t="s">
        <v>200</v>
      </c>
      <c r="AR418">
        <v>1</v>
      </c>
      <c r="AS418">
        <v>0</v>
      </c>
      <c r="AT418" t="s">
        <v>764</v>
      </c>
      <c r="AU418" t="s">
        <v>764</v>
      </c>
      <c r="AV418" t="s">
        <v>202</v>
      </c>
      <c r="AW418" t="s">
        <v>203</v>
      </c>
      <c r="AX418" t="s">
        <v>203</v>
      </c>
      <c r="AY418" t="s">
        <v>203</v>
      </c>
      <c r="AZ418" t="s">
        <v>203</v>
      </c>
      <c r="BA418" t="s">
        <v>203</v>
      </c>
      <c r="BB418" t="s">
        <v>203</v>
      </c>
      <c r="BC418" t="s">
        <v>203</v>
      </c>
      <c r="BD418" t="s">
        <v>203</v>
      </c>
      <c r="BE418" t="s">
        <v>203</v>
      </c>
      <c r="BF418">
        <v>0</v>
      </c>
      <c r="BG418">
        <v>0.2</v>
      </c>
      <c r="BH418">
        <v>50</v>
      </c>
      <c r="BI418">
        <v>0</v>
      </c>
      <c r="BJ418" t="s">
        <v>198</v>
      </c>
      <c r="BK418" t="s">
        <v>198</v>
      </c>
      <c r="BL418" t="s">
        <v>198</v>
      </c>
      <c r="BM418" t="s">
        <v>198</v>
      </c>
      <c r="BN418" t="s">
        <v>198</v>
      </c>
      <c r="BO418" t="s">
        <v>198</v>
      </c>
      <c r="BP418" t="s">
        <v>198</v>
      </c>
      <c r="BQ418" t="s">
        <v>198</v>
      </c>
      <c r="BR418" t="s">
        <v>198</v>
      </c>
      <c r="BS418" t="s">
        <v>198</v>
      </c>
      <c r="BT418" t="s">
        <v>198</v>
      </c>
      <c r="BU418" t="s">
        <v>198</v>
      </c>
      <c r="BV418" t="s">
        <v>198</v>
      </c>
      <c r="BW418" t="s">
        <v>198</v>
      </c>
      <c r="BX418" t="s">
        <v>198</v>
      </c>
      <c r="BY418" t="s">
        <v>198</v>
      </c>
      <c r="BZ418" t="s">
        <v>198</v>
      </c>
      <c r="CA418" t="s">
        <v>198</v>
      </c>
      <c r="CB418" t="s">
        <v>204</v>
      </c>
      <c r="CC418" t="s">
        <v>204</v>
      </c>
      <c r="CD418" t="s">
        <v>204</v>
      </c>
      <c r="CE418" t="s">
        <v>204</v>
      </c>
      <c r="CF418" t="s">
        <v>204</v>
      </c>
      <c r="CG418" t="s">
        <v>204</v>
      </c>
      <c r="CH418" t="s">
        <v>204</v>
      </c>
      <c r="CI418" t="s">
        <v>204</v>
      </c>
      <c r="CJ418" t="s">
        <v>204</v>
      </c>
      <c r="CK418" t="s">
        <v>204</v>
      </c>
      <c r="CL418" t="s">
        <v>204</v>
      </c>
      <c r="CM418" t="s">
        <v>204</v>
      </c>
      <c r="CN418" t="s">
        <v>203</v>
      </c>
      <c r="CO418" t="s">
        <v>203</v>
      </c>
      <c r="CP418" t="s">
        <v>203</v>
      </c>
      <c r="CQ418" t="s">
        <v>203</v>
      </c>
      <c r="CR418" t="s">
        <v>203</v>
      </c>
      <c r="CS418" t="s">
        <v>203</v>
      </c>
      <c r="CT418" t="s">
        <v>203</v>
      </c>
      <c r="CU418" t="s">
        <v>203</v>
      </c>
      <c r="CV418">
        <v>0</v>
      </c>
      <c r="CW418">
        <v>0</v>
      </c>
      <c r="CX418" t="s">
        <v>198</v>
      </c>
      <c r="CY418" t="s">
        <v>198</v>
      </c>
      <c r="CZ418" t="s">
        <v>198</v>
      </c>
      <c r="DA418" t="s">
        <v>198</v>
      </c>
      <c r="DB418" t="s">
        <v>198</v>
      </c>
      <c r="DC418">
        <v>0</v>
      </c>
      <c r="DD418">
        <v>0</v>
      </c>
      <c r="DE418">
        <v>0</v>
      </c>
      <c r="DF418">
        <v>0</v>
      </c>
      <c r="DG418">
        <v>-35.3631166</v>
      </c>
      <c r="DH418">
        <v>149.1639735</v>
      </c>
      <c r="DI418" t="s">
        <v>360</v>
      </c>
      <c r="DJ418">
        <v>1.2</v>
      </c>
      <c r="DK418">
        <v>2</v>
      </c>
      <c r="DL418">
        <v>159.8</v>
      </c>
      <c r="DM418">
        <v>0</v>
      </c>
      <c r="DN418">
        <v>6</v>
      </c>
      <c r="DO418">
        <v>10</v>
      </c>
      <c r="DP418">
        <v>0</v>
      </c>
      <c r="DQ418">
        <v>255</v>
      </c>
      <c r="DR418">
        <v>255</v>
      </c>
      <c r="DS418">
        <v>255</v>
      </c>
      <c r="DT418">
        <v>255</v>
      </c>
      <c r="DU418">
        <v>255</v>
      </c>
      <c r="DV418">
        <v>255</v>
      </c>
      <c r="DW418">
        <v>255</v>
      </c>
      <c r="DX418" t="s">
        <v>206</v>
      </c>
      <c r="DY418" t="s">
        <v>206</v>
      </c>
      <c r="DZ418" t="s">
        <v>207</v>
      </c>
      <c r="EA418" t="s">
        <v>198</v>
      </c>
      <c r="EB418" t="s">
        <v>198</v>
      </c>
      <c r="EC418" t="s">
        <v>198</v>
      </c>
      <c r="ED418">
        <v>0</v>
      </c>
      <c r="EE418">
        <v>0</v>
      </c>
      <c r="EF418">
        <v>0</v>
      </c>
      <c r="EG418">
        <v>0</v>
      </c>
      <c r="EH418">
        <v>255</v>
      </c>
      <c r="EI418">
        <v>255</v>
      </c>
      <c r="EJ418">
        <v>255</v>
      </c>
      <c r="EK418">
        <v>255</v>
      </c>
      <c r="EL418">
        <v>255</v>
      </c>
      <c r="EM418">
        <v>255</v>
      </c>
      <c r="EN418">
        <v>255</v>
      </c>
      <c r="EO418">
        <v>255</v>
      </c>
      <c r="EP418">
        <v>255</v>
      </c>
      <c r="EQ418">
        <v>255</v>
      </c>
      <c r="ER418" t="s">
        <v>208</v>
      </c>
      <c r="ES418" t="s">
        <v>209</v>
      </c>
      <c r="ET418" t="s">
        <v>209</v>
      </c>
      <c r="EU418">
        <v>0</v>
      </c>
      <c r="EV418">
        <v>16.2</v>
      </c>
      <c r="EW418">
        <v>-114.7</v>
      </c>
      <c r="EX418">
        <v>-0.2</v>
      </c>
      <c r="EY418">
        <v>0</v>
      </c>
      <c r="EZ418">
        <v>0</v>
      </c>
      <c r="FA418">
        <v>0</v>
      </c>
      <c r="FB418" t="s">
        <v>198</v>
      </c>
      <c r="FC418" t="s">
        <v>198</v>
      </c>
      <c r="FD418" t="s">
        <v>198</v>
      </c>
      <c r="FE418" t="s">
        <v>198</v>
      </c>
      <c r="FF418" t="s">
        <v>198</v>
      </c>
      <c r="FG418" t="s">
        <v>198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 t="s">
        <v>203</v>
      </c>
      <c r="FP418" t="s">
        <v>203</v>
      </c>
      <c r="FQ418" t="s">
        <v>203</v>
      </c>
      <c r="FR418" t="s">
        <v>203</v>
      </c>
      <c r="FS418" t="s">
        <v>203</v>
      </c>
      <c r="FT418" t="s">
        <v>203</v>
      </c>
      <c r="FU418" t="s">
        <v>198</v>
      </c>
      <c r="FV418" t="s">
        <v>198</v>
      </c>
      <c r="FW418" t="s">
        <v>198</v>
      </c>
      <c r="FX418" t="s">
        <v>198</v>
      </c>
      <c r="FY418" t="s">
        <v>198</v>
      </c>
      <c r="FZ418" t="s">
        <v>198</v>
      </c>
      <c r="GA418">
        <v>31.2</v>
      </c>
      <c r="GB418">
        <v>31.2</v>
      </c>
      <c r="GC418" t="s">
        <v>203</v>
      </c>
      <c r="GD418">
        <v>0</v>
      </c>
      <c r="GE418">
        <v>504</v>
      </c>
      <c r="GF418">
        <v>0</v>
      </c>
      <c r="GG418">
        <v>0</v>
      </c>
      <c r="GH418">
        <v>0</v>
      </c>
      <c r="GI418">
        <v>1</v>
      </c>
      <c r="GJ418">
        <v>1</v>
      </c>
      <c r="GK418">
        <v>0</v>
      </c>
      <c r="GL418" t="s">
        <v>198</v>
      </c>
      <c r="GM418" t="s">
        <v>198</v>
      </c>
      <c r="GN418" t="s">
        <v>198</v>
      </c>
    </row>
    <row r="419" spans="1:196">
      <c r="A419" s="19">
        <v>46316.90873082176</v>
      </c>
      <c r="B419">
        <v>0</v>
      </c>
      <c r="C419">
        <v>0</v>
      </c>
      <c r="D419">
        <v>277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584.2</v>
      </c>
      <c r="N419">
        <v>-0.5</v>
      </c>
      <c r="O419">
        <v>0</v>
      </c>
      <c r="P419">
        <v>0</v>
      </c>
      <c r="Q419">
        <v>0</v>
      </c>
      <c r="R419">
        <v>0</v>
      </c>
      <c r="S419">
        <v>115.6</v>
      </c>
      <c r="T419" t="s">
        <v>485</v>
      </c>
      <c r="U419">
        <v>115.7</v>
      </c>
      <c r="V419">
        <v>1762727256586.8</v>
      </c>
      <c r="W419">
        <v>1</v>
      </c>
      <c r="X419" t="s">
        <v>197</v>
      </c>
      <c r="Y419">
        <v>0</v>
      </c>
      <c r="Z419">
        <v>98</v>
      </c>
      <c r="AA419">
        <v>278</v>
      </c>
      <c r="AB419" t="s">
        <v>197</v>
      </c>
      <c r="AC419" t="s">
        <v>198</v>
      </c>
      <c r="AD419" t="s">
        <v>199</v>
      </c>
      <c r="AE419">
        <v>0</v>
      </c>
      <c r="AF419">
        <v>45</v>
      </c>
      <c r="AG419">
        <v>255</v>
      </c>
      <c r="AH419">
        <v>0</v>
      </c>
      <c r="AI419">
        <v>0</v>
      </c>
      <c r="AJ419">
        <v>0</v>
      </c>
      <c r="AK419">
        <v>12.6</v>
      </c>
      <c r="AL419">
        <v>0</v>
      </c>
      <c r="AM419">
        <v>0</v>
      </c>
      <c r="AN419" t="s">
        <v>197</v>
      </c>
      <c r="AO419">
        <v>100</v>
      </c>
      <c r="AP419" t="s">
        <v>197</v>
      </c>
      <c r="AQ419" t="s">
        <v>200</v>
      </c>
      <c r="AR419">
        <v>1</v>
      </c>
      <c r="AS419">
        <v>0</v>
      </c>
      <c r="AT419" t="s">
        <v>765</v>
      </c>
      <c r="AU419" t="s">
        <v>765</v>
      </c>
      <c r="AV419" t="s">
        <v>202</v>
      </c>
      <c r="AW419" t="s">
        <v>203</v>
      </c>
      <c r="AX419" t="s">
        <v>203</v>
      </c>
      <c r="AY419" t="s">
        <v>203</v>
      </c>
      <c r="AZ419" t="s">
        <v>203</v>
      </c>
      <c r="BA419" t="s">
        <v>203</v>
      </c>
      <c r="BB419" t="s">
        <v>203</v>
      </c>
      <c r="BC419" t="s">
        <v>203</v>
      </c>
      <c r="BD419" t="s">
        <v>203</v>
      </c>
      <c r="BE419" t="s">
        <v>203</v>
      </c>
      <c r="BF419">
        <v>0</v>
      </c>
      <c r="BG419">
        <v>0.2</v>
      </c>
      <c r="BH419">
        <v>50</v>
      </c>
      <c r="BI419">
        <v>0</v>
      </c>
      <c r="BJ419" t="s">
        <v>198</v>
      </c>
      <c r="BK419" t="s">
        <v>198</v>
      </c>
      <c r="BL419" t="s">
        <v>198</v>
      </c>
      <c r="BM419" t="s">
        <v>198</v>
      </c>
      <c r="BN419" t="s">
        <v>198</v>
      </c>
      <c r="BO419" t="s">
        <v>198</v>
      </c>
      <c r="BP419" t="s">
        <v>198</v>
      </c>
      <c r="BQ419" t="s">
        <v>198</v>
      </c>
      <c r="BR419" t="s">
        <v>198</v>
      </c>
      <c r="BS419" t="s">
        <v>198</v>
      </c>
      <c r="BT419" t="s">
        <v>198</v>
      </c>
      <c r="BU419" t="s">
        <v>198</v>
      </c>
      <c r="BV419" t="s">
        <v>198</v>
      </c>
      <c r="BW419" t="s">
        <v>198</v>
      </c>
      <c r="BX419" t="s">
        <v>198</v>
      </c>
      <c r="BY419" t="s">
        <v>198</v>
      </c>
      <c r="BZ419" t="s">
        <v>198</v>
      </c>
      <c r="CA419" t="s">
        <v>198</v>
      </c>
      <c r="CB419" t="s">
        <v>204</v>
      </c>
      <c r="CC419" t="s">
        <v>204</v>
      </c>
      <c r="CD419" t="s">
        <v>204</v>
      </c>
      <c r="CE419" t="s">
        <v>204</v>
      </c>
      <c r="CF419" t="s">
        <v>204</v>
      </c>
      <c r="CG419" t="s">
        <v>204</v>
      </c>
      <c r="CH419" t="s">
        <v>204</v>
      </c>
      <c r="CI419" t="s">
        <v>204</v>
      </c>
      <c r="CJ419" t="s">
        <v>204</v>
      </c>
      <c r="CK419" t="s">
        <v>204</v>
      </c>
      <c r="CL419" t="s">
        <v>204</v>
      </c>
      <c r="CM419" t="s">
        <v>204</v>
      </c>
      <c r="CN419" t="s">
        <v>203</v>
      </c>
      <c r="CO419" t="s">
        <v>203</v>
      </c>
      <c r="CP419" t="s">
        <v>203</v>
      </c>
      <c r="CQ419" t="s">
        <v>203</v>
      </c>
      <c r="CR419" t="s">
        <v>203</v>
      </c>
      <c r="CS419" t="s">
        <v>203</v>
      </c>
      <c r="CT419" t="s">
        <v>203</v>
      </c>
      <c r="CU419" t="s">
        <v>203</v>
      </c>
      <c r="CV419">
        <v>0</v>
      </c>
      <c r="CW419">
        <v>0</v>
      </c>
      <c r="CX419" t="s">
        <v>198</v>
      </c>
      <c r="CY419" t="s">
        <v>198</v>
      </c>
      <c r="CZ419" t="s">
        <v>198</v>
      </c>
      <c r="DA419" t="s">
        <v>198</v>
      </c>
      <c r="DB419" t="s">
        <v>198</v>
      </c>
      <c r="DC419">
        <v>0</v>
      </c>
      <c r="DD419">
        <v>0</v>
      </c>
      <c r="DE419">
        <v>0</v>
      </c>
      <c r="DF419">
        <v>0</v>
      </c>
      <c r="DG419">
        <v>-35.3631166</v>
      </c>
      <c r="DH419">
        <v>149.1639735</v>
      </c>
      <c r="DI419" t="s">
        <v>360</v>
      </c>
      <c r="DJ419">
        <v>1.2</v>
      </c>
      <c r="DK419">
        <v>2</v>
      </c>
      <c r="DL419">
        <v>159.8</v>
      </c>
      <c r="DM419">
        <v>0</v>
      </c>
      <c r="DN419">
        <v>6</v>
      </c>
      <c r="DO419">
        <v>10</v>
      </c>
      <c r="DP419">
        <v>0</v>
      </c>
      <c r="DQ419">
        <v>255</v>
      </c>
      <c r="DR419">
        <v>255</v>
      </c>
      <c r="DS419">
        <v>255</v>
      </c>
      <c r="DT419">
        <v>255</v>
      </c>
      <c r="DU419">
        <v>255</v>
      </c>
      <c r="DV419">
        <v>255</v>
      </c>
      <c r="DW419">
        <v>255</v>
      </c>
      <c r="DX419" t="s">
        <v>206</v>
      </c>
      <c r="DY419" t="s">
        <v>206</v>
      </c>
      <c r="DZ419" t="s">
        <v>207</v>
      </c>
      <c r="EA419" t="s">
        <v>198</v>
      </c>
      <c r="EB419" t="s">
        <v>198</v>
      </c>
      <c r="EC419" t="s">
        <v>198</v>
      </c>
      <c r="ED419">
        <v>0</v>
      </c>
      <c r="EE419">
        <v>0</v>
      </c>
      <c r="EF419">
        <v>0</v>
      </c>
      <c r="EG419">
        <v>0</v>
      </c>
      <c r="EH419">
        <v>255</v>
      </c>
      <c r="EI419">
        <v>255</v>
      </c>
      <c r="EJ419">
        <v>255</v>
      </c>
      <c r="EK419">
        <v>255</v>
      </c>
      <c r="EL419">
        <v>255</v>
      </c>
      <c r="EM419">
        <v>255</v>
      </c>
      <c r="EN419">
        <v>255</v>
      </c>
      <c r="EO419">
        <v>255</v>
      </c>
      <c r="EP419">
        <v>255</v>
      </c>
      <c r="EQ419">
        <v>255</v>
      </c>
      <c r="ER419" t="s">
        <v>208</v>
      </c>
      <c r="ES419" t="s">
        <v>209</v>
      </c>
      <c r="ET419" t="s">
        <v>209</v>
      </c>
      <c r="EU419">
        <v>0</v>
      </c>
      <c r="EV419">
        <v>16.2</v>
      </c>
      <c r="EW419">
        <v>-114.7</v>
      </c>
      <c r="EX419">
        <v>-0.2</v>
      </c>
      <c r="EY419">
        <v>0</v>
      </c>
      <c r="EZ419">
        <v>0</v>
      </c>
      <c r="FA419">
        <v>0</v>
      </c>
      <c r="FB419" t="s">
        <v>198</v>
      </c>
      <c r="FC419" t="s">
        <v>198</v>
      </c>
      <c r="FD419" t="s">
        <v>198</v>
      </c>
      <c r="FE419" t="s">
        <v>198</v>
      </c>
      <c r="FF419" t="s">
        <v>198</v>
      </c>
      <c r="FG419" t="s">
        <v>198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 t="s">
        <v>203</v>
      </c>
      <c r="FP419" t="s">
        <v>203</v>
      </c>
      <c r="FQ419" t="s">
        <v>203</v>
      </c>
      <c r="FR419" t="s">
        <v>203</v>
      </c>
      <c r="FS419" t="s">
        <v>203</v>
      </c>
      <c r="FT419" t="s">
        <v>203</v>
      </c>
      <c r="FU419" t="s">
        <v>198</v>
      </c>
      <c r="FV419" t="s">
        <v>198</v>
      </c>
      <c r="FW419" t="s">
        <v>198</v>
      </c>
      <c r="FX419" t="s">
        <v>198</v>
      </c>
      <c r="FY419" t="s">
        <v>198</v>
      </c>
      <c r="FZ419" t="s">
        <v>198</v>
      </c>
      <c r="GA419">
        <v>31.2</v>
      </c>
      <c r="GB419">
        <v>31.2</v>
      </c>
      <c r="GC419" t="s">
        <v>203</v>
      </c>
      <c r="GD419">
        <v>0</v>
      </c>
      <c r="GE419">
        <v>504</v>
      </c>
      <c r="GF419">
        <v>0</v>
      </c>
      <c r="GG419">
        <v>0</v>
      </c>
      <c r="GH419">
        <v>0</v>
      </c>
      <c r="GI419">
        <v>1</v>
      </c>
      <c r="GJ419">
        <v>1</v>
      </c>
      <c r="GK419">
        <v>0</v>
      </c>
      <c r="GL419" t="s">
        <v>198</v>
      </c>
      <c r="GM419" t="s">
        <v>198</v>
      </c>
      <c r="GN419" t="s">
        <v>198</v>
      </c>
    </row>
    <row r="420" spans="1:196">
      <c r="A420" s="19">
        <v>46316.90874239583</v>
      </c>
      <c r="B420">
        <v>0</v>
      </c>
      <c r="C420">
        <v>0</v>
      </c>
      <c r="D420">
        <v>277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584.2</v>
      </c>
      <c r="N420">
        <v>-0.5</v>
      </c>
      <c r="O420">
        <v>0</v>
      </c>
      <c r="P420">
        <v>0</v>
      </c>
      <c r="Q420">
        <v>0</v>
      </c>
      <c r="R420">
        <v>0</v>
      </c>
      <c r="S420">
        <v>115.6</v>
      </c>
      <c r="T420" t="s">
        <v>485</v>
      </c>
      <c r="U420">
        <v>115.7</v>
      </c>
      <c r="V420">
        <v>1762727256586.8</v>
      </c>
      <c r="W420">
        <v>1</v>
      </c>
      <c r="X420" t="s">
        <v>197</v>
      </c>
      <c r="Y420">
        <v>0</v>
      </c>
      <c r="Z420">
        <v>98</v>
      </c>
      <c r="AA420">
        <v>278</v>
      </c>
      <c r="AB420" t="s">
        <v>197</v>
      </c>
      <c r="AC420" t="s">
        <v>198</v>
      </c>
      <c r="AD420" t="s">
        <v>199</v>
      </c>
      <c r="AE420">
        <v>0</v>
      </c>
      <c r="AF420">
        <v>45</v>
      </c>
      <c r="AG420">
        <v>255</v>
      </c>
      <c r="AH420">
        <v>0</v>
      </c>
      <c r="AI420">
        <v>0</v>
      </c>
      <c r="AJ420">
        <v>0</v>
      </c>
      <c r="AK420">
        <v>12.6</v>
      </c>
      <c r="AL420">
        <v>0</v>
      </c>
      <c r="AM420">
        <v>0</v>
      </c>
      <c r="AN420" t="s">
        <v>197</v>
      </c>
      <c r="AO420">
        <v>100</v>
      </c>
      <c r="AP420" t="s">
        <v>197</v>
      </c>
      <c r="AQ420" t="s">
        <v>200</v>
      </c>
      <c r="AR420">
        <v>1</v>
      </c>
      <c r="AS420">
        <v>0</v>
      </c>
      <c r="AT420" t="s">
        <v>766</v>
      </c>
      <c r="AU420" t="s">
        <v>766</v>
      </c>
      <c r="AV420" t="s">
        <v>202</v>
      </c>
      <c r="AW420" t="s">
        <v>203</v>
      </c>
      <c r="AX420" t="s">
        <v>203</v>
      </c>
      <c r="AY420" t="s">
        <v>203</v>
      </c>
      <c r="AZ420" t="s">
        <v>203</v>
      </c>
      <c r="BA420" t="s">
        <v>203</v>
      </c>
      <c r="BB420" t="s">
        <v>203</v>
      </c>
      <c r="BC420" t="s">
        <v>203</v>
      </c>
      <c r="BD420" t="s">
        <v>203</v>
      </c>
      <c r="BE420" t="s">
        <v>203</v>
      </c>
      <c r="BF420">
        <v>0</v>
      </c>
      <c r="BG420">
        <v>0.2</v>
      </c>
      <c r="BH420">
        <v>50</v>
      </c>
      <c r="BI420">
        <v>0</v>
      </c>
      <c r="BJ420" t="s">
        <v>198</v>
      </c>
      <c r="BK420" t="s">
        <v>198</v>
      </c>
      <c r="BL420" t="s">
        <v>198</v>
      </c>
      <c r="BM420" t="s">
        <v>198</v>
      </c>
      <c r="BN420" t="s">
        <v>198</v>
      </c>
      <c r="BO420" t="s">
        <v>198</v>
      </c>
      <c r="BP420" t="s">
        <v>198</v>
      </c>
      <c r="BQ420" t="s">
        <v>198</v>
      </c>
      <c r="BR420" t="s">
        <v>198</v>
      </c>
      <c r="BS420" t="s">
        <v>198</v>
      </c>
      <c r="BT420" t="s">
        <v>198</v>
      </c>
      <c r="BU420" t="s">
        <v>198</v>
      </c>
      <c r="BV420" t="s">
        <v>198</v>
      </c>
      <c r="BW420" t="s">
        <v>198</v>
      </c>
      <c r="BX420" t="s">
        <v>198</v>
      </c>
      <c r="BY420" t="s">
        <v>198</v>
      </c>
      <c r="BZ420" t="s">
        <v>198</v>
      </c>
      <c r="CA420" t="s">
        <v>198</v>
      </c>
      <c r="CB420" t="s">
        <v>204</v>
      </c>
      <c r="CC420" t="s">
        <v>204</v>
      </c>
      <c r="CD420" t="s">
        <v>204</v>
      </c>
      <c r="CE420" t="s">
        <v>204</v>
      </c>
      <c r="CF420" t="s">
        <v>204</v>
      </c>
      <c r="CG420" t="s">
        <v>204</v>
      </c>
      <c r="CH420" t="s">
        <v>204</v>
      </c>
      <c r="CI420" t="s">
        <v>204</v>
      </c>
      <c r="CJ420" t="s">
        <v>204</v>
      </c>
      <c r="CK420" t="s">
        <v>204</v>
      </c>
      <c r="CL420" t="s">
        <v>204</v>
      </c>
      <c r="CM420" t="s">
        <v>204</v>
      </c>
      <c r="CN420" t="s">
        <v>203</v>
      </c>
      <c r="CO420" t="s">
        <v>203</v>
      </c>
      <c r="CP420" t="s">
        <v>203</v>
      </c>
      <c r="CQ420" t="s">
        <v>203</v>
      </c>
      <c r="CR420" t="s">
        <v>203</v>
      </c>
      <c r="CS420" t="s">
        <v>203</v>
      </c>
      <c r="CT420" t="s">
        <v>203</v>
      </c>
      <c r="CU420" t="s">
        <v>203</v>
      </c>
      <c r="CV420">
        <v>0</v>
      </c>
      <c r="CW420">
        <v>0</v>
      </c>
      <c r="CX420" t="s">
        <v>198</v>
      </c>
      <c r="CY420" t="s">
        <v>198</v>
      </c>
      <c r="CZ420" t="s">
        <v>198</v>
      </c>
      <c r="DA420" t="s">
        <v>198</v>
      </c>
      <c r="DB420" t="s">
        <v>198</v>
      </c>
      <c r="DC420">
        <v>0</v>
      </c>
      <c r="DD420">
        <v>0</v>
      </c>
      <c r="DE420">
        <v>0</v>
      </c>
      <c r="DF420">
        <v>0</v>
      </c>
      <c r="DG420">
        <v>-35.3631166</v>
      </c>
      <c r="DH420">
        <v>149.1639735</v>
      </c>
      <c r="DI420" t="s">
        <v>360</v>
      </c>
      <c r="DJ420">
        <v>1.2</v>
      </c>
      <c r="DK420">
        <v>2</v>
      </c>
      <c r="DL420">
        <v>159.8</v>
      </c>
      <c r="DM420">
        <v>0</v>
      </c>
      <c r="DN420">
        <v>6</v>
      </c>
      <c r="DO420">
        <v>10</v>
      </c>
      <c r="DP420">
        <v>0</v>
      </c>
      <c r="DQ420">
        <v>255</v>
      </c>
      <c r="DR420">
        <v>255</v>
      </c>
      <c r="DS420">
        <v>255</v>
      </c>
      <c r="DT420">
        <v>255</v>
      </c>
      <c r="DU420">
        <v>255</v>
      </c>
      <c r="DV420">
        <v>255</v>
      </c>
      <c r="DW420">
        <v>255</v>
      </c>
      <c r="DX420" t="s">
        <v>206</v>
      </c>
      <c r="DY420" t="s">
        <v>206</v>
      </c>
      <c r="DZ420" t="s">
        <v>207</v>
      </c>
      <c r="EA420" t="s">
        <v>198</v>
      </c>
      <c r="EB420" t="s">
        <v>198</v>
      </c>
      <c r="EC420" t="s">
        <v>198</v>
      </c>
      <c r="ED420">
        <v>0</v>
      </c>
      <c r="EE420">
        <v>0</v>
      </c>
      <c r="EF420">
        <v>0</v>
      </c>
      <c r="EG420">
        <v>0</v>
      </c>
      <c r="EH420">
        <v>255</v>
      </c>
      <c r="EI420">
        <v>255</v>
      </c>
      <c r="EJ420">
        <v>255</v>
      </c>
      <c r="EK420">
        <v>255</v>
      </c>
      <c r="EL420">
        <v>255</v>
      </c>
      <c r="EM420">
        <v>255</v>
      </c>
      <c r="EN420">
        <v>255</v>
      </c>
      <c r="EO420">
        <v>255</v>
      </c>
      <c r="EP420">
        <v>255</v>
      </c>
      <c r="EQ420">
        <v>255</v>
      </c>
      <c r="ER420" t="s">
        <v>208</v>
      </c>
      <c r="ES420" t="s">
        <v>209</v>
      </c>
      <c r="ET420" t="s">
        <v>209</v>
      </c>
      <c r="EU420">
        <v>0</v>
      </c>
      <c r="EV420">
        <v>16.2</v>
      </c>
      <c r="EW420">
        <v>-114.7</v>
      </c>
      <c r="EX420">
        <v>-0.2</v>
      </c>
      <c r="EY420">
        <v>0</v>
      </c>
      <c r="EZ420">
        <v>0</v>
      </c>
      <c r="FA420">
        <v>0</v>
      </c>
      <c r="FB420" t="s">
        <v>198</v>
      </c>
      <c r="FC420" t="s">
        <v>198</v>
      </c>
      <c r="FD420" t="s">
        <v>198</v>
      </c>
      <c r="FE420" t="s">
        <v>198</v>
      </c>
      <c r="FF420" t="s">
        <v>198</v>
      </c>
      <c r="FG420" t="s">
        <v>198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 t="s">
        <v>203</v>
      </c>
      <c r="FP420" t="s">
        <v>203</v>
      </c>
      <c r="FQ420" t="s">
        <v>203</v>
      </c>
      <c r="FR420" t="s">
        <v>203</v>
      </c>
      <c r="FS420" t="s">
        <v>203</v>
      </c>
      <c r="FT420" t="s">
        <v>203</v>
      </c>
      <c r="FU420" t="s">
        <v>198</v>
      </c>
      <c r="FV420" t="s">
        <v>198</v>
      </c>
      <c r="FW420" t="s">
        <v>198</v>
      </c>
      <c r="FX420" t="s">
        <v>198</v>
      </c>
      <c r="FY420" t="s">
        <v>198</v>
      </c>
      <c r="FZ420" t="s">
        <v>198</v>
      </c>
      <c r="GA420">
        <v>31.2</v>
      </c>
      <c r="GB420">
        <v>31.2</v>
      </c>
      <c r="GC420" t="s">
        <v>203</v>
      </c>
      <c r="GD420">
        <v>0</v>
      </c>
      <c r="GE420">
        <v>504</v>
      </c>
      <c r="GF420">
        <v>0</v>
      </c>
      <c r="GG420">
        <v>0</v>
      </c>
      <c r="GH420">
        <v>0</v>
      </c>
      <c r="GI420">
        <v>1</v>
      </c>
      <c r="GJ420">
        <v>1</v>
      </c>
      <c r="GK420">
        <v>0</v>
      </c>
      <c r="GL420" t="s">
        <v>198</v>
      </c>
      <c r="GM420" t="s">
        <v>198</v>
      </c>
      <c r="GN420" t="s">
        <v>198</v>
      </c>
    </row>
    <row r="421" spans="1:196">
      <c r="A421" s="19">
        <v>46316.90875396991</v>
      </c>
      <c r="B421">
        <v>0</v>
      </c>
      <c r="C421">
        <v>0</v>
      </c>
      <c r="D421">
        <v>277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584.2</v>
      </c>
      <c r="N421">
        <v>-0.5</v>
      </c>
      <c r="O421">
        <v>0</v>
      </c>
      <c r="P421">
        <v>0</v>
      </c>
      <c r="Q421">
        <v>0</v>
      </c>
      <c r="R421">
        <v>0</v>
      </c>
      <c r="S421">
        <v>115.6</v>
      </c>
      <c r="T421" t="s">
        <v>485</v>
      </c>
      <c r="U421">
        <v>115.7</v>
      </c>
      <c r="V421">
        <v>1762727256586.8</v>
      </c>
      <c r="W421">
        <v>1</v>
      </c>
      <c r="X421" t="s">
        <v>197</v>
      </c>
      <c r="Y421">
        <v>0</v>
      </c>
      <c r="Z421">
        <v>98</v>
      </c>
      <c r="AA421">
        <v>278</v>
      </c>
      <c r="AB421" t="s">
        <v>197</v>
      </c>
      <c r="AC421" t="s">
        <v>198</v>
      </c>
      <c r="AD421" t="s">
        <v>199</v>
      </c>
      <c r="AE421">
        <v>0</v>
      </c>
      <c r="AF421">
        <v>45</v>
      </c>
      <c r="AG421">
        <v>255</v>
      </c>
      <c r="AH421">
        <v>0</v>
      </c>
      <c r="AI421">
        <v>0</v>
      </c>
      <c r="AJ421">
        <v>0</v>
      </c>
      <c r="AK421">
        <v>12.6</v>
      </c>
      <c r="AL421">
        <v>0</v>
      </c>
      <c r="AM421">
        <v>0</v>
      </c>
      <c r="AN421" t="s">
        <v>197</v>
      </c>
      <c r="AO421">
        <v>100</v>
      </c>
      <c r="AP421" t="s">
        <v>197</v>
      </c>
      <c r="AQ421" t="s">
        <v>200</v>
      </c>
      <c r="AR421">
        <v>1</v>
      </c>
      <c r="AS421">
        <v>0</v>
      </c>
      <c r="AT421" t="s">
        <v>767</v>
      </c>
      <c r="AU421" t="s">
        <v>767</v>
      </c>
      <c r="AV421" t="s">
        <v>202</v>
      </c>
      <c r="AW421" t="s">
        <v>203</v>
      </c>
      <c r="AX421" t="s">
        <v>203</v>
      </c>
      <c r="AY421" t="s">
        <v>203</v>
      </c>
      <c r="AZ421" t="s">
        <v>203</v>
      </c>
      <c r="BA421" t="s">
        <v>203</v>
      </c>
      <c r="BB421" t="s">
        <v>203</v>
      </c>
      <c r="BC421" t="s">
        <v>203</v>
      </c>
      <c r="BD421" t="s">
        <v>203</v>
      </c>
      <c r="BE421" t="s">
        <v>203</v>
      </c>
      <c r="BF421">
        <v>0</v>
      </c>
      <c r="BG421">
        <v>0.2</v>
      </c>
      <c r="BH421">
        <v>50</v>
      </c>
      <c r="BI421">
        <v>0</v>
      </c>
      <c r="BJ421" t="s">
        <v>198</v>
      </c>
      <c r="BK421" t="s">
        <v>198</v>
      </c>
      <c r="BL421" t="s">
        <v>198</v>
      </c>
      <c r="BM421" t="s">
        <v>198</v>
      </c>
      <c r="BN421" t="s">
        <v>198</v>
      </c>
      <c r="BO421" t="s">
        <v>198</v>
      </c>
      <c r="BP421" t="s">
        <v>198</v>
      </c>
      <c r="BQ421" t="s">
        <v>198</v>
      </c>
      <c r="BR421" t="s">
        <v>198</v>
      </c>
      <c r="BS421" t="s">
        <v>198</v>
      </c>
      <c r="BT421" t="s">
        <v>198</v>
      </c>
      <c r="BU421" t="s">
        <v>198</v>
      </c>
      <c r="BV421" t="s">
        <v>198</v>
      </c>
      <c r="BW421" t="s">
        <v>198</v>
      </c>
      <c r="BX421" t="s">
        <v>198</v>
      </c>
      <c r="BY421" t="s">
        <v>198</v>
      </c>
      <c r="BZ421" t="s">
        <v>198</v>
      </c>
      <c r="CA421" t="s">
        <v>198</v>
      </c>
      <c r="CB421" t="s">
        <v>204</v>
      </c>
      <c r="CC421" t="s">
        <v>204</v>
      </c>
      <c r="CD421" t="s">
        <v>204</v>
      </c>
      <c r="CE421" t="s">
        <v>204</v>
      </c>
      <c r="CF421" t="s">
        <v>204</v>
      </c>
      <c r="CG421" t="s">
        <v>204</v>
      </c>
      <c r="CH421" t="s">
        <v>204</v>
      </c>
      <c r="CI421" t="s">
        <v>204</v>
      </c>
      <c r="CJ421" t="s">
        <v>204</v>
      </c>
      <c r="CK421" t="s">
        <v>204</v>
      </c>
      <c r="CL421" t="s">
        <v>204</v>
      </c>
      <c r="CM421" t="s">
        <v>204</v>
      </c>
      <c r="CN421" t="s">
        <v>203</v>
      </c>
      <c r="CO421" t="s">
        <v>203</v>
      </c>
      <c r="CP421" t="s">
        <v>203</v>
      </c>
      <c r="CQ421" t="s">
        <v>203</v>
      </c>
      <c r="CR421" t="s">
        <v>203</v>
      </c>
      <c r="CS421" t="s">
        <v>203</v>
      </c>
      <c r="CT421" t="s">
        <v>203</v>
      </c>
      <c r="CU421" t="s">
        <v>203</v>
      </c>
      <c r="CV421">
        <v>0</v>
      </c>
      <c r="CW421">
        <v>0</v>
      </c>
      <c r="CX421" t="s">
        <v>198</v>
      </c>
      <c r="CY421" t="s">
        <v>198</v>
      </c>
      <c r="CZ421" t="s">
        <v>198</v>
      </c>
      <c r="DA421" t="s">
        <v>198</v>
      </c>
      <c r="DB421" t="s">
        <v>198</v>
      </c>
      <c r="DC421">
        <v>0</v>
      </c>
      <c r="DD421">
        <v>0</v>
      </c>
      <c r="DE421">
        <v>0</v>
      </c>
      <c r="DF421">
        <v>0</v>
      </c>
      <c r="DG421">
        <v>-35.3631166</v>
      </c>
      <c r="DH421">
        <v>149.1639735</v>
      </c>
      <c r="DI421" t="s">
        <v>360</v>
      </c>
      <c r="DJ421">
        <v>1.2</v>
      </c>
      <c r="DK421">
        <v>2</v>
      </c>
      <c r="DL421">
        <v>159.8</v>
      </c>
      <c r="DM421">
        <v>0</v>
      </c>
      <c r="DN421">
        <v>6</v>
      </c>
      <c r="DO421">
        <v>10</v>
      </c>
      <c r="DP421">
        <v>0</v>
      </c>
      <c r="DQ421">
        <v>255</v>
      </c>
      <c r="DR421">
        <v>255</v>
      </c>
      <c r="DS421">
        <v>255</v>
      </c>
      <c r="DT421">
        <v>255</v>
      </c>
      <c r="DU421">
        <v>255</v>
      </c>
      <c r="DV421">
        <v>255</v>
      </c>
      <c r="DW421">
        <v>255</v>
      </c>
      <c r="DX421" t="s">
        <v>206</v>
      </c>
      <c r="DY421" t="s">
        <v>206</v>
      </c>
      <c r="DZ421" t="s">
        <v>207</v>
      </c>
      <c r="EA421" t="s">
        <v>198</v>
      </c>
      <c r="EB421" t="s">
        <v>198</v>
      </c>
      <c r="EC421" t="s">
        <v>198</v>
      </c>
      <c r="ED421">
        <v>0</v>
      </c>
      <c r="EE421">
        <v>0</v>
      </c>
      <c r="EF421">
        <v>0</v>
      </c>
      <c r="EG421">
        <v>0</v>
      </c>
      <c r="EH421">
        <v>255</v>
      </c>
      <c r="EI421">
        <v>255</v>
      </c>
      <c r="EJ421">
        <v>255</v>
      </c>
      <c r="EK421">
        <v>255</v>
      </c>
      <c r="EL421">
        <v>255</v>
      </c>
      <c r="EM421">
        <v>255</v>
      </c>
      <c r="EN421">
        <v>255</v>
      </c>
      <c r="EO421">
        <v>255</v>
      </c>
      <c r="EP421">
        <v>255</v>
      </c>
      <c r="EQ421">
        <v>255</v>
      </c>
      <c r="ER421" t="s">
        <v>208</v>
      </c>
      <c r="ES421" t="s">
        <v>209</v>
      </c>
      <c r="ET421" t="s">
        <v>209</v>
      </c>
      <c r="EU421">
        <v>0</v>
      </c>
      <c r="EV421">
        <v>16.2</v>
      </c>
      <c r="EW421">
        <v>-114.7</v>
      </c>
      <c r="EX421">
        <v>-0.2</v>
      </c>
      <c r="EY421">
        <v>0</v>
      </c>
      <c r="EZ421">
        <v>0</v>
      </c>
      <c r="FA421">
        <v>0</v>
      </c>
      <c r="FB421" t="s">
        <v>198</v>
      </c>
      <c r="FC421" t="s">
        <v>198</v>
      </c>
      <c r="FD421" t="s">
        <v>198</v>
      </c>
      <c r="FE421" t="s">
        <v>198</v>
      </c>
      <c r="FF421" t="s">
        <v>198</v>
      </c>
      <c r="FG421" t="s">
        <v>198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 t="s">
        <v>203</v>
      </c>
      <c r="FP421" t="s">
        <v>203</v>
      </c>
      <c r="FQ421" t="s">
        <v>203</v>
      </c>
      <c r="FR421" t="s">
        <v>203</v>
      </c>
      <c r="FS421" t="s">
        <v>203</v>
      </c>
      <c r="FT421" t="s">
        <v>203</v>
      </c>
      <c r="FU421" t="s">
        <v>198</v>
      </c>
      <c r="FV421" t="s">
        <v>198</v>
      </c>
      <c r="FW421" t="s">
        <v>198</v>
      </c>
      <c r="FX421" t="s">
        <v>198</v>
      </c>
      <c r="FY421" t="s">
        <v>198</v>
      </c>
      <c r="FZ421" t="s">
        <v>198</v>
      </c>
      <c r="GA421">
        <v>31.2</v>
      </c>
      <c r="GB421">
        <v>31.2</v>
      </c>
      <c r="GC421" t="s">
        <v>203</v>
      </c>
      <c r="GD421">
        <v>0</v>
      </c>
      <c r="GE421">
        <v>504</v>
      </c>
      <c r="GF421">
        <v>0</v>
      </c>
      <c r="GG421">
        <v>0</v>
      </c>
      <c r="GH421">
        <v>0</v>
      </c>
      <c r="GI421">
        <v>1</v>
      </c>
      <c r="GJ421">
        <v>1</v>
      </c>
      <c r="GK421">
        <v>0</v>
      </c>
      <c r="GL421" t="s">
        <v>198</v>
      </c>
      <c r="GM421" t="s">
        <v>198</v>
      </c>
      <c r="GN421" t="s">
        <v>198</v>
      </c>
    </row>
    <row r="422" spans="1:196">
      <c r="A422" s="19">
        <v>46316.90876554398</v>
      </c>
      <c r="B422">
        <v>0</v>
      </c>
      <c r="C422">
        <v>0</v>
      </c>
      <c r="D422">
        <v>277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584.2</v>
      </c>
      <c r="N422">
        <v>-0.5</v>
      </c>
      <c r="O422">
        <v>0</v>
      </c>
      <c r="P422">
        <v>0</v>
      </c>
      <c r="Q422">
        <v>0</v>
      </c>
      <c r="R422">
        <v>0</v>
      </c>
      <c r="S422">
        <v>115.6</v>
      </c>
      <c r="T422" t="s">
        <v>485</v>
      </c>
      <c r="U422">
        <v>115.7</v>
      </c>
      <c r="V422">
        <v>1762727256586.8</v>
      </c>
      <c r="W422">
        <v>1</v>
      </c>
      <c r="X422" t="s">
        <v>197</v>
      </c>
      <c r="Y422">
        <v>0</v>
      </c>
      <c r="Z422">
        <v>98</v>
      </c>
      <c r="AA422">
        <v>278</v>
      </c>
      <c r="AB422" t="s">
        <v>197</v>
      </c>
      <c r="AC422" t="s">
        <v>198</v>
      </c>
      <c r="AD422" t="s">
        <v>199</v>
      </c>
      <c r="AE422">
        <v>0</v>
      </c>
      <c r="AF422">
        <v>45</v>
      </c>
      <c r="AG422">
        <v>255</v>
      </c>
      <c r="AH422">
        <v>0</v>
      </c>
      <c r="AI422">
        <v>0</v>
      </c>
      <c r="AJ422">
        <v>0</v>
      </c>
      <c r="AK422">
        <v>12.6</v>
      </c>
      <c r="AL422">
        <v>0</v>
      </c>
      <c r="AM422">
        <v>0</v>
      </c>
      <c r="AN422" t="s">
        <v>197</v>
      </c>
      <c r="AO422">
        <v>100</v>
      </c>
      <c r="AP422" t="s">
        <v>197</v>
      </c>
      <c r="AQ422" t="s">
        <v>200</v>
      </c>
      <c r="AR422">
        <v>1</v>
      </c>
      <c r="AS422">
        <v>0</v>
      </c>
      <c r="AT422" t="s">
        <v>768</v>
      </c>
      <c r="AU422" t="s">
        <v>768</v>
      </c>
      <c r="AV422" t="s">
        <v>202</v>
      </c>
      <c r="AW422" t="s">
        <v>203</v>
      </c>
      <c r="AX422" t="s">
        <v>203</v>
      </c>
      <c r="AY422" t="s">
        <v>203</v>
      </c>
      <c r="AZ422" t="s">
        <v>203</v>
      </c>
      <c r="BA422" t="s">
        <v>203</v>
      </c>
      <c r="BB422" t="s">
        <v>203</v>
      </c>
      <c r="BC422" t="s">
        <v>203</v>
      </c>
      <c r="BD422" t="s">
        <v>203</v>
      </c>
      <c r="BE422" t="s">
        <v>203</v>
      </c>
      <c r="BF422">
        <v>0</v>
      </c>
      <c r="BG422">
        <v>0.2</v>
      </c>
      <c r="BH422">
        <v>50</v>
      </c>
      <c r="BI422">
        <v>0</v>
      </c>
      <c r="BJ422" t="s">
        <v>198</v>
      </c>
      <c r="BK422" t="s">
        <v>198</v>
      </c>
      <c r="BL422" t="s">
        <v>198</v>
      </c>
      <c r="BM422" t="s">
        <v>198</v>
      </c>
      <c r="BN422" t="s">
        <v>198</v>
      </c>
      <c r="BO422" t="s">
        <v>198</v>
      </c>
      <c r="BP422" t="s">
        <v>198</v>
      </c>
      <c r="BQ422" t="s">
        <v>198</v>
      </c>
      <c r="BR422" t="s">
        <v>198</v>
      </c>
      <c r="BS422" t="s">
        <v>198</v>
      </c>
      <c r="BT422" t="s">
        <v>198</v>
      </c>
      <c r="BU422" t="s">
        <v>198</v>
      </c>
      <c r="BV422" t="s">
        <v>198</v>
      </c>
      <c r="BW422" t="s">
        <v>198</v>
      </c>
      <c r="BX422" t="s">
        <v>198</v>
      </c>
      <c r="BY422" t="s">
        <v>198</v>
      </c>
      <c r="BZ422" t="s">
        <v>198</v>
      </c>
      <c r="CA422" t="s">
        <v>198</v>
      </c>
      <c r="CB422" t="s">
        <v>204</v>
      </c>
      <c r="CC422" t="s">
        <v>204</v>
      </c>
      <c r="CD422" t="s">
        <v>204</v>
      </c>
      <c r="CE422" t="s">
        <v>204</v>
      </c>
      <c r="CF422" t="s">
        <v>204</v>
      </c>
      <c r="CG422" t="s">
        <v>204</v>
      </c>
      <c r="CH422" t="s">
        <v>204</v>
      </c>
      <c r="CI422" t="s">
        <v>204</v>
      </c>
      <c r="CJ422" t="s">
        <v>204</v>
      </c>
      <c r="CK422" t="s">
        <v>204</v>
      </c>
      <c r="CL422" t="s">
        <v>204</v>
      </c>
      <c r="CM422" t="s">
        <v>204</v>
      </c>
      <c r="CN422" t="s">
        <v>203</v>
      </c>
      <c r="CO422" t="s">
        <v>203</v>
      </c>
      <c r="CP422" t="s">
        <v>203</v>
      </c>
      <c r="CQ422" t="s">
        <v>203</v>
      </c>
      <c r="CR422" t="s">
        <v>203</v>
      </c>
      <c r="CS422" t="s">
        <v>203</v>
      </c>
      <c r="CT422" t="s">
        <v>203</v>
      </c>
      <c r="CU422" t="s">
        <v>203</v>
      </c>
      <c r="CV422">
        <v>0</v>
      </c>
      <c r="CW422">
        <v>0</v>
      </c>
      <c r="CX422" t="s">
        <v>198</v>
      </c>
      <c r="CY422" t="s">
        <v>198</v>
      </c>
      <c r="CZ422" t="s">
        <v>198</v>
      </c>
      <c r="DA422" t="s">
        <v>198</v>
      </c>
      <c r="DB422" t="s">
        <v>198</v>
      </c>
      <c r="DC422">
        <v>0</v>
      </c>
      <c r="DD422">
        <v>0</v>
      </c>
      <c r="DE422">
        <v>0</v>
      </c>
      <c r="DF422">
        <v>0</v>
      </c>
      <c r="DG422">
        <v>-35.3631166</v>
      </c>
      <c r="DH422">
        <v>149.1639735</v>
      </c>
      <c r="DI422" t="s">
        <v>360</v>
      </c>
      <c r="DJ422">
        <v>1.2</v>
      </c>
      <c r="DK422">
        <v>2</v>
      </c>
      <c r="DL422">
        <v>159.8</v>
      </c>
      <c r="DM422">
        <v>0</v>
      </c>
      <c r="DN422">
        <v>6</v>
      </c>
      <c r="DO422">
        <v>10</v>
      </c>
      <c r="DP422">
        <v>0</v>
      </c>
      <c r="DQ422">
        <v>255</v>
      </c>
      <c r="DR422">
        <v>255</v>
      </c>
      <c r="DS422">
        <v>255</v>
      </c>
      <c r="DT422">
        <v>255</v>
      </c>
      <c r="DU422">
        <v>255</v>
      </c>
      <c r="DV422">
        <v>255</v>
      </c>
      <c r="DW422">
        <v>255</v>
      </c>
      <c r="DX422" t="s">
        <v>206</v>
      </c>
      <c r="DY422" t="s">
        <v>206</v>
      </c>
      <c r="DZ422" t="s">
        <v>207</v>
      </c>
      <c r="EA422" t="s">
        <v>198</v>
      </c>
      <c r="EB422" t="s">
        <v>198</v>
      </c>
      <c r="EC422" t="s">
        <v>198</v>
      </c>
      <c r="ED422">
        <v>0</v>
      </c>
      <c r="EE422">
        <v>0</v>
      </c>
      <c r="EF422">
        <v>0</v>
      </c>
      <c r="EG422">
        <v>0</v>
      </c>
      <c r="EH422">
        <v>255</v>
      </c>
      <c r="EI422">
        <v>255</v>
      </c>
      <c r="EJ422">
        <v>255</v>
      </c>
      <c r="EK422">
        <v>255</v>
      </c>
      <c r="EL422">
        <v>255</v>
      </c>
      <c r="EM422">
        <v>255</v>
      </c>
      <c r="EN422">
        <v>255</v>
      </c>
      <c r="EO422">
        <v>255</v>
      </c>
      <c r="EP422">
        <v>255</v>
      </c>
      <c r="EQ422">
        <v>255</v>
      </c>
      <c r="ER422" t="s">
        <v>208</v>
      </c>
      <c r="ES422" t="s">
        <v>209</v>
      </c>
      <c r="ET422" t="s">
        <v>209</v>
      </c>
      <c r="EU422">
        <v>0</v>
      </c>
      <c r="EV422">
        <v>16.2</v>
      </c>
      <c r="EW422">
        <v>-114.7</v>
      </c>
      <c r="EX422">
        <v>-0.2</v>
      </c>
      <c r="EY422">
        <v>0</v>
      </c>
      <c r="EZ422">
        <v>0</v>
      </c>
      <c r="FA422">
        <v>0</v>
      </c>
      <c r="FB422" t="s">
        <v>198</v>
      </c>
      <c r="FC422" t="s">
        <v>198</v>
      </c>
      <c r="FD422" t="s">
        <v>198</v>
      </c>
      <c r="FE422" t="s">
        <v>198</v>
      </c>
      <c r="FF422" t="s">
        <v>198</v>
      </c>
      <c r="FG422" t="s">
        <v>198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203</v>
      </c>
      <c r="FP422" t="s">
        <v>203</v>
      </c>
      <c r="FQ422" t="s">
        <v>203</v>
      </c>
      <c r="FR422" t="s">
        <v>203</v>
      </c>
      <c r="FS422" t="s">
        <v>203</v>
      </c>
      <c r="FT422" t="s">
        <v>203</v>
      </c>
      <c r="FU422" t="s">
        <v>198</v>
      </c>
      <c r="FV422" t="s">
        <v>198</v>
      </c>
      <c r="FW422" t="s">
        <v>198</v>
      </c>
      <c r="FX422" t="s">
        <v>198</v>
      </c>
      <c r="FY422" t="s">
        <v>198</v>
      </c>
      <c r="FZ422" t="s">
        <v>198</v>
      </c>
      <c r="GA422">
        <v>31.2</v>
      </c>
      <c r="GB422">
        <v>31.2</v>
      </c>
      <c r="GC422" t="s">
        <v>203</v>
      </c>
      <c r="GD422">
        <v>0</v>
      </c>
      <c r="GE422">
        <v>504</v>
      </c>
      <c r="GF422">
        <v>0</v>
      </c>
      <c r="GG422">
        <v>0</v>
      </c>
      <c r="GH422">
        <v>0</v>
      </c>
      <c r="GI422">
        <v>1</v>
      </c>
      <c r="GJ422">
        <v>1</v>
      </c>
      <c r="GK422">
        <v>0</v>
      </c>
      <c r="GL422" t="s">
        <v>198</v>
      </c>
      <c r="GM422" t="s">
        <v>198</v>
      </c>
      <c r="GN422" t="s">
        <v>198</v>
      </c>
    </row>
    <row r="423" spans="1:196">
      <c r="A423" s="19">
        <v>46316.90877711806</v>
      </c>
      <c r="B423">
        <v>0</v>
      </c>
      <c r="C423">
        <v>0</v>
      </c>
      <c r="D423">
        <v>277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584.2</v>
      </c>
      <c r="N423">
        <v>-0.5</v>
      </c>
      <c r="O423">
        <v>0</v>
      </c>
      <c r="P423">
        <v>0</v>
      </c>
      <c r="Q423">
        <v>0</v>
      </c>
      <c r="R423">
        <v>0</v>
      </c>
      <c r="S423">
        <v>115.6</v>
      </c>
      <c r="T423" t="s">
        <v>485</v>
      </c>
      <c r="U423">
        <v>115.7</v>
      </c>
      <c r="V423">
        <v>1762727256586.8</v>
      </c>
      <c r="W423">
        <v>1</v>
      </c>
      <c r="X423" t="s">
        <v>197</v>
      </c>
      <c r="Y423">
        <v>0</v>
      </c>
      <c r="Z423">
        <v>98</v>
      </c>
      <c r="AA423">
        <v>278</v>
      </c>
      <c r="AB423" t="s">
        <v>197</v>
      </c>
      <c r="AC423" t="s">
        <v>198</v>
      </c>
      <c r="AD423" t="s">
        <v>199</v>
      </c>
      <c r="AE423">
        <v>0</v>
      </c>
      <c r="AF423">
        <v>45</v>
      </c>
      <c r="AG423">
        <v>255</v>
      </c>
      <c r="AH423">
        <v>0</v>
      </c>
      <c r="AI423">
        <v>0</v>
      </c>
      <c r="AJ423">
        <v>0</v>
      </c>
      <c r="AK423">
        <v>12.6</v>
      </c>
      <c r="AL423">
        <v>0</v>
      </c>
      <c r="AM423">
        <v>0</v>
      </c>
      <c r="AN423" t="s">
        <v>197</v>
      </c>
      <c r="AO423">
        <v>100</v>
      </c>
      <c r="AP423" t="s">
        <v>197</v>
      </c>
      <c r="AQ423" t="s">
        <v>200</v>
      </c>
      <c r="AR423">
        <v>1</v>
      </c>
      <c r="AS423">
        <v>0</v>
      </c>
      <c r="AT423" t="s">
        <v>769</v>
      </c>
      <c r="AU423" t="s">
        <v>769</v>
      </c>
      <c r="AV423" t="s">
        <v>202</v>
      </c>
      <c r="AW423" t="s">
        <v>203</v>
      </c>
      <c r="AX423" t="s">
        <v>203</v>
      </c>
      <c r="AY423" t="s">
        <v>203</v>
      </c>
      <c r="AZ423" t="s">
        <v>203</v>
      </c>
      <c r="BA423" t="s">
        <v>203</v>
      </c>
      <c r="BB423" t="s">
        <v>203</v>
      </c>
      <c r="BC423" t="s">
        <v>203</v>
      </c>
      <c r="BD423" t="s">
        <v>203</v>
      </c>
      <c r="BE423" t="s">
        <v>203</v>
      </c>
      <c r="BF423">
        <v>0</v>
      </c>
      <c r="BG423">
        <v>0.2</v>
      </c>
      <c r="BH423">
        <v>50</v>
      </c>
      <c r="BI423">
        <v>0</v>
      </c>
      <c r="BJ423" t="s">
        <v>198</v>
      </c>
      <c r="BK423" t="s">
        <v>198</v>
      </c>
      <c r="BL423" t="s">
        <v>198</v>
      </c>
      <c r="BM423" t="s">
        <v>198</v>
      </c>
      <c r="BN423" t="s">
        <v>198</v>
      </c>
      <c r="BO423" t="s">
        <v>198</v>
      </c>
      <c r="BP423" t="s">
        <v>198</v>
      </c>
      <c r="BQ423" t="s">
        <v>198</v>
      </c>
      <c r="BR423" t="s">
        <v>198</v>
      </c>
      <c r="BS423" t="s">
        <v>198</v>
      </c>
      <c r="BT423" t="s">
        <v>198</v>
      </c>
      <c r="BU423" t="s">
        <v>198</v>
      </c>
      <c r="BV423" t="s">
        <v>198</v>
      </c>
      <c r="BW423" t="s">
        <v>198</v>
      </c>
      <c r="BX423" t="s">
        <v>198</v>
      </c>
      <c r="BY423" t="s">
        <v>198</v>
      </c>
      <c r="BZ423" t="s">
        <v>198</v>
      </c>
      <c r="CA423" t="s">
        <v>198</v>
      </c>
      <c r="CB423" t="s">
        <v>204</v>
      </c>
      <c r="CC423" t="s">
        <v>204</v>
      </c>
      <c r="CD423" t="s">
        <v>204</v>
      </c>
      <c r="CE423" t="s">
        <v>204</v>
      </c>
      <c r="CF423" t="s">
        <v>204</v>
      </c>
      <c r="CG423" t="s">
        <v>204</v>
      </c>
      <c r="CH423" t="s">
        <v>204</v>
      </c>
      <c r="CI423" t="s">
        <v>204</v>
      </c>
      <c r="CJ423" t="s">
        <v>204</v>
      </c>
      <c r="CK423" t="s">
        <v>204</v>
      </c>
      <c r="CL423" t="s">
        <v>204</v>
      </c>
      <c r="CM423" t="s">
        <v>204</v>
      </c>
      <c r="CN423" t="s">
        <v>203</v>
      </c>
      <c r="CO423" t="s">
        <v>203</v>
      </c>
      <c r="CP423" t="s">
        <v>203</v>
      </c>
      <c r="CQ423" t="s">
        <v>203</v>
      </c>
      <c r="CR423" t="s">
        <v>203</v>
      </c>
      <c r="CS423" t="s">
        <v>203</v>
      </c>
      <c r="CT423" t="s">
        <v>203</v>
      </c>
      <c r="CU423" t="s">
        <v>203</v>
      </c>
      <c r="CV423">
        <v>0</v>
      </c>
      <c r="CW423">
        <v>0</v>
      </c>
      <c r="CX423" t="s">
        <v>198</v>
      </c>
      <c r="CY423" t="s">
        <v>198</v>
      </c>
      <c r="CZ423" t="s">
        <v>198</v>
      </c>
      <c r="DA423" t="s">
        <v>198</v>
      </c>
      <c r="DB423" t="s">
        <v>198</v>
      </c>
      <c r="DC423">
        <v>0</v>
      </c>
      <c r="DD423">
        <v>0</v>
      </c>
      <c r="DE423">
        <v>0</v>
      </c>
      <c r="DF423">
        <v>0</v>
      </c>
      <c r="DG423">
        <v>-35.3631166</v>
      </c>
      <c r="DH423">
        <v>149.1639735</v>
      </c>
      <c r="DI423" t="s">
        <v>360</v>
      </c>
      <c r="DJ423">
        <v>1.2</v>
      </c>
      <c r="DK423">
        <v>2</v>
      </c>
      <c r="DL423">
        <v>159.8</v>
      </c>
      <c r="DM423">
        <v>0</v>
      </c>
      <c r="DN423">
        <v>6</v>
      </c>
      <c r="DO423">
        <v>10</v>
      </c>
      <c r="DP423">
        <v>0</v>
      </c>
      <c r="DQ423">
        <v>255</v>
      </c>
      <c r="DR423">
        <v>255</v>
      </c>
      <c r="DS423">
        <v>255</v>
      </c>
      <c r="DT423">
        <v>255</v>
      </c>
      <c r="DU423">
        <v>255</v>
      </c>
      <c r="DV423">
        <v>255</v>
      </c>
      <c r="DW423">
        <v>255</v>
      </c>
      <c r="DX423" t="s">
        <v>206</v>
      </c>
      <c r="DY423" t="s">
        <v>206</v>
      </c>
      <c r="DZ423" t="s">
        <v>207</v>
      </c>
      <c r="EA423" t="s">
        <v>198</v>
      </c>
      <c r="EB423" t="s">
        <v>198</v>
      </c>
      <c r="EC423" t="s">
        <v>198</v>
      </c>
      <c r="ED423">
        <v>0</v>
      </c>
      <c r="EE423">
        <v>0</v>
      </c>
      <c r="EF423">
        <v>0</v>
      </c>
      <c r="EG423">
        <v>0</v>
      </c>
      <c r="EH423">
        <v>255</v>
      </c>
      <c r="EI423">
        <v>255</v>
      </c>
      <c r="EJ423">
        <v>255</v>
      </c>
      <c r="EK423">
        <v>255</v>
      </c>
      <c r="EL423">
        <v>255</v>
      </c>
      <c r="EM423">
        <v>255</v>
      </c>
      <c r="EN423">
        <v>255</v>
      </c>
      <c r="EO423">
        <v>255</v>
      </c>
      <c r="EP423">
        <v>255</v>
      </c>
      <c r="EQ423">
        <v>255</v>
      </c>
      <c r="ER423" t="s">
        <v>208</v>
      </c>
      <c r="ES423" t="s">
        <v>209</v>
      </c>
      <c r="ET423" t="s">
        <v>209</v>
      </c>
      <c r="EU423">
        <v>0</v>
      </c>
      <c r="EV423">
        <v>16.2</v>
      </c>
      <c r="EW423">
        <v>-114.7</v>
      </c>
      <c r="EX423">
        <v>-0.2</v>
      </c>
      <c r="EY423">
        <v>0</v>
      </c>
      <c r="EZ423">
        <v>0</v>
      </c>
      <c r="FA423">
        <v>0</v>
      </c>
      <c r="FB423" t="s">
        <v>198</v>
      </c>
      <c r="FC423" t="s">
        <v>198</v>
      </c>
      <c r="FD423" t="s">
        <v>198</v>
      </c>
      <c r="FE423" t="s">
        <v>198</v>
      </c>
      <c r="FF423" t="s">
        <v>198</v>
      </c>
      <c r="FG423" t="s">
        <v>198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 t="s">
        <v>203</v>
      </c>
      <c r="FP423" t="s">
        <v>203</v>
      </c>
      <c r="FQ423" t="s">
        <v>203</v>
      </c>
      <c r="FR423" t="s">
        <v>203</v>
      </c>
      <c r="FS423" t="s">
        <v>203</v>
      </c>
      <c r="FT423" t="s">
        <v>203</v>
      </c>
      <c r="FU423" t="s">
        <v>198</v>
      </c>
      <c r="FV423" t="s">
        <v>198</v>
      </c>
      <c r="FW423" t="s">
        <v>198</v>
      </c>
      <c r="FX423" t="s">
        <v>198</v>
      </c>
      <c r="FY423" t="s">
        <v>198</v>
      </c>
      <c r="FZ423" t="s">
        <v>198</v>
      </c>
      <c r="GA423">
        <v>31.2</v>
      </c>
      <c r="GB423">
        <v>31.2</v>
      </c>
      <c r="GC423" t="s">
        <v>203</v>
      </c>
      <c r="GD423">
        <v>0</v>
      </c>
      <c r="GE423">
        <v>504</v>
      </c>
      <c r="GF423">
        <v>0</v>
      </c>
      <c r="GG423">
        <v>0</v>
      </c>
      <c r="GH423">
        <v>0</v>
      </c>
      <c r="GI423">
        <v>1</v>
      </c>
      <c r="GJ423">
        <v>1</v>
      </c>
      <c r="GK423">
        <v>0</v>
      </c>
      <c r="GL423" t="s">
        <v>198</v>
      </c>
      <c r="GM423" t="s">
        <v>198</v>
      </c>
      <c r="GN423" t="s">
        <v>198</v>
      </c>
    </row>
    <row r="424" spans="1:196">
      <c r="A424" s="19">
        <v>46316.90878869213</v>
      </c>
      <c r="B424">
        <v>0</v>
      </c>
      <c r="C424">
        <v>0</v>
      </c>
      <c r="D424">
        <v>277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584.2</v>
      </c>
      <c r="N424">
        <v>-0.5</v>
      </c>
      <c r="O424">
        <v>0</v>
      </c>
      <c r="P424">
        <v>0</v>
      </c>
      <c r="Q424">
        <v>0</v>
      </c>
      <c r="R424">
        <v>0</v>
      </c>
      <c r="S424">
        <v>115.6</v>
      </c>
      <c r="T424" t="s">
        <v>485</v>
      </c>
      <c r="U424">
        <v>115.7</v>
      </c>
      <c r="V424">
        <v>1762727256586.8</v>
      </c>
      <c r="W424">
        <v>1</v>
      </c>
      <c r="X424" t="s">
        <v>197</v>
      </c>
      <c r="Y424">
        <v>0</v>
      </c>
      <c r="Z424">
        <v>98</v>
      </c>
      <c r="AA424">
        <v>278</v>
      </c>
      <c r="AB424" t="s">
        <v>197</v>
      </c>
      <c r="AC424" t="s">
        <v>198</v>
      </c>
      <c r="AD424" t="s">
        <v>199</v>
      </c>
      <c r="AE424">
        <v>0</v>
      </c>
      <c r="AF424">
        <v>45</v>
      </c>
      <c r="AG424">
        <v>255</v>
      </c>
      <c r="AH424">
        <v>0</v>
      </c>
      <c r="AI424">
        <v>0</v>
      </c>
      <c r="AJ424">
        <v>0</v>
      </c>
      <c r="AK424">
        <v>12.6</v>
      </c>
      <c r="AL424">
        <v>0</v>
      </c>
      <c r="AM424">
        <v>0</v>
      </c>
      <c r="AN424" t="s">
        <v>197</v>
      </c>
      <c r="AO424">
        <v>100</v>
      </c>
      <c r="AP424" t="s">
        <v>197</v>
      </c>
      <c r="AQ424" t="s">
        <v>200</v>
      </c>
      <c r="AR424">
        <v>1</v>
      </c>
      <c r="AS424">
        <v>0</v>
      </c>
      <c r="AT424" t="s">
        <v>770</v>
      </c>
      <c r="AU424" t="s">
        <v>770</v>
      </c>
      <c r="AV424" t="s">
        <v>202</v>
      </c>
      <c r="AW424" t="s">
        <v>203</v>
      </c>
      <c r="AX424" t="s">
        <v>203</v>
      </c>
      <c r="AY424" t="s">
        <v>203</v>
      </c>
      <c r="AZ424" t="s">
        <v>203</v>
      </c>
      <c r="BA424" t="s">
        <v>203</v>
      </c>
      <c r="BB424" t="s">
        <v>203</v>
      </c>
      <c r="BC424" t="s">
        <v>203</v>
      </c>
      <c r="BD424" t="s">
        <v>203</v>
      </c>
      <c r="BE424" t="s">
        <v>203</v>
      </c>
      <c r="BF424">
        <v>0</v>
      </c>
      <c r="BG424">
        <v>0.2</v>
      </c>
      <c r="BH424">
        <v>50</v>
      </c>
      <c r="BI424">
        <v>0</v>
      </c>
      <c r="BJ424" t="s">
        <v>198</v>
      </c>
      <c r="BK424" t="s">
        <v>198</v>
      </c>
      <c r="BL424" t="s">
        <v>198</v>
      </c>
      <c r="BM424" t="s">
        <v>198</v>
      </c>
      <c r="BN424" t="s">
        <v>198</v>
      </c>
      <c r="BO424" t="s">
        <v>198</v>
      </c>
      <c r="BP424" t="s">
        <v>198</v>
      </c>
      <c r="BQ424" t="s">
        <v>198</v>
      </c>
      <c r="BR424" t="s">
        <v>198</v>
      </c>
      <c r="BS424" t="s">
        <v>198</v>
      </c>
      <c r="BT424" t="s">
        <v>198</v>
      </c>
      <c r="BU424" t="s">
        <v>198</v>
      </c>
      <c r="BV424" t="s">
        <v>198</v>
      </c>
      <c r="BW424" t="s">
        <v>198</v>
      </c>
      <c r="BX424" t="s">
        <v>198</v>
      </c>
      <c r="BY424" t="s">
        <v>198</v>
      </c>
      <c r="BZ424" t="s">
        <v>198</v>
      </c>
      <c r="CA424" t="s">
        <v>198</v>
      </c>
      <c r="CB424" t="s">
        <v>204</v>
      </c>
      <c r="CC424" t="s">
        <v>204</v>
      </c>
      <c r="CD424" t="s">
        <v>204</v>
      </c>
      <c r="CE424" t="s">
        <v>204</v>
      </c>
      <c r="CF424" t="s">
        <v>204</v>
      </c>
      <c r="CG424" t="s">
        <v>204</v>
      </c>
      <c r="CH424" t="s">
        <v>204</v>
      </c>
      <c r="CI424" t="s">
        <v>204</v>
      </c>
      <c r="CJ424" t="s">
        <v>204</v>
      </c>
      <c r="CK424" t="s">
        <v>204</v>
      </c>
      <c r="CL424" t="s">
        <v>204</v>
      </c>
      <c r="CM424" t="s">
        <v>204</v>
      </c>
      <c r="CN424" t="s">
        <v>203</v>
      </c>
      <c r="CO424" t="s">
        <v>203</v>
      </c>
      <c r="CP424" t="s">
        <v>203</v>
      </c>
      <c r="CQ424" t="s">
        <v>203</v>
      </c>
      <c r="CR424" t="s">
        <v>203</v>
      </c>
      <c r="CS424" t="s">
        <v>203</v>
      </c>
      <c r="CT424" t="s">
        <v>203</v>
      </c>
      <c r="CU424" t="s">
        <v>203</v>
      </c>
      <c r="CV424">
        <v>0</v>
      </c>
      <c r="CW424">
        <v>0</v>
      </c>
      <c r="CX424" t="s">
        <v>198</v>
      </c>
      <c r="CY424" t="s">
        <v>198</v>
      </c>
      <c r="CZ424" t="s">
        <v>198</v>
      </c>
      <c r="DA424" t="s">
        <v>198</v>
      </c>
      <c r="DB424" t="s">
        <v>198</v>
      </c>
      <c r="DC424">
        <v>0</v>
      </c>
      <c r="DD424">
        <v>0</v>
      </c>
      <c r="DE424">
        <v>0</v>
      </c>
      <c r="DF424">
        <v>0</v>
      </c>
      <c r="DG424">
        <v>-35.3631166</v>
      </c>
      <c r="DH424">
        <v>149.1639735</v>
      </c>
      <c r="DI424" t="s">
        <v>360</v>
      </c>
      <c r="DJ424">
        <v>1.2</v>
      </c>
      <c r="DK424">
        <v>2</v>
      </c>
      <c r="DL424">
        <v>159.8</v>
      </c>
      <c r="DM424">
        <v>0</v>
      </c>
      <c r="DN424">
        <v>6</v>
      </c>
      <c r="DO424">
        <v>10</v>
      </c>
      <c r="DP424">
        <v>0</v>
      </c>
      <c r="DQ424">
        <v>255</v>
      </c>
      <c r="DR424">
        <v>255</v>
      </c>
      <c r="DS424">
        <v>255</v>
      </c>
      <c r="DT424">
        <v>255</v>
      </c>
      <c r="DU424">
        <v>255</v>
      </c>
      <c r="DV424">
        <v>255</v>
      </c>
      <c r="DW424">
        <v>255</v>
      </c>
      <c r="DX424" t="s">
        <v>206</v>
      </c>
      <c r="DY424" t="s">
        <v>206</v>
      </c>
      <c r="DZ424" t="s">
        <v>207</v>
      </c>
      <c r="EA424" t="s">
        <v>198</v>
      </c>
      <c r="EB424" t="s">
        <v>198</v>
      </c>
      <c r="EC424" t="s">
        <v>198</v>
      </c>
      <c r="ED424">
        <v>0</v>
      </c>
      <c r="EE424">
        <v>0</v>
      </c>
      <c r="EF424">
        <v>0</v>
      </c>
      <c r="EG424">
        <v>0</v>
      </c>
      <c r="EH424">
        <v>255</v>
      </c>
      <c r="EI424">
        <v>255</v>
      </c>
      <c r="EJ424">
        <v>255</v>
      </c>
      <c r="EK424">
        <v>255</v>
      </c>
      <c r="EL424">
        <v>255</v>
      </c>
      <c r="EM424">
        <v>255</v>
      </c>
      <c r="EN424">
        <v>255</v>
      </c>
      <c r="EO424">
        <v>255</v>
      </c>
      <c r="EP424">
        <v>255</v>
      </c>
      <c r="EQ424">
        <v>255</v>
      </c>
      <c r="ER424" t="s">
        <v>208</v>
      </c>
      <c r="ES424" t="s">
        <v>209</v>
      </c>
      <c r="ET424" t="s">
        <v>209</v>
      </c>
      <c r="EU424">
        <v>0</v>
      </c>
      <c r="EV424">
        <v>16.2</v>
      </c>
      <c r="EW424">
        <v>-114.7</v>
      </c>
      <c r="EX424">
        <v>-0.2</v>
      </c>
      <c r="EY424">
        <v>0</v>
      </c>
      <c r="EZ424">
        <v>0</v>
      </c>
      <c r="FA424">
        <v>0</v>
      </c>
      <c r="FB424" t="s">
        <v>198</v>
      </c>
      <c r="FC424" t="s">
        <v>198</v>
      </c>
      <c r="FD424" t="s">
        <v>198</v>
      </c>
      <c r="FE424" t="s">
        <v>198</v>
      </c>
      <c r="FF424" t="s">
        <v>198</v>
      </c>
      <c r="FG424" t="s">
        <v>198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203</v>
      </c>
      <c r="FP424" t="s">
        <v>203</v>
      </c>
      <c r="FQ424" t="s">
        <v>203</v>
      </c>
      <c r="FR424" t="s">
        <v>203</v>
      </c>
      <c r="FS424" t="s">
        <v>203</v>
      </c>
      <c r="FT424" t="s">
        <v>203</v>
      </c>
      <c r="FU424" t="s">
        <v>198</v>
      </c>
      <c r="FV424" t="s">
        <v>198</v>
      </c>
      <c r="FW424" t="s">
        <v>198</v>
      </c>
      <c r="FX424" t="s">
        <v>198</v>
      </c>
      <c r="FY424" t="s">
        <v>198</v>
      </c>
      <c r="FZ424" t="s">
        <v>198</v>
      </c>
      <c r="GA424">
        <v>31.2</v>
      </c>
      <c r="GB424">
        <v>31.2</v>
      </c>
      <c r="GC424" t="s">
        <v>203</v>
      </c>
      <c r="GD424">
        <v>0</v>
      </c>
      <c r="GE424">
        <v>504</v>
      </c>
      <c r="GF424">
        <v>0</v>
      </c>
      <c r="GG424">
        <v>0</v>
      </c>
      <c r="GH424">
        <v>0</v>
      </c>
      <c r="GI424">
        <v>1</v>
      </c>
      <c r="GJ424">
        <v>1</v>
      </c>
      <c r="GK424">
        <v>0</v>
      </c>
      <c r="GL424" t="s">
        <v>198</v>
      </c>
      <c r="GM424" t="s">
        <v>198</v>
      </c>
      <c r="GN424" t="s">
        <v>198</v>
      </c>
    </row>
    <row r="425" spans="1:196">
      <c r="A425" s="19">
        <v>46316.90880025463</v>
      </c>
      <c r="B425">
        <v>0</v>
      </c>
      <c r="C425">
        <v>0</v>
      </c>
      <c r="D425">
        <v>277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584.2</v>
      </c>
      <c r="N425">
        <v>-0.5</v>
      </c>
      <c r="O425">
        <v>0</v>
      </c>
      <c r="P425">
        <v>0</v>
      </c>
      <c r="Q425">
        <v>0</v>
      </c>
      <c r="R425">
        <v>0</v>
      </c>
      <c r="S425">
        <v>115.6</v>
      </c>
      <c r="T425" t="s">
        <v>485</v>
      </c>
      <c r="U425">
        <v>115.7</v>
      </c>
      <c r="V425">
        <v>1762727256586.8</v>
      </c>
      <c r="W425">
        <v>1</v>
      </c>
      <c r="X425" t="s">
        <v>197</v>
      </c>
      <c r="Y425">
        <v>0</v>
      </c>
      <c r="Z425">
        <v>98</v>
      </c>
      <c r="AA425">
        <v>278</v>
      </c>
      <c r="AB425" t="s">
        <v>197</v>
      </c>
      <c r="AC425" t="s">
        <v>198</v>
      </c>
      <c r="AD425" t="s">
        <v>199</v>
      </c>
      <c r="AE425">
        <v>0</v>
      </c>
      <c r="AF425">
        <v>45</v>
      </c>
      <c r="AG425">
        <v>255</v>
      </c>
      <c r="AH425">
        <v>0</v>
      </c>
      <c r="AI425">
        <v>0</v>
      </c>
      <c r="AJ425">
        <v>0</v>
      </c>
      <c r="AK425">
        <v>12.6</v>
      </c>
      <c r="AL425">
        <v>0</v>
      </c>
      <c r="AM425">
        <v>0</v>
      </c>
      <c r="AN425" t="s">
        <v>197</v>
      </c>
      <c r="AO425">
        <v>100</v>
      </c>
      <c r="AP425" t="s">
        <v>197</v>
      </c>
      <c r="AQ425" t="s">
        <v>200</v>
      </c>
      <c r="AR425">
        <v>1</v>
      </c>
      <c r="AS425">
        <v>0</v>
      </c>
      <c r="AT425" t="s">
        <v>771</v>
      </c>
      <c r="AU425" t="s">
        <v>771</v>
      </c>
      <c r="AV425" t="s">
        <v>202</v>
      </c>
      <c r="AW425" t="s">
        <v>203</v>
      </c>
      <c r="AX425" t="s">
        <v>203</v>
      </c>
      <c r="AY425" t="s">
        <v>203</v>
      </c>
      <c r="AZ425" t="s">
        <v>203</v>
      </c>
      <c r="BA425" t="s">
        <v>203</v>
      </c>
      <c r="BB425" t="s">
        <v>203</v>
      </c>
      <c r="BC425" t="s">
        <v>203</v>
      </c>
      <c r="BD425" t="s">
        <v>203</v>
      </c>
      <c r="BE425" t="s">
        <v>203</v>
      </c>
      <c r="BF425">
        <v>0</v>
      </c>
      <c r="BG425">
        <v>0.2</v>
      </c>
      <c r="BH425">
        <v>50</v>
      </c>
      <c r="BI425">
        <v>0</v>
      </c>
      <c r="BJ425" t="s">
        <v>198</v>
      </c>
      <c r="BK425" t="s">
        <v>198</v>
      </c>
      <c r="BL425" t="s">
        <v>198</v>
      </c>
      <c r="BM425" t="s">
        <v>198</v>
      </c>
      <c r="BN425" t="s">
        <v>198</v>
      </c>
      <c r="BO425" t="s">
        <v>198</v>
      </c>
      <c r="BP425" t="s">
        <v>198</v>
      </c>
      <c r="BQ425" t="s">
        <v>198</v>
      </c>
      <c r="BR425" t="s">
        <v>198</v>
      </c>
      <c r="BS425" t="s">
        <v>198</v>
      </c>
      <c r="BT425" t="s">
        <v>198</v>
      </c>
      <c r="BU425" t="s">
        <v>198</v>
      </c>
      <c r="BV425" t="s">
        <v>198</v>
      </c>
      <c r="BW425" t="s">
        <v>198</v>
      </c>
      <c r="BX425" t="s">
        <v>198</v>
      </c>
      <c r="BY425" t="s">
        <v>198</v>
      </c>
      <c r="BZ425" t="s">
        <v>198</v>
      </c>
      <c r="CA425" t="s">
        <v>198</v>
      </c>
      <c r="CB425" t="s">
        <v>204</v>
      </c>
      <c r="CC425" t="s">
        <v>204</v>
      </c>
      <c r="CD425" t="s">
        <v>204</v>
      </c>
      <c r="CE425" t="s">
        <v>204</v>
      </c>
      <c r="CF425" t="s">
        <v>204</v>
      </c>
      <c r="CG425" t="s">
        <v>204</v>
      </c>
      <c r="CH425" t="s">
        <v>204</v>
      </c>
      <c r="CI425" t="s">
        <v>204</v>
      </c>
      <c r="CJ425" t="s">
        <v>204</v>
      </c>
      <c r="CK425" t="s">
        <v>204</v>
      </c>
      <c r="CL425" t="s">
        <v>204</v>
      </c>
      <c r="CM425" t="s">
        <v>204</v>
      </c>
      <c r="CN425" t="s">
        <v>203</v>
      </c>
      <c r="CO425" t="s">
        <v>203</v>
      </c>
      <c r="CP425" t="s">
        <v>203</v>
      </c>
      <c r="CQ425" t="s">
        <v>203</v>
      </c>
      <c r="CR425" t="s">
        <v>203</v>
      </c>
      <c r="CS425" t="s">
        <v>203</v>
      </c>
      <c r="CT425" t="s">
        <v>203</v>
      </c>
      <c r="CU425" t="s">
        <v>203</v>
      </c>
      <c r="CV425">
        <v>0</v>
      </c>
      <c r="CW425">
        <v>0</v>
      </c>
      <c r="CX425" t="s">
        <v>198</v>
      </c>
      <c r="CY425" t="s">
        <v>198</v>
      </c>
      <c r="CZ425" t="s">
        <v>198</v>
      </c>
      <c r="DA425" t="s">
        <v>198</v>
      </c>
      <c r="DB425" t="s">
        <v>198</v>
      </c>
      <c r="DC425">
        <v>0</v>
      </c>
      <c r="DD425">
        <v>0</v>
      </c>
      <c r="DE425">
        <v>0</v>
      </c>
      <c r="DF425">
        <v>0</v>
      </c>
      <c r="DG425">
        <v>-35.3631166</v>
      </c>
      <c r="DH425">
        <v>149.1639735</v>
      </c>
      <c r="DI425" t="s">
        <v>360</v>
      </c>
      <c r="DJ425">
        <v>1.2</v>
      </c>
      <c r="DK425">
        <v>2</v>
      </c>
      <c r="DL425">
        <v>159.8</v>
      </c>
      <c r="DM425">
        <v>0</v>
      </c>
      <c r="DN425">
        <v>6</v>
      </c>
      <c r="DO425">
        <v>10</v>
      </c>
      <c r="DP425">
        <v>0</v>
      </c>
      <c r="DQ425">
        <v>255</v>
      </c>
      <c r="DR425">
        <v>255</v>
      </c>
      <c r="DS425">
        <v>255</v>
      </c>
      <c r="DT425">
        <v>255</v>
      </c>
      <c r="DU425">
        <v>255</v>
      </c>
      <c r="DV425">
        <v>255</v>
      </c>
      <c r="DW425">
        <v>255</v>
      </c>
      <c r="DX425" t="s">
        <v>206</v>
      </c>
      <c r="DY425" t="s">
        <v>206</v>
      </c>
      <c r="DZ425" t="s">
        <v>207</v>
      </c>
      <c r="EA425" t="s">
        <v>198</v>
      </c>
      <c r="EB425" t="s">
        <v>198</v>
      </c>
      <c r="EC425" t="s">
        <v>198</v>
      </c>
      <c r="ED425">
        <v>0</v>
      </c>
      <c r="EE425">
        <v>0</v>
      </c>
      <c r="EF425">
        <v>0</v>
      </c>
      <c r="EG425">
        <v>0</v>
      </c>
      <c r="EH425">
        <v>255</v>
      </c>
      <c r="EI425">
        <v>255</v>
      </c>
      <c r="EJ425">
        <v>255</v>
      </c>
      <c r="EK425">
        <v>255</v>
      </c>
      <c r="EL425">
        <v>255</v>
      </c>
      <c r="EM425">
        <v>255</v>
      </c>
      <c r="EN425">
        <v>255</v>
      </c>
      <c r="EO425">
        <v>255</v>
      </c>
      <c r="EP425">
        <v>255</v>
      </c>
      <c r="EQ425">
        <v>255</v>
      </c>
      <c r="ER425" t="s">
        <v>208</v>
      </c>
      <c r="ES425" t="s">
        <v>209</v>
      </c>
      <c r="ET425" t="s">
        <v>209</v>
      </c>
      <c r="EU425">
        <v>0</v>
      </c>
      <c r="EV425">
        <v>16.2</v>
      </c>
      <c r="EW425">
        <v>-114.7</v>
      </c>
      <c r="EX425">
        <v>-0.2</v>
      </c>
      <c r="EY425">
        <v>0</v>
      </c>
      <c r="EZ425">
        <v>0</v>
      </c>
      <c r="FA425">
        <v>0</v>
      </c>
      <c r="FB425" t="s">
        <v>198</v>
      </c>
      <c r="FC425" t="s">
        <v>198</v>
      </c>
      <c r="FD425" t="s">
        <v>198</v>
      </c>
      <c r="FE425" t="s">
        <v>198</v>
      </c>
      <c r="FF425" t="s">
        <v>198</v>
      </c>
      <c r="FG425" t="s">
        <v>198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 t="s">
        <v>203</v>
      </c>
      <c r="FP425" t="s">
        <v>203</v>
      </c>
      <c r="FQ425" t="s">
        <v>203</v>
      </c>
      <c r="FR425" t="s">
        <v>203</v>
      </c>
      <c r="FS425" t="s">
        <v>203</v>
      </c>
      <c r="FT425" t="s">
        <v>203</v>
      </c>
      <c r="FU425" t="s">
        <v>198</v>
      </c>
      <c r="FV425" t="s">
        <v>198</v>
      </c>
      <c r="FW425" t="s">
        <v>198</v>
      </c>
      <c r="FX425" t="s">
        <v>198</v>
      </c>
      <c r="FY425" t="s">
        <v>198</v>
      </c>
      <c r="FZ425" t="s">
        <v>198</v>
      </c>
      <c r="GA425">
        <v>31.2</v>
      </c>
      <c r="GB425">
        <v>31.2</v>
      </c>
      <c r="GC425" t="s">
        <v>203</v>
      </c>
      <c r="GD425">
        <v>0</v>
      </c>
      <c r="GE425">
        <v>504</v>
      </c>
      <c r="GF425">
        <v>0</v>
      </c>
      <c r="GG425">
        <v>0</v>
      </c>
      <c r="GH425">
        <v>0</v>
      </c>
      <c r="GI425">
        <v>1</v>
      </c>
      <c r="GJ425">
        <v>1</v>
      </c>
      <c r="GK425">
        <v>0</v>
      </c>
      <c r="GL425" t="s">
        <v>198</v>
      </c>
      <c r="GM425" t="s">
        <v>198</v>
      </c>
      <c r="GN425" t="s">
        <v>198</v>
      </c>
    </row>
    <row r="426" spans="1:196">
      <c r="A426" s="19">
        <v>46316.90881184028</v>
      </c>
      <c r="B426">
        <v>0</v>
      </c>
      <c r="C426">
        <v>0</v>
      </c>
      <c r="D426">
        <v>277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584.2</v>
      </c>
      <c r="N426">
        <v>-0.5</v>
      </c>
      <c r="O426">
        <v>0</v>
      </c>
      <c r="P426">
        <v>0</v>
      </c>
      <c r="Q426">
        <v>0</v>
      </c>
      <c r="R426">
        <v>0</v>
      </c>
      <c r="S426">
        <v>115.6</v>
      </c>
      <c r="T426" t="s">
        <v>485</v>
      </c>
      <c r="U426">
        <v>115.7</v>
      </c>
      <c r="V426">
        <v>1762727256586.8</v>
      </c>
      <c r="W426">
        <v>1</v>
      </c>
      <c r="X426" t="s">
        <v>197</v>
      </c>
      <c r="Y426">
        <v>0</v>
      </c>
      <c r="Z426">
        <v>98</v>
      </c>
      <c r="AA426">
        <v>278</v>
      </c>
      <c r="AB426" t="s">
        <v>197</v>
      </c>
      <c r="AC426" t="s">
        <v>198</v>
      </c>
      <c r="AD426" t="s">
        <v>199</v>
      </c>
      <c r="AE426">
        <v>0</v>
      </c>
      <c r="AF426">
        <v>45</v>
      </c>
      <c r="AG426">
        <v>255</v>
      </c>
      <c r="AH426">
        <v>0</v>
      </c>
      <c r="AI426">
        <v>0</v>
      </c>
      <c r="AJ426">
        <v>0</v>
      </c>
      <c r="AK426">
        <v>12.6</v>
      </c>
      <c r="AL426">
        <v>0</v>
      </c>
      <c r="AM426">
        <v>0</v>
      </c>
      <c r="AN426" t="s">
        <v>197</v>
      </c>
      <c r="AO426">
        <v>100</v>
      </c>
      <c r="AP426" t="s">
        <v>197</v>
      </c>
      <c r="AQ426" t="s">
        <v>200</v>
      </c>
      <c r="AR426">
        <v>1</v>
      </c>
      <c r="AS426">
        <v>0</v>
      </c>
      <c r="AT426" t="s">
        <v>772</v>
      </c>
      <c r="AU426" t="s">
        <v>772</v>
      </c>
      <c r="AV426" t="s">
        <v>202</v>
      </c>
      <c r="AW426" t="s">
        <v>203</v>
      </c>
      <c r="AX426" t="s">
        <v>203</v>
      </c>
      <c r="AY426" t="s">
        <v>203</v>
      </c>
      <c r="AZ426" t="s">
        <v>203</v>
      </c>
      <c r="BA426" t="s">
        <v>203</v>
      </c>
      <c r="BB426" t="s">
        <v>203</v>
      </c>
      <c r="BC426" t="s">
        <v>203</v>
      </c>
      <c r="BD426" t="s">
        <v>203</v>
      </c>
      <c r="BE426" t="s">
        <v>203</v>
      </c>
      <c r="BF426">
        <v>0</v>
      </c>
      <c r="BG426">
        <v>0.2</v>
      </c>
      <c r="BH426">
        <v>50</v>
      </c>
      <c r="BI426">
        <v>0</v>
      </c>
      <c r="BJ426" t="s">
        <v>198</v>
      </c>
      <c r="BK426" t="s">
        <v>198</v>
      </c>
      <c r="BL426" t="s">
        <v>198</v>
      </c>
      <c r="BM426" t="s">
        <v>198</v>
      </c>
      <c r="BN426" t="s">
        <v>198</v>
      </c>
      <c r="BO426" t="s">
        <v>198</v>
      </c>
      <c r="BP426" t="s">
        <v>198</v>
      </c>
      <c r="BQ426" t="s">
        <v>198</v>
      </c>
      <c r="BR426" t="s">
        <v>198</v>
      </c>
      <c r="BS426" t="s">
        <v>198</v>
      </c>
      <c r="BT426" t="s">
        <v>198</v>
      </c>
      <c r="BU426" t="s">
        <v>198</v>
      </c>
      <c r="BV426" t="s">
        <v>198</v>
      </c>
      <c r="BW426" t="s">
        <v>198</v>
      </c>
      <c r="BX426" t="s">
        <v>198</v>
      </c>
      <c r="BY426" t="s">
        <v>198</v>
      </c>
      <c r="BZ426" t="s">
        <v>198</v>
      </c>
      <c r="CA426" t="s">
        <v>198</v>
      </c>
      <c r="CB426" t="s">
        <v>204</v>
      </c>
      <c r="CC426" t="s">
        <v>204</v>
      </c>
      <c r="CD426" t="s">
        <v>204</v>
      </c>
      <c r="CE426" t="s">
        <v>204</v>
      </c>
      <c r="CF426" t="s">
        <v>204</v>
      </c>
      <c r="CG426" t="s">
        <v>204</v>
      </c>
      <c r="CH426" t="s">
        <v>204</v>
      </c>
      <c r="CI426" t="s">
        <v>204</v>
      </c>
      <c r="CJ426" t="s">
        <v>204</v>
      </c>
      <c r="CK426" t="s">
        <v>204</v>
      </c>
      <c r="CL426" t="s">
        <v>204</v>
      </c>
      <c r="CM426" t="s">
        <v>204</v>
      </c>
      <c r="CN426" t="s">
        <v>203</v>
      </c>
      <c r="CO426" t="s">
        <v>203</v>
      </c>
      <c r="CP426" t="s">
        <v>203</v>
      </c>
      <c r="CQ426" t="s">
        <v>203</v>
      </c>
      <c r="CR426" t="s">
        <v>203</v>
      </c>
      <c r="CS426" t="s">
        <v>203</v>
      </c>
      <c r="CT426" t="s">
        <v>203</v>
      </c>
      <c r="CU426" t="s">
        <v>203</v>
      </c>
      <c r="CV426">
        <v>0</v>
      </c>
      <c r="CW426">
        <v>0</v>
      </c>
      <c r="CX426" t="s">
        <v>198</v>
      </c>
      <c r="CY426" t="s">
        <v>198</v>
      </c>
      <c r="CZ426" t="s">
        <v>198</v>
      </c>
      <c r="DA426" t="s">
        <v>198</v>
      </c>
      <c r="DB426" t="s">
        <v>198</v>
      </c>
      <c r="DC426">
        <v>0</v>
      </c>
      <c r="DD426">
        <v>0</v>
      </c>
      <c r="DE426">
        <v>0</v>
      </c>
      <c r="DF426">
        <v>0</v>
      </c>
      <c r="DG426">
        <v>-35.3631166</v>
      </c>
      <c r="DH426">
        <v>149.1639735</v>
      </c>
      <c r="DI426" t="s">
        <v>360</v>
      </c>
      <c r="DJ426">
        <v>1.2</v>
      </c>
      <c r="DK426">
        <v>2</v>
      </c>
      <c r="DL426">
        <v>159.8</v>
      </c>
      <c r="DM426">
        <v>0</v>
      </c>
      <c r="DN426">
        <v>6</v>
      </c>
      <c r="DO426">
        <v>10</v>
      </c>
      <c r="DP426">
        <v>0</v>
      </c>
      <c r="DQ426">
        <v>255</v>
      </c>
      <c r="DR426">
        <v>255</v>
      </c>
      <c r="DS426">
        <v>255</v>
      </c>
      <c r="DT426">
        <v>255</v>
      </c>
      <c r="DU426">
        <v>255</v>
      </c>
      <c r="DV426">
        <v>255</v>
      </c>
      <c r="DW426">
        <v>255</v>
      </c>
      <c r="DX426" t="s">
        <v>206</v>
      </c>
      <c r="DY426" t="s">
        <v>206</v>
      </c>
      <c r="DZ426" t="s">
        <v>207</v>
      </c>
      <c r="EA426" t="s">
        <v>198</v>
      </c>
      <c r="EB426" t="s">
        <v>198</v>
      </c>
      <c r="EC426" t="s">
        <v>198</v>
      </c>
      <c r="ED426">
        <v>0</v>
      </c>
      <c r="EE426">
        <v>0</v>
      </c>
      <c r="EF426">
        <v>0</v>
      </c>
      <c r="EG426">
        <v>0</v>
      </c>
      <c r="EH426">
        <v>255</v>
      </c>
      <c r="EI426">
        <v>255</v>
      </c>
      <c r="EJ426">
        <v>255</v>
      </c>
      <c r="EK426">
        <v>255</v>
      </c>
      <c r="EL426">
        <v>255</v>
      </c>
      <c r="EM426">
        <v>255</v>
      </c>
      <c r="EN426">
        <v>255</v>
      </c>
      <c r="EO426">
        <v>255</v>
      </c>
      <c r="EP426">
        <v>255</v>
      </c>
      <c r="EQ426">
        <v>255</v>
      </c>
      <c r="ER426" t="s">
        <v>208</v>
      </c>
      <c r="ES426" t="s">
        <v>209</v>
      </c>
      <c r="ET426" t="s">
        <v>209</v>
      </c>
      <c r="EU426">
        <v>0</v>
      </c>
      <c r="EV426">
        <v>16.2</v>
      </c>
      <c r="EW426">
        <v>-114.7</v>
      </c>
      <c r="EX426">
        <v>-0.2</v>
      </c>
      <c r="EY426">
        <v>0</v>
      </c>
      <c r="EZ426">
        <v>0</v>
      </c>
      <c r="FA426">
        <v>0</v>
      </c>
      <c r="FB426" t="s">
        <v>198</v>
      </c>
      <c r="FC426" t="s">
        <v>198</v>
      </c>
      <c r="FD426" t="s">
        <v>198</v>
      </c>
      <c r="FE426" t="s">
        <v>198</v>
      </c>
      <c r="FF426" t="s">
        <v>198</v>
      </c>
      <c r="FG426" t="s">
        <v>198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203</v>
      </c>
      <c r="FP426" t="s">
        <v>203</v>
      </c>
      <c r="FQ426" t="s">
        <v>203</v>
      </c>
      <c r="FR426" t="s">
        <v>203</v>
      </c>
      <c r="FS426" t="s">
        <v>203</v>
      </c>
      <c r="FT426" t="s">
        <v>203</v>
      </c>
      <c r="FU426" t="s">
        <v>198</v>
      </c>
      <c r="FV426" t="s">
        <v>198</v>
      </c>
      <c r="FW426" t="s">
        <v>198</v>
      </c>
      <c r="FX426" t="s">
        <v>198</v>
      </c>
      <c r="FY426" t="s">
        <v>198</v>
      </c>
      <c r="FZ426" t="s">
        <v>198</v>
      </c>
      <c r="GA426">
        <v>31.2</v>
      </c>
      <c r="GB426">
        <v>31.2</v>
      </c>
      <c r="GC426" t="s">
        <v>203</v>
      </c>
      <c r="GD426">
        <v>0</v>
      </c>
      <c r="GE426">
        <v>504</v>
      </c>
      <c r="GF426">
        <v>0</v>
      </c>
      <c r="GG426">
        <v>0</v>
      </c>
      <c r="GH426">
        <v>0</v>
      </c>
      <c r="GI426">
        <v>1</v>
      </c>
      <c r="GJ426">
        <v>1</v>
      </c>
      <c r="GK426">
        <v>0</v>
      </c>
      <c r="GL426" t="s">
        <v>198</v>
      </c>
      <c r="GM426" t="s">
        <v>198</v>
      </c>
      <c r="GN426" t="s">
        <v>198</v>
      </c>
    </row>
    <row r="427" spans="1:196">
      <c r="A427" s="19">
        <v>46316.90882340278</v>
      </c>
      <c r="B427">
        <v>0</v>
      </c>
      <c r="C427">
        <v>0</v>
      </c>
      <c r="D427">
        <v>277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584.2</v>
      </c>
      <c r="N427">
        <v>-0.5</v>
      </c>
      <c r="O427">
        <v>0</v>
      </c>
      <c r="P427">
        <v>0</v>
      </c>
      <c r="Q427">
        <v>0</v>
      </c>
      <c r="R427">
        <v>0</v>
      </c>
      <c r="S427">
        <v>115.6</v>
      </c>
      <c r="T427" t="s">
        <v>485</v>
      </c>
      <c r="U427">
        <v>115.7</v>
      </c>
      <c r="V427">
        <v>1762727256586.8</v>
      </c>
      <c r="W427">
        <v>1</v>
      </c>
      <c r="X427" t="s">
        <v>197</v>
      </c>
      <c r="Y427">
        <v>0</v>
      </c>
      <c r="Z427">
        <v>98</v>
      </c>
      <c r="AA427">
        <v>278</v>
      </c>
      <c r="AB427" t="s">
        <v>197</v>
      </c>
      <c r="AC427" t="s">
        <v>198</v>
      </c>
      <c r="AD427" t="s">
        <v>199</v>
      </c>
      <c r="AE427">
        <v>0</v>
      </c>
      <c r="AF427">
        <v>45</v>
      </c>
      <c r="AG427">
        <v>255</v>
      </c>
      <c r="AH427">
        <v>0</v>
      </c>
      <c r="AI427">
        <v>0</v>
      </c>
      <c r="AJ427">
        <v>0</v>
      </c>
      <c r="AK427">
        <v>12.6</v>
      </c>
      <c r="AL427">
        <v>0</v>
      </c>
      <c r="AM427">
        <v>0</v>
      </c>
      <c r="AN427" t="s">
        <v>197</v>
      </c>
      <c r="AO427">
        <v>100</v>
      </c>
      <c r="AP427" t="s">
        <v>197</v>
      </c>
      <c r="AQ427" t="s">
        <v>200</v>
      </c>
      <c r="AR427">
        <v>1</v>
      </c>
      <c r="AS427">
        <v>0</v>
      </c>
      <c r="AT427" t="s">
        <v>773</v>
      </c>
      <c r="AU427" t="s">
        <v>773</v>
      </c>
      <c r="AV427" t="s">
        <v>202</v>
      </c>
      <c r="AW427" t="s">
        <v>203</v>
      </c>
      <c r="AX427" t="s">
        <v>203</v>
      </c>
      <c r="AY427" t="s">
        <v>203</v>
      </c>
      <c r="AZ427" t="s">
        <v>203</v>
      </c>
      <c r="BA427" t="s">
        <v>203</v>
      </c>
      <c r="BB427" t="s">
        <v>203</v>
      </c>
      <c r="BC427" t="s">
        <v>203</v>
      </c>
      <c r="BD427" t="s">
        <v>203</v>
      </c>
      <c r="BE427" t="s">
        <v>203</v>
      </c>
      <c r="BF427">
        <v>0</v>
      </c>
      <c r="BG427">
        <v>0.2</v>
      </c>
      <c r="BH427">
        <v>50</v>
      </c>
      <c r="BI427">
        <v>0</v>
      </c>
      <c r="BJ427" t="s">
        <v>198</v>
      </c>
      <c r="BK427" t="s">
        <v>198</v>
      </c>
      <c r="BL427" t="s">
        <v>198</v>
      </c>
      <c r="BM427" t="s">
        <v>198</v>
      </c>
      <c r="BN427" t="s">
        <v>198</v>
      </c>
      <c r="BO427" t="s">
        <v>198</v>
      </c>
      <c r="BP427" t="s">
        <v>198</v>
      </c>
      <c r="BQ427" t="s">
        <v>198</v>
      </c>
      <c r="BR427" t="s">
        <v>198</v>
      </c>
      <c r="BS427" t="s">
        <v>198</v>
      </c>
      <c r="BT427" t="s">
        <v>198</v>
      </c>
      <c r="BU427" t="s">
        <v>198</v>
      </c>
      <c r="BV427" t="s">
        <v>198</v>
      </c>
      <c r="BW427" t="s">
        <v>198</v>
      </c>
      <c r="BX427" t="s">
        <v>198</v>
      </c>
      <c r="BY427" t="s">
        <v>198</v>
      </c>
      <c r="BZ427" t="s">
        <v>198</v>
      </c>
      <c r="CA427" t="s">
        <v>198</v>
      </c>
      <c r="CB427" t="s">
        <v>204</v>
      </c>
      <c r="CC427" t="s">
        <v>204</v>
      </c>
      <c r="CD427" t="s">
        <v>204</v>
      </c>
      <c r="CE427" t="s">
        <v>204</v>
      </c>
      <c r="CF427" t="s">
        <v>204</v>
      </c>
      <c r="CG427" t="s">
        <v>204</v>
      </c>
      <c r="CH427" t="s">
        <v>204</v>
      </c>
      <c r="CI427" t="s">
        <v>204</v>
      </c>
      <c r="CJ427" t="s">
        <v>204</v>
      </c>
      <c r="CK427" t="s">
        <v>204</v>
      </c>
      <c r="CL427" t="s">
        <v>204</v>
      </c>
      <c r="CM427" t="s">
        <v>204</v>
      </c>
      <c r="CN427" t="s">
        <v>203</v>
      </c>
      <c r="CO427" t="s">
        <v>203</v>
      </c>
      <c r="CP427" t="s">
        <v>203</v>
      </c>
      <c r="CQ427" t="s">
        <v>203</v>
      </c>
      <c r="CR427" t="s">
        <v>203</v>
      </c>
      <c r="CS427" t="s">
        <v>203</v>
      </c>
      <c r="CT427" t="s">
        <v>203</v>
      </c>
      <c r="CU427" t="s">
        <v>203</v>
      </c>
      <c r="CV427">
        <v>0</v>
      </c>
      <c r="CW427">
        <v>0</v>
      </c>
      <c r="CX427" t="s">
        <v>198</v>
      </c>
      <c r="CY427" t="s">
        <v>198</v>
      </c>
      <c r="CZ427" t="s">
        <v>198</v>
      </c>
      <c r="DA427" t="s">
        <v>198</v>
      </c>
      <c r="DB427" t="s">
        <v>198</v>
      </c>
      <c r="DC427">
        <v>0</v>
      </c>
      <c r="DD427">
        <v>0</v>
      </c>
      <c r="DE427">
        <v>0</v>
      </c>
      <c r="DF427">
        <v>0</v>
      </c>
      <c r="DG427">
        <v>-35.3631166</v>
      </c>
      <c r="DH427">
        <v>149.1639735</v>
      </c>
      <c r="DI427" t="s">
        <v>360</v>
      </c>
      <c r="DJ427">
        <v>1.2</v>
      </c>
      <c r="DK427">
        <v>2</v>
      </c>
      <c r="DL427">
        <v>159.8</v>
      </c>
      <c r="DM427">
        <v>0</v>
      </c>
      <c r="DN427">
        <v>6</v>
      </c>
      <c r="DO427">
        <v>10</v>
      </c>
      <c r="DP427">
        <v>0</v>
      </c>
      <c r="DQ427">
        <v>255</v>
      </c>
      <c r="DR427">
        <v>255</v>
      </c>
      <c r="DS427">
        <v>255</v>
      </c>
      <c r="DT427">
        <v>255</v>
      </c>
      <c r="DU427">
        <v>255</v>
      </c>
      <c r="DV427">
        <v>255</v>
      </c>
      <c r="DW427">
        <v>255</v>
      </c>
      <c r="DX427" t="s">
        <v>206</v>
      </c>
      <c r="DY427" t="s">
        <v>206</v>
      </c>
      <c r="DZ427" t="s">
        <v>207</v>
      </c>
      <c r="EA427" t="s">
        <v>198</v>
      </c>
      <c r="EB427" t="s">
        <v>198</v>
      </c>
      <c r="EC427" t="s">
        <v>198</v>
      </c>
      <c r="ED427">
        <v>0</v>
      </c>
      <c r="EE427">
        <v>0</v>
      </c>
      <c r="EF427">
        <v>0</v>
      </c>
      <c r="EG427">
        <v>0</v>
      </c>
      <c r="EH427">
        <v>255</v>
      </c>
      <c r="EI427">
        <v>255</v>
      </c>
      <c r="EJ427">
        <v>255</v>
      </c>
      <c r="EK427">
        <v>255</v>
      </c>
      <c r="EL427">
        <v>255</v>
      </c>
      <c r="EM427">
        <v>255</v>
      </c>
      <c r="EN427">
        <v>255</v>
      </c>
      <c r="EO427">
        <v>255</v>
      </c>
      <c r="EP427">
        <v>255</v>
      </c>
      <c r="EQ427">
        <v>255</v>
      </c>
      <c r="ER427" t="s">
        <v>208</v>
      </c>
      <c r="ES427" t="s">
        <v>209</v>
      </c>
      <c r="ET427" t="s">
        <v>209</v>
      </c>
      <c r="EU427">
        <v>0</v>
      </c>
      <c r="EV427">
        <v>16.2</v>
      </c>
      <c r="EW427">
        <v>-114.7</v>
      </c>
      <c r="EX427">
        <v>-0.2</v>
      </c>
      <c r="EY427">
        <v>0</v>
      </c>
      <c r="EZ427">
        <v>0</v>
      </c>
      <c r="FA427">
        <v>0</v>
      </c>
      <c r="FB427" t="s">
        <v>198</v>
      </c>
      <c r="FC427" t="s">
        <v>198</v>
      </c>
      <c r="FD427" t="s">
        <v>198</v>
      </c>
      <c r="FE427" t="s">
        <v>198</v>
      </c>
      <c r="FF427" t="s">
        <v>198</v>
      </c>
      <c r="FG427" t="s">
        <v>198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203</v>
      </c>
      <c r="FP427" t="s">
        <v>203</v>
      </c>
      <c r="FQ427" t="s">
        <v>203</v>
      </c>
      <c r="FR427" t="s">
        <v>203</v>
      </c>
      <c r="FS427" t="s">
        <v>203</v>
      </c>
      <c r="FT427" t="s">
        <v>203</v>
      </c>
      <c r="FU427" t="s">
        <v>198</v>
      </c>
      <c r="FV427" t="s">
        <v>198</v>
      </c>
      <c r="FW427" t="s">
        <v>198</v>
      </c>
      <c r="FX427" t="s">
        <v>198</v>
      </c>
      <c r="FY427" t="s">
        <v>198</v>
      </c>
      <c r="FZ427" t="s">
        <v>198</v>
      </c>
      <c r="GA427">
        <v>31.2</v>
      </c>
      <c r="GB427">
        <v>31.2</v>
      </c>
      <c r="GC427" t="s">
        <v>203</v>
      </c>
      <c r="GD427">
        <v>0</v>
      </c>
      <c r="GE427">
        <v>504</v>
      </c>
      <c r="GF427">
        <v>0</v>
      </c>
      <c r="GG427">
        <v>0</v>
      </c>
      <c r="GH427">
        <v>0</v>
      </c>
      <c r="GI427">
        <v>1</v>
      </c>
      <c r="GJ427">
        <v>1</v>
      </c>
      <c r="GK427">
        <v>0</v>
      </c>
      <c r="GL427" t="s">
        <v>198</v>
      </c>
      <c r="GM427" t="s">
        <v>198</v>
      </c>
      <c r="GN427" t="s">
        <v>198</v>
      </c>
    </row>
    <row r="428" spans="1:196">
      <c r="A428" s="19">
        <v>46316.90883498843</v>
      </c>
      <c r="B428">
        <v>0</v>
      </c>
      <c r="C428">
        <v>0</v>
      </c>
      <c r="D428">
        <v>277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584.2</v>
      </c>
      <c r="N428">
        <v>-0.5</v>
      </c>
      <c r="O428">
        <v>0</v>
      </c>
      <c r="P428">
        <v>0</v>
      </c>
      <c r="Q428">
        <v>0</v>
      </c>
      <c r="R428">
        <v>0</v>
      </c>
      <c r="S428">
        <v>115.6</v>
      </c>
      <c r="T428" t="s">
        <v>485</v>
      </c>
      <c r="U428">
        <v>115.7</v>
      </c>
      <c r="V428">
        <v>1762727256586.8</v>
      </c>
      <c r="W428">
        <v>1</v>
      </c>
      <c r="X428" t="s">
        <v>197</v>
      </c>
      <c r="Y428">
        <v>0</v>
      </c>
      <c r="Z428">
        <v>98</v>
      </c>
      <c r="AA428">
        <v>278</v>
      </c>
      <c r="AB428" t="s">
        <v>197</v>
      </c>
      <c r="AC428" t="s">
        <v>198</v>
      </c>
      <c r="AD428" t="s">
        <v>199</v>
      </c>
      <c r="AE428">
        <v>0</v>
      </c>
      <c r="AF428">
        <v>45</v>
      </c>
      <c r="AG428">
        <v>255</v>
      </c>
      <c r="AH428">
        <v>0</v>
      </c>
      <c r="AI428">
        <v>0</v>
      </c>
      <c r="AJ428">
        <v>0</v>
      </c>
      <c r="AK428">
        <v>12.6</v>
      </c>
      <c r="AL428">
        <v>0</v>
      </c>
      <c r="AM428">
        <v>0</v>
      </c>
      <c r="AN428" t="s">
        <v>197</v>
      </c>
      <c r="AO428">
        <v>100</v>
      </c>
      <c r="AP428" t="s">
        <v>197</v>
      </c>
      <c r="AQ428" t="s">
        <v>200</v>
      </c>
      <c r="AR428">
        <v>1</v>
      </c>
      <c r="AS428">
        <v>0</v>
      </c>
      <c r="AT428" t="s">
        <v>774</v>
      </c>
      <c r="AU428" t="s">
        <v>774</v>
      </c>
      <c r="AV428" t="s">
        <v>202</v>
      </c>
      <c r="AW428" t="s">
        <v>203</v>
      </c>
      <c r="AX428" t="s">
        <v>203</v>
      </c>
      <c r="AY428" t="s">
        <v>203</v>
      </c>
      <c r="AZ428" t="s">
        <v>203</v>
      </c>
      <c r="BA428" t="s">
        <v>203</v>
      </c>
      <c r="BB428" t="s">
        <v>203</v>
      </c>
      <c r="BC428" t="s">
        <v>203</v>
      </c>
      <c r="BD428" t="s">
        <v>203</v>
      </c>
      <c r="BE428" t="s">
        <v>203</v>
      </c>
      <c r="BF428">
        <v>0</v>
      </c>
      <c r="BG428">
        <v>0.2</v>
      </c>
      <c r="BH428">
        <v>50</v>
      </c>
      <c r="BI428">
        <v>0</v>
      </c>
      <c r="BJ428" t="s">
        <v>198</v>
      </c>
      <c r="BK428" t="s">
        <v>198</v>
      </c>
      <c r="BL428" t="s">
        <v>198</v>
      </c>
      <c r="BM428" t="s">
        <v>198</v>
      </c>
      <c r="BN428" t="s">
        <v>198</v>
      </c>
      <c r="BO428" t="s">
        <v>198</v>
      </c>
      <c r="BP428" t="s">
        <v>198</v>
      </c>
      <c r="BQ428" t="s">
        <v>198</v>
      </c>
      <c r="BR428" t="s">
        <v>198</v>
      </c>
      <c r="BS428" t="s">
        <v>198</v>
      </c>
      <c r="BT428" t="s">
        <v>198</v>
      </c>
      <c r="BU428" t="s">
        <v>198</v>
      </c>
      <c r="BV428" t="s">
        <v>198</v>
      </c>
      <c r="BW428" t="s">
        <v>198</v>
      </c>
      <c r="BX428" t="s">
        <v>198</v>
      </c>
      <c r="BY428" t="s">
        <v>198</v>
      </c>
      <c r="BZ428" t="s">
        <v>198</v>
      </c>
      <c r="CA428" t="s">
        <v>198</v>
      </c>
      <c r="CB428" t="s">
        <v>204</v>
      </c>
      <c r="CC428" t="s">
        <v>204</v>
      </c>
      <c r="CD428" t="s">
        <v>204</v>
      </c>
      <c r="CE428" t="s">
        <v>204</v>
      </c>
      <c r="CF428" t="s">
        <v>204</v>
      </c>
      <c r="CG428" t="s">
        <v>204</v>
      </c>
      <c r="CH428" t="s">
        <v>204</v>
      </c>
      <c r="CI428" t="s">
        <v>204</v>
      </c>
      <c r="CJ428" t="s">
        <v>204</v>
      </c>
      <c r="CK428" t="s">
        <v>204</v>
      </c>
      <c r="CL428" t="s">
        <v>204</v>
      </c>
      <c r="CM428" t="s">
        <v>204</v>
      </c>
      <c r="CN428" t="s">
        <v>203</v>
      </c>
      <c r="CO428" t="s">
        <v>203</v>
      </c>
      <c r="CP428" t="s">
        <v>203</v>
      </c>
      <c r="CQ428" t="s">
        <v>203</v>
      </c>
      <c r="CR428" t="s">
        <v>203</v>
      </c>
      <c r="CS428" t="s">
        <v>203</v>
      </c>
      <c r="CT428" t="s">
        <v>203</v>
      </c>
      <c r="CU428" t="s">
        <v>203</v>
      </c>
      <c r="CV428">
        <v>0</v>
      </c>
      <c r="CW428">
        <v>0</v>
      </c>
      <c r="CX428" t="s">
        <v>198</v>
      </c>
      <c r="CY428" t="s">
        <v>198</v>
      </c>
      <c r="CZ428" t="s">
        <v>198</v>
      </c>
      <c r="DA428" t="s">
        <v>198</v>
      </c>
      <c r="DB428" t="s">
        <v>198</v>
      </c>
      <c r="DC428">
        <v>0</v>
      </c>
      <c r="DD428">
        <v>0</v>
      </c>
      <c r="DE428">
        <v>0</v>
      </c>
      <c r="DF428">
        <v>0</v>
      </c>
      <c r="DG428">
        <v>-35.3631166</v>
      </c>
      <c r="DH428">
        <v>149.1639735</v>
      </c>
      <c r="DI428" t="s">
        <v>360</v>
      </c>
      <c r="DJ428">
        <v>1.2</v>
      </c>
      <c r="DK428">
        <v>2</v>
      </c>
      <c r="DL428">
        <v>159.8</v>
      </c>
      <c r="DM428">
        <v>0</v>
      </c>
      <c r="DN428">
        <v>6</v>
      </c>
      <c r="DO428">
        <v>10</v>
      </c>
      <c r="DP428">
        <v>0</v>
      </c>
      <c r="DQ428">
        <v>255</v>
      </c>
      <c r="DR428">
        <v>255</v>
      </c>
      <c r="DS428">
        <v>255</v>
      </c>
      <c r="DT428">
        <v>255</v>
      </c>
      <c r="DU428">
        <v>255</v>
      </c>
      <c r="DV428">
        <v>255</v>
      </c>
      <c r="DW428">
        <v>255</v>
      </c>
      <c r="DX428" t="s">
        <v>206</v>
      </c>
      <c r="DY428" t="s">
        <v>206</v>
      </c>
      <c r="DZ428" t="s">
        <v>207</v>
      </c>
      <c r="EA428" t="s">
        <v>198</v>
      </c>
      <c r="EB428" t="s">
        <v>198</v>
      </c>
      <c r="EC428" t="s">
        <v>198</v>
      </c>
      <c r="ED428">
        <v>0</v>
      </c>
      <c r="EE428">
        <v>0</v>
      </c>
      <c r="EF428">
        <v>0</v>
      </c>
      <c r="EG428">
        <v>0</v>
      </c>
      <c r="EH428">
        <v>255</v>
      </c>
      <c r="EI428">
        <v>255</v>
      </c>
      <c r="EJ428">
        <v>255</v>
      </c>
      <c r="EK428">
        <v>255</v>
      </c>
      <c r="EL428">
        <v>255</v>
      </c>
      <c r="EM428">
        <v>255</v>
      </c>
      <c r="EN428">
        <v>255</v>
      </c>
      <c r="EO428">
        <v>255</v>
      </c>
      <c r="EP428">
        <v>255</v>
      </c>
      <c r="EQ428">
        <v>255</v>
      </c>
      <c r="ER428" t="s">
        <v>208</v>
      </c>
      <c r="ES428" t="s">
        <v>209</v>
      </c>
      <c r="ET428" t="s">
        <v>209</v>
      </c>
      <c r="EU428">
        <v>0</v>
      </c>
      <c r="EV428">
        <v>16.2</v>
      </c>
      <c r="EW428">
        <v>-114.7</v>
      </c>
      <c r="EX428">
        <v>-0.2</v>
      </c>
      <c r="EY428">
        <v>0</v>
      </c>
      <c r="EZ428">
        <v>0</v>
      </c>
      <c r="FA428">
        <v>0</v>
      </c>
      <c r="FB428" t="s">
        <v>198</v>
      </c>
      <c r="FC428" t="s">
        <v>198</v>
      </c>
      <c r="FD428" t="s">
        <v>198</v>
      </c>
      <c r="FE428" t="s">
        <v>198</v>
      </c>
      <c r="FF428" t="s">
        <v>198</v>
      </c>
      <c r="FG428" t="s">
        <v>198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 t="s">
        <v>203</v>
      </c>
      <c r="FP428" t="s">
        <v>203</v>
      </c>
      <c r="FQ428" t="s">
        <v>203</v>
      </c>
      <c r="FR428" t="s">
        <v>203</v>
      </c>
      <c r="FS428" t="s">
        <v>203</v>
      </c>
      <c r="FT428" t="s">
        <v>203</v>
      </c>
      <c r="FU428" t="s">
        <v>198</v>
      </c>
      <c r="FV428" t="s">
        <v>198</v>
      </c>
      <c r="FW428" t="s">
        <v>198</v>
      </c>
      <c r="FX428" t="s">
        <v>198</v>
      </c>
      <c r="FY428" t="s">
        <v>198</v>
      </c>
      <c r="FZ428" t="s">
        <v>198</v>
      </c>
      <c r="GA428">
        <v>31.2</v>
      </c>
      <c r="GB428">
        <v>31.2</v>
      </c>
      <c r="GC428" t="s">
        <v>203</v>
      </c>
      <c r="GD428">
        <v>0</v>
      </c>
      <c r="GE428">
        <v>504</v>
      </c>
      <c r="GF428">
        <v>0</v>
      </c>
      <c r="GG428">
        <v>0</v>
      </c>
      <c r="GH428">
        <v>0</v>
      </c>
      <c r="GI428">
        <v>1</v>
      </c>
      <c r="GJ428">
        <v>1</v>
      </c>
      <c r="GK428">
        <v>0</v>
      </c>
      <c r="GL428" t="s">
        <v>198</v>
      </c>
      <c r="GM428" t="s">
        <v>198</v>
      </c>
      <c r="GN428" t="s">
        <v>198</v>
      </c>
    </row>
    <row r="429" spans="1:196">
      <c r="A429" s="19">
        <v>46316.9088465625</v>
      </c>
      <c r="B429">
        <v>0</v>
      </c>
      <c r="C429">
        <v>0</v>
      </c>
      <c r="D429">
        <v>277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584.2</v>
      </c>
      <c r="N429">
        <v>-0.5</v>
      </c>
      <c r="O429">
        <v>0</v>
      </c>
      <c r="P429">
        <v>0</v>
      </c>
      <c r="Q429">
        <v>0</v>
      </c>
      <c r="R429">
        <v>0</v>
      </c>
      <c r="S429">
        <v>115.6</v>
      </c>
      <c r="T429" t="s">
        <v>485</v>
      </c>
      <c r="U429">
        <v>115.7</v>
      </c>
      <c r="V429">
        <v>1762727256586.8</v>
      </c>
      <c r="W429">
        <v>1</v>
      </c>
      <c r="X429" t="s">
        <v>197</v>
      </c>
      <c r="Y429">
        <v>0</v>
      </c>
      <c r="Z429">
        <v>98</v>
      </c>
      <c r="AA429">
        <v>278</v>
      </c>
      <c r="AB429" t="s">
        <v>197</v>
      </c>
      <c r="AC429" t="s">
        <v>198</v>
      </c>
      <c r="AD429" t="s">
        <v>199</v>
      </c>
      <c r="AE429">
        <v>0</v>
      </c>
      <c r="AF429">
        <v>45</v>
      </c>
      <c r="AG429">
        <v>255</v>
      </c>
      <c r="AH429">
        <v>0</v>
      </c>
      <c r="AI429">
        <v>0</v>
      </c>
      <c r="AJ429">
        <v>0</v>
      </c>
      <c r="AK429">
        <v>12.6</v>
      </c>
      <c r="AL429">
        <v>0</v>
      </c>
      <c r="AM429">
        <v>0</v>
      </c>
      <c r="AN429" t="s">
        <v>197</v>
      </c>
      <c r="AO429">
        <v>100</v>
      </c>
      <c r="AP429" t="s">
        <v>197</v>
      </c>
      <c r="AQ429" t="s">
        <v>200</v>
      </c>
      <c r="AR429">
        <v>1</v>
      </c>
      <c r="AS429">
        <v>0</v>
      </c>
      <c r="AT429" t="s">
        <v>775</v>
      </c>
      <c r="AU429" t="s">
        <v>775</v>
      </c>
      <c r="AV429" t="s">
        <v>202</v>
      </c>
      <c r="AW429" t="s">
        <v>203</v>
      </c>
      <c r="AX429" t="s">
        <v>203</v>
      </c>
      <c r="AY429" t="s">
        <v>203</v>
      </c>
      <c r="AZ429" t="s">
        <v>203</v>
      </c>
      <c r="BA429" t="s">
        <v>203</v>
      </c>
      <c r="BB429" t="s">
        <v>203</v>
      </c>
      <c r="BC429" t="s">
        <v>203</v>
      </c>
      <c r="BD429" t="s">
        <v>203</v>
      </c>
      <c r="BE429" t="s">
        <v>203</v>
      </c>
      <c r="BF429">
        <v>0</v>
      </c>
      <c r="BG429">
        <v>0.2</v>
      </c>
      <c r="BH429">
        <v>50</v>
      </c>
      <c r="BI429">
        <v>0</v>
      </c>
      <c r="BJ429" t="s">
        <v>198</v>
      </c>
      <c r="BK429" t="s">
        <v>198</v>
      </c>
      <c r="BL429" t="s">
        <v>198</v>
      </c>
      <c r="BM429" t="s">
        <v>198</v>
      </c>
      <c r="BN429" t="s">
        <v>198</v>
      </c>
      <c r="BO429" t="s">
        <v>198</v>
      </c>
      <c r="BP429" t="s">
        <v>198</v>
      </c>
      <c r="BQ429" t="s">
        <v>198</v>
      </c>
      <c r="BR429" t="s">
        <v>198</v>
      </c>
      <c r="BS429" t="s">
        <v>198</v>
      </c>
      <c r="BT429" t="s">
        <v>198</v>
      </c>
      <c r="BU429" t="s">
        <v>198</v>
      </c>
      <c r="BV429" t="s">
        <v>198</v>
      </c>
      <c r="BW429" t="s">
        <v>198</v>
      </c>
      <c r="BX429" t="s">
        <v>198</v>
      </c>
      <c r="BY429" t="s">
        <v>198</v>
      </c>
      <c r="BZ429" t="s">
        <v>198</v>
      </c>
      <c r="CA429" t="s">
        <v>198</v>
      </c>
      <c r="CB429" t="s">
        <v>204</v>
      </c>
      <c r="CC429" t="s">
        <v>204</v>
      </c>
      <c r="CD429" t="s">
        <v>204</v>
      </c>
      <c r="CE429" t="s">
        <v>204</v>
      </c>
      <c r="CF429" t="s">
        <v>204</v>
      </c>
      <c r="CG429" t="s">
        <v>204</v>
      </c>
      <c r="CH429" t="s">
        <v>204</v>
      </c>
      <c r="CI429" t="s">
        <v>204</v>
      </c>
      <c r="CJ429" t="s">
        <v>204</v>
      </c>
      <c r="CK429" t="s">
        <v>204</v>
      </c>
      <c r="CL429" t="s">
        <v>204</v>
      </c>
      <c r="CM429" t="s">
        <v>204</v>
      </c>
      <c r="CN429" t="s">
        <v>203</v>
      </c>
      <c r="CO429" t="s">
        <v>203</v>
      </c>
      <c r="CP429" t="s">
        <v>203</v>
      </c>
      <c r="CQ429" t="s">
        <v>203</v>
      </c>
      <c r="CR429" t="s">
        <v>203</v>
      </c>
      <c r="CS429" t="s">
        <v>203</v>
      </c>
      <c r="CT429" t="s">
        <v>203</v>
      </c>
      <c r="CU429" t="s">
        <v>203</v>
      </c>
      <c r="CV429">
        <v>0</v>
      </c>
      <c r="CW429">
        <v>0</v>
      </c>
      <c r="CX429" t="s">
        <v>198</v>
      </c>
      <c r="CY429" t="s">
        <v>198</v>
      </c>
      <c r="CZ429" t="s">
        <v>198</v>
      </c>
      <c r="DA429" t="s">
        <v>198</v>
      </c>
      <c r="DB429" t="s">
        <v>198</v>
      </c>
      <c r="DC429">
        <v>0</v>
      </c>
      <c r="DD429">
        <v>0</v>
      </c>
      <c r="DE429">
        <v>0</v>
      </c>
      <c r="DF429">
        <v>0</v>
      </c>
      <c r="DG429">
        <v>-35.3631166</v>
      </c>
      <c r="DH429">
        <v>149.1639735</v>
      </c>
      <c r="DI429" t="s">
        <v>360</v>
      </c>
      <c r="DJ429">
        <v>1.2</v>
      </c>
      <c r="DK429">
        <v>2</v>
      </c>
      <c r="DL429">
        <v>159.8</v>
      </c>
      <c r="DM429">
        <v>0</v>
      </c>
      <c r="DN429">
        <v>6</v>
      </c>
      <c r="DO429">
        <v>10</v>
      </c>
      <c r="DP429">
        <v>0</v>
      </c>
      <c r="DQ429">
        <v>255</v>
      </c>
      <c r="DR429">
        <v>255</v>
      </c>
      <c r="DS429">
        <v>255</v>
      </c>
      <c r="DT429">
        <v>255</v>
      </c>
      <c r="DU429">
        <v>255</v>
      </c>
      <c r="DV429">
        <v>255</v>
      </c>
      <c r="DW429">
        <v>255</v>
      </c>
      <c r="DX429" t="s">
        <v>206</v>
      </c>
      <c r="DY429" t="s">
        <v>206</v>
      </c>
      <c r="DZ429" t="s">
        <v>207</v>
      </c>
      <c r="EA429" t="s">
        <v>198</v>
      </c>
      <c r="EB429" t="s">
        <v>198</v>
      </c>
      <c r="EC429" t="s">
        <v>198</v>
      </c>
      <c r="ED429">
        <v>0</v>
      </c>
      <c r="EE429">
        <v>0</v>
      </c>
      <c r="EF429">
        <v>0</v>
      </c>
      <c r="EG429">
        <v>0</v>
      </c>
      <c r="EH429">
        <v>255</v>
      </c>
      <c r="EI429">
        <v>255</v>
      </c>
      <c r="EJ429">
        <v>255</v>
      </c>
      <c r="EK429">
        <v>255</v>
      </c>
      <c r="EL429">
        <v>255</v>
      </c>
      <c r="EM429">
        <v>255</v>
      </c>
      <c r="EN429">
        <v>255</v>
      </c>
      <c r="EO429">
        <v>255</v>
      </c>
      <c r="EP429">
        <v>255</v>
      </c>
      <c r="EQ429">
        <v>255</v>
      </c>
      <c r="ER429" t="s">
        <v>208</v>
      </c>
      <c r="ES429" t="s">
        <v>209</v>
      </c>
      <c r="ET429" t="s">
        <v>209</v>
      </c>
      <c r="EU429">
        <v>0</v>
      </c>
      <c r="EV429">
        <v>16.2</v>
      </c>
      <c r="EW429">
        <v>-114.7</v>
      </c>
      <c r="EX429">
        <v>-0.2</v>
      </c>
      <c r="EY429">
        <v>0</v>
      </c>
      <c r="EZ429">
        <v>0</v>
      </c>
      <c r="FA429">
        <v>0</v>
      </c>
      <c r="FB429" t="s">
        <v>198</v>
      </c>
      <c r="FC429" t="s">
        <v>198</v>
      </c>
      <c r="FD429" t="s">
        <v>198</v>
      </c>
      <c r="FE429" t="s">
        <v>198</v>
      </c>
      <c r="FF429" t="s">
        <v>198</v>
      </c>
      <c r="FG429" t="s">
        <v>198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 t="s">
        <v>203</v>
      </c>
      <c r="FP429" t="s">
        <v>203</v>
      </c>
      <c r="FQ429" t="s">
        <v>203</v>
      </c>
      <c r="FR429" t="s">
        <v>203</v>
      </c>
      <c r="FS429" t="s">
        <v>203</v>
      </c>
      <c r="FT429" t="s">
        <v>203</v>
      </c>
      <c r="FU429" t="s">
        <v>198</v>
      </c>
      <c r="FV429" t="s">
        <v>198</v>
      </c>
      <c r="FW429" t="s">
        <v>198</v>
      </c>
      <c r="FX429" t="s">
        <v>198</v>
      </c>
      <c r="FY429" t="s">
        <v>198</v>
      </c>
      <c r="FZ429" t="s">
        <v>198</v>
      </c>
      <c r="GA429">
        <v>31.2</v>
      </c>
      <c r="GB429">
        <v>31.2</v>
      </c>
      <c r="GC429" t="s">
        <v>203</v>
      </c>
      <c r="GD429">
        <v>0</v>
      </c>
      <c r="GE429">
        <v>504</v>
      </c>
      <c r="GF429">
        <v>0</v>
      </c>
      <c r="GG429">
        <v>0</v>
      </c>
      <c r="GH429">
        <v>0</v>
      </c>
      <c r="GI429">
        <v>1</v>
      </c>
      <c r="GJ429">
        <v>1</v>
      </c>
      <c r="GK429">
        <v>0</v>
      </c>
      <c r="GL429" t="s">
        <v>198</v>
      </c>
      <c r="GM429" t="s">
        <v>198</v>
      </c>
      <c r="GN42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Аналіз</vt:lpstr>
      <vt:lpstr>Примітки</vt:lpstr>
      <vt:lpstr>CSV</vt:lpstr>
      <vt:lpstr>Аналіз!Print_Area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2026-10-22T21:50:46Z</dcterms:created>
  <dcterms:modified xsi:type="dcterms:W3CDTF">2026-10-22T21:50:46Z</dcterms:modified>
</cp:coreProperties>
</file>